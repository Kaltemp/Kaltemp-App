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.shortcut-targets-by-id\1gXvBPyPuabCO7EMyk9v14xq3ZnJs03kU\Facturación compartido\Facturación\Facturación 2026\Facturación 2026-03 Marzo\Detalles\"/>
    </mc:Choice>
  </mc:AlternateContent>
  <xr:revisionPtr revIDLastSave="0" documentId="8_{6881AD94-C743-473D-B497-42BDBB3686B6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Resumen" sheetId="2" r:id="rId1"/>
    <sheet name="Detalle" sheetId="1" r:id="rId2"/>
  </sheets>
  <definedNames>
    <definedName name="_xlnm._FilterDatabase" localSheetId="1" hidden="1">Detalle!$A$1:$V$7294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0" i="2" l="1"/>
  <c r="D10" i="2"/>
  <c r="D5" i="2" l="1"/>
  <c r="D9" i="2"/>
  <c r="E12" i="2"/>
  <c r="D12" i="2"/>
  <c r="E5" i="2"/>
  <c r="E8" i="2" l="1"/>
  <c r="D8" i="2"/>
  <c r="E7" i="2"/>
  <c r="D7" i="2"/>
  <c r="E9" i="2"/>
  <c r="E13" i="2"/>
  <c r="D13" i="2"/>
  <c r="D2" i="2" l="1"/>
  <c r="D11" i="2"/>
  <c r="E11" i="2"/>
  <c r="D6" i="2"/>
  <c r="E6" i="2"/>
  <c r="E17" i="2" l="1"/>
  <c r="E19" i="2" s="1"/>
  <c r="E20" i="2" s="1"/>
</calcChain>
</file>

<file path=xl/sharedStrings.xml><?xml version="1.0" encoding="utf-8"?>
<sst xmlns="http://schemas.openxmlformats.org/spreadsheetml/2006/main" count="3055" uniqueCount="1219">
  <si>
    <t>IVA</t>
  </si>
  <si>
    <t>Total</t>
  </si>
  <si>
    <t>Pasarela</t>
  </si>
  <si>
    <t>Envíos</t>
  </si>
  <si>
    <t>Facturación:</t>
  </si>
  <si>
    <t>Rut:</t>
  </si>
  <si>
    <t>Marketplace</t>
  </si>
  <si>
    <t>Adicional</t>
  </si>
  <si>
    <t>Subtotal</t>
  </si>
  <si>
    <t>imported_id</t>
  </si>
  <si>
    <t>tracking_number</t>
  </si>
  <si>
    <t>carrier</t>
  </si>
  <si>
    <t>carrier_code</t>
  </si>
  <si>
    <t>comment</t>
  </si>
  <si>
    <t>name_person</t>
  </si>
  <si>
    <t>com_origen</t>
  </si>
  <si>
    <t>dir_destino</t>
  </si>
  <si>
    <t>com_destino</t>
  </si>
  <si>
    <t>created_at</t>
  </si>
  <si>
    <t>status</t>
  </si>
  <si>
    <t>company</t>
  </si>
  <si>
    <t>dir_origen</t>
  </si>
  <si>
    <t>id</t>
  </si>
  <si>
    <t>Retiros</t>
  </si>
  <si>
    <t>Por pagar</t>
  </si>
  <si>
    <t>Marketcenter</t>
  </si>
  <si>
    <t>Mensajeria</t>
  </si>
  <si>
    <t>company_id</t>
  </si>
  <si>
    <t>precio</t>
  </si>
  <si>
    <t>total</t>
  </si>
  <si>
    <t>Connect</t>
  </si>
  <si>
    <t>Distribución</t>
  </si>
  <si>
    <t>Pasarelapro</t>
  </si>
  <si>
    <t>Enviatrack</t>
  </si>
  <si>
    <t>contract_type</t>
  </si>
  <si>
    <t>peso informado por carrier</t>
  </si>
  <si>
    <t>Flex</t>
  </si>
  <si>
    <t>mkp</t>
  </si>
  <si>
    <t>carrier_service_name</t>
  </si>
  <si>
    <t>seguro</t>
  </si>
  <si>
    <t>Entregado</t>
  </si>
  <si>
    <t>distribucion</t>
  </si>
  <si>
    <t>Santiago</t>
  </si>
  <si>
    <t>Providencia</t>
  </si>
  <si>
    <t>La Florida</t>
  </si>
  <si>
    <t>San Miguel</t>
  </si>
  <si>
    <t>San Bernardo</t>
  </si>
  <si>
    <t>Ñuñoa</t>
  </si>
  <si>
    <t>Huechuraba</t>
  </si>
  <si>
    <t>Colina</t>
  </si>
  <si>
    <t>Vitacura</t>
  </si>
  <si>
    <t>La Cisterna</t>
  </si>
  <si>
    <t>En Reparto</t>
  </si>
  <si>
    <t>Chillán</t>
  </si>
  <si>
    <t>Valparaíso</t>
  </si>
  <si>
    <t>Curicó</t>
  </si>
  <si>
    <t>Talca</t>
  </si>
  <si>
    <t>Devolucion entregada</t>
  </si>
  <si>
    <t>San Antonio</t>
  </si>
  <si>
    <t>Panguipulli</t>
  </si>
  <si>
    <t>Lampa</t>
  </si>
  <si>
    <t>Puerto Montt</t>
  </si>
  <si>
    <t>Tomé</t>
  </si>
  <si>
    <t>Ancud</t>
  </si>
  <si>
    <t>Ovalle</t>
  </si>
  <si>
    <t>Concepción</t>
  </si>
  <si>
    <t>Chiguayante</t>
  </si>
  <si>
    <t>Concón</t>
  </si>
  <si>
    <t>STARKEN</t>
  </si>
  <si>
    <t>SKN</t>
  </si>
  <si>
    <t>Normal</t>
  </si>
  <si>
    <t>EN REPARTO</t>
  </si>
  <si>
    <t>PENDIENTE ENTREGA</t>
  </si>
  <si>
    <t>En planta destino</t>
  </si>
  <si>
    <t>Recoleta</t>
  </si>
  <si>
    <t>Puente Alto</t>
  </si>
  <si>
    <t>Temuco</t>
  </si>
  <si>
    <t>Los Ángeles</t>
  </si>
  <si>
    <t>Rancagua</t>
  </si>
  <si>
    <t>Maipú</t>
  </si>
  <si>
    <t>Iquique</t>
  </si>
  <si>
    <t>Valdivia</t>
  </si>
  <si>
    <t>Las Condes</t>
  </si>
  <si>
    <t>Talcahuano</t>
  </si>
  <si>
    <t>Melipilla</t>
  </si>
  <si>
    <t>Frutillar</t>
  </si>
  <si>
    <t>La Reina</t>
  </si>
  <si>
    <t>La Serena</t>
  </si>
  <si>
    <t>Vallenar</t>
  </si>
  <si>
    <t>Viña del Mar</t>
  </si>
  <si>
    <t>Quilicura</t>
  </si>
  <si>
    <t>Calbuco</t>
  </si>
  <si>
    <t>Osorno</t>
  </si>
  <si>
    <t>Balmaceda 1475</t>
  </si>
  <si>
    <t>Disponible para retiro</t>
  </si>
  <si>
    <t>Buin</t>
  </si>
  <si>
    <t>San Pedro de la Paz</t>
  </si>
  <si>
    <t>Copiapó</t>
  </si>
  <si>
    <t>Villarrica</t>
  </si>
  <si>
    <t>La Cruz</t>
  </si>
  <si>
    <t>Cabrero</t>
  </si>
  <si>
    <t>Linares</t>
  </si>
  <si>
    <t>San Felipe</t>
  </si>
  <si>
    <t>Los Andes</t>
  </si>
  <si>
    <t>Puerto Varas</t>
  </si>
  <si>
    <t>BLUEXPRESS</t>
  </si>
  <si>
    <t>BLX</t>
  </si>
  <si>
    <t>Standard</t>
  </si>
  <si>
    <t>ENTREGADO</t>
  </si>
  <si>
    <t>Quinta Normal</t>
  </si>
  <si>
    <t>El Bosque</t>
  </si>
  <si>
    <t>2026-03-23 09:45</t>
  </si>
  <si>
    <t>Macul</t>
  </si>
  <si>
    <t>Pudahuel</t>
  </si>
  <si>
    <t>Cerrillos</t>
  </si>
  <si>
    <t>Lo Barnechea</t>
  </si>
  <si>
    <t>San Ramón</t>
  </si>
  <si>
    <t>Peñalolén</t>
  </si>
  <si>
    <t>2026-03-12 09:31</t>
  </si>
  <si>
    <t>San Joaquín</t>
  </si>
  <si>
    <t>2026-03-13 09:40</t>
  </si>
  <si>
    <t>2026-03-16 09:40</t>
  </si>
  <si>
    <t>2026-03-16 09:41</t>
  </si>
  <si>
    <t>2026-03-17 10:21</t>
  </si>
  <si>
    <t>2026-03-17 10:23</t>
  </si>
  <si>
    <t>2026-03-02 09:42</t>
  </si>
  <si>
    <t>Victoria</t>
  </si>
  <si>
    <t>2026-03-19 13:46</t>
  </si>
  <si>
    <t>Vilcún</t>
  </si>
  <si>
    <t>Villa Alemana</t>
  </si>
  <si>
    <t>Algarrobo</t>
  </si>
  <si>
    <t>Isla de Maipo</t>
  </si>
  <si>
    <t>Bulnes</t>
  </si>
  <si>
    <t>DEVOLUCION ENTREGADA</t>
  </si>
  <si>
    <t>Florida</t>
  </si>
  <si>
    <t>2026-03-09 09:35</t>
  </si>
  <si>
    <t>Pichilemu</t>
  </si>
  <si>
    <t>El envío fue restaurado exitosamente</t>
  </si>
  <si>
    <t>Río Bueno</t>
  </si>
  <si>
    <t>Lautaro</t>
  </si>
  <si>
    <t>El Carmen</t>
  </si>
  <si>
    <t>Cañete</t>
  </si>
  <si>
    <t>LUIS GARCES</t>
  </si>
  <si>
    <t>2026-03-02 16:09</t>
  </si>
  <si>
    <t>2026-03-24 11:03</t>
  </si>
  <si>
    <t>2026-02-27 09:50</t>
  </si>
  <si>
    <t>2026-03-18 10:50</t>
  </si>
  <si>
    <t>2026-03-19 09:14</t>
  </si>
  <si>
    <t>2026-03-20 12:03</t>
  </si>
  <si>
    <t>2026-03-16 11:17</t>
  </si>
  <si>
    <t>2026-03-03 13:57</t>
  </si>
  <si>
    <t>2026-03-09 09:34</t>
  </si>
  <si>
    <t>20053</t>
  </si>
  <si>
    <t>265872255</t>
  </si>
  <si>
    <t>Kaltemp</t>
  </si>
  <si>
    <t>Maria alejandra Garcia</t>
  </si>
  <si>
    <t>Av. Américo Vespucio 400</t>
  </si>
  <si>
    <t>Ruta 203 12 Casa ETXEKO</t>
  </si>
  <si>
    <t>2026-02-17 10:10</t>
  </si>
  <si>
    <t>53142</t>
  </si>
  <si>
    <t>266562738</t>
  </si>
  <si>
    <t>Paola OLIVARES</t>
  </si>
  <si>
    <t>VUELO DE CODORNIZ NORTE 19927, Falso 2</t>
  </si>
  <si>
    <t>2026-03-02 16:05</t>
  </si>
  <si>
    <t>20196</t>
  </si>
  <si>
    <t>266940043</t>
  </si>
  <si>
    <t>NOMBRE RETIRA: JUAN CAMPOS J RUT RETIRA: 6393045-8</t>
  </si>
  <si>
    <t>JUAN CAMPOS</t>
  </si>
  <si>
    <t>Avda. Los Robles 1507 Bosquemar</t>
  </si>
  <si>
    <t>2026-03-24 10:07</t>
  </si>
  <si>
    <t>11135</t>
  </si>
  <si>
    <t>266939383</t>
  </si>
  <si>
    <t>NOMBRE RETIRA: LUIS HERNANDEZ M RUT RETIRA: 9992478-0</t>
  </si>
  <si>
    <t>Luis Hernández</t>
  </si>
  <si>
    <t>Pasaje El Portezuelo 9633</t>
  </si>
  <si>
    <t>2026-03-23 10:18</t>
  </si>
  <si>
    <t>53442</t>
  </si>
  <si>
    <t>266946733</t>
  </si>
  <si>
    <t>NOMBRE RETIRA: JUAM MORALES M RUT RETIRA: 53305129-4</t>
  </si>
  <si>
    <t>Viviana Parada</t>
  </si>
  <si>
    <t>Av.Los Leones, 1240</t>
  </si>
  <si>
    <t>11131</t>
  </si>
  <si>
    <t>266940313</t>
  </si>
  <si>
    <t>NOMBRE RETIRA: JUAN PABLO SANDOVAL . . RUT RETIRA: 12240555-9</t>
  </si>
  <si>
    <t>Juan pablo Escobar manqueo</t>
  </si>
  <si>
    <t>Inglaterra 0902</t>
  </si>
  <si>
    <t>20201</t>
  </si>
  <si>
    <t>266940182</t>
  </si>
  <si>
    <t>NOMBRE RETIRA: JONY AVALDA D RUT RETIRA: 56008850-7</t>
  </si>
  <si>
    <t>GABRIEL GARCÍA</t>
  </si>
  <si>
    <t>Luis Thayer Ojeda 974 D73</t>
  </si>
  <si>
    <t>2026-03-24 10:09</t>
  </si>
  <si>
    <t>53444</t>
  </si>
  <si>
    <t>266946741</t>
  </si>
  <si>
    <t>NOMBRE RETIRA: VIVIANA DIAS D RUT RETIRA: 53305502-8</t>
  </si>
  <si>
    <t>Macarena Garcia</t>
  </si>
  <si>
    <t>Las Dalias, 2743, Floor 503</t>
  </si>
  <si>
    <t>2026-03-24 11:04</t>
  </si>
  <si>
    <t>20187</t>
  </si>
  <si>
    <t>266939774</t>
  </si>
  <si>
    <t>NOMBRE RETIRA: LUIS GARCES . RUT RETIRA: 13381446-9</t>
  </si>
  <si>
    <t>Pasaje 3 casa 27  Condominio del Real 1</t>
  </si>
  <si>
    <t>2026-03-24 10:04</t>
  </si>
  <si>
    <t>38419</t>
  </si>
  <si>
    <t>266853401</t>
  </si>
  <si>
    <t>NOMBRE RETIRA: CLAUDIO VEAS . RUT RETIRA: 14099716-1</t>
  </si>
  <si>
    <t>Claudio Veas Castro</t>
  </si>
  <si>
    <t>2026-03-23 09:52</t>
  </si>
  <si>
    <t>20176</t>
  </si>
  <si>
    <t>266647649</t>
  </si>
  <si>
    <t>SOCIEDAD COMERCIAL M&amp;P LIMITADA</t>
  </si>
  <si>
    <t>Alcalde 538</t>
  </si>
  <si>
    <t>2026-03-19 10:37</t>
  </si>
  <si>
    <t>53445</t>
  </si>
  <si>
    <t>266946721</t>
  </si>
  <si>
    <t>NOMBRE RETIRA: MAGGIE RUIZ. . RUT RETIRA: 9032719-4</t>
  </si>
  <si>
    <t>Maggie Ruiz Sanchez</t>
  </si>
  <si>
    <t>Industria, 1195, Stair Esquina calle Maestranza</t>
  </si>
  <si>
    <t>2026-03-24 11:05</t>
  </si>
  <si>
    <t>17914</t>
  </si>
  <si>
    <t>266869583</t>
  </si>
  <si>
    <t>NOMBRE RETIRA: CONCERJE K J RUT RETIRA: 12345678-5</t>
  </si>
  <si>
    <t>Alejandro Poo Carrasco</t>
  </si>
  <si>
    <t>Holandesa 0980 dpto 102, Holandesa 0980 dtpo 102</t>
  </si>
  <si>
    <t>2026-03-23 09:48</t>
  </si>
  <si>
    <t>repuesto20032026</t>
  </si>
  <si>
    <t>266739504</t>
  </si>
  <si>
    <t>NOMBRE RETIRA: JORGE FUENTEALBA 0 RUT RETIRA: 15254229-1</t>
  </si>
  <si>
    <t>orge Fuentealba Hernandez</t>
  </si>
  <si>
    <t>Alianza Cristiana Y Misionera 150</t>
  </si>
  <si>
    <t>2026-03-20 14:06</t>
  </si>
  <si>
    <t>20125-2</t>
  </si>
  <si>
    <t>266714397</t>
  </si>
  <si>
    <t>NOMBRE RETIRA: JAVIER GALLARDO SILVA RUT RETIRA: 14451559-5</t>
  </si>
  <si>
    <t>Javier Gallardo Silva</t>
  </si>
  <si>
    <t>Plath 1654, santa ines</t>
  </si>
  <si>
    <t>2026-03-20 09:51</t>
  </si>
  <si>
    <t>17911</t>
  </si>
  <si>
    <t>266861691</t>
  </si>
  <si>
    <t>NOMBRE RETIRA: SUSANA FIGUEROA M RUT RETIRA: 7043045-2</t>
  </si>
  <si>
    <t>Ivan Iturra</t>
  </si>
  <si>
    <t>Pintor Pedro Luna 970</t>
  </si>
  <si>
    <t>2026-03-20 13:19</t>
  </si>
  <si>
    <t>20191</t>
  </si>
  <si>
    <t>266853580</t>
  </si>
  <si>
    <t>NOMBRE RETIRA: CESAR PEZOA . RUT RETIRA: 18100464-9</t>
  </si>
  <si>
    <t>Cesar alejandro Pezo</t>
  </si>
  <si>
    <t>Calle Santa Rosa S/N, Parcela 52, El Peral Los Angeles s/n Casa</t>
  </si>
  <si>
    <t>38427</t>
  </si>
  <si>
    <t>266853396</t>
  </si>
  <si>
    <t>NOMBRE RETIRA: ROSA FAUNE . RUT RETIRA: 10650676-0</t>
  </si>
  <si>
    <t>Víctor Pozo Zamorano</t>
  </si>
  <si>
    <t>Avda. Los Halcones 634, Hacienda Larapinta</t>
  </si>
  <si>
    <t>2026-03-23 09:50</t>
  </si>
  <si>
    <t>53385</t>
  </si>
  <si>
    <t>266721108</t>
  </si>
  <si>
    <t>NOMBRE RETIRA: PAOLA CADENASSO X RUT RETIRA: 9255761-8</t>
  </si>
  <si>
    <t>Paola Cadenasso</t>
  </si>
  <si>
    <t>Camino Villarrica- Pucón kilómetro, Kilómetro 4.5, Casa 5</t>
  </si>
  <si>
    <t>2026-03-20 10:57</t>
  </si>
  <si>
    <t>20164</t>
  </si>
  <si>
    <t>266493797</t>
  </si>
  <si>
    <t>NOMBRE RETIRA: PAMELA MIRANDA ARAYA RUT RETIRA: 13178375-2</t>
  </si>
  <si>
    <t>Pamela Miranda</t>
  </si>
  <si>
    <t>Ariztia Oriente 769 Loc.7</t>
  </si>
  <si>
    <t>2026-03-17 10:32</t>
  </si>
  <si>
    <t>20184</t>
  </si>
  <si>
    <t>266716913</t>
  </si>
  <si>
    <t>NOMBRE RETIRA: LUIS CARRASCO A RUT RETIRA: 7980195-K</t>
  </si>
  <si>
    <t>LUIS ARAYA</t>
  </si>
  <si>
    <t>El Bosque 0115</t>
  </si>
  <si>
    <t>2026-03-20 10:19</t>
  </si>
  <si>
    <t>17906</t>
  </si>
  <si>
    <t>266717653</t>
  </si>
  <si>
    <t>NOMBRE RETIRA: EDUARDO MOLINA . RUT RETIRA: 9130856-8</t>
  </si>
  <si>
    <t>Jaime Hernández</t>
  </si>
  <si>
    <t>Los lobos sitio 18, Pingueral</t>
  </si>
  <si>
    <t>2026-03-19 18:33</t>
  </si>
  <si>
    <t>20186</t>
  </si>
  <si>
    <t>266716889</t>
  </si>
  <si>
    <t>NOMBRE RETIRA: MARTIN CUERSA K RUT RETIRA: 56069250-1</t>
  </si>
  <si>
    <t>Catalina sofia Fonseca</t>
  </si>
  <si>
    <t>Hernando de Magallanes 1047, Departamento 1503</t>
  </si>
  <si>
    <t>2026-03-19 15:22</t>
  </si>
  <si>
    <t>17905</t>
  </si>
  <si>
    <t>266717622</t>
  </si>
  <si>
    <t>NOMBRE RETIRA: E D D RUT RETIRA: 19378127-6</t>
  </si>
  <si>
    <t>Susana Astorga Pavez</t>
  </si>
  <si>
    <t>Pasaje Aragones 3 poniente, 1055</t>
  </si>
  <si>
    <t>53369</t>
  </si>
  <si>
    <t>266646639</t>
  </si>
  <si>
    <t>NOMBRE RETIRA: GABRIELA ESTRADA ESTRADA RUT RETIRA: 22996570-0</t>
  </si>
  <si>
    <t>Gabriela Estrada</t>
  </si>
  <si>
    <t>Altos del Carmen, 1440, Floor 26</t>
  </si>
  <si>
    <t>2026-03-19 10:31</t>
  </si>
  <si>
    <t>11130</t>
  </si>
  <si>
    <t>266648749</t>
  </si>
  <si>
    <t>NOMBRE RETIRA: FRANCISCO PEREZ E RUT RETIRA: 26832871-8</t>
  </si>
  <si>
    <t>Francisco Perez Castillo</t>
  </si>
  <si>
    <t>avenida circunvalacion 2014 casa 20 condomino aires de tuqui</t>
  </si>
  <si>
    <t>2026-03-19 10:52</t>
  </si>
  <si>
    <t>20175</t>
  </si>
  <si>
    <t>266649564</t>
  </si>
  <si>
    <t>NOMBRE RETIRA: REBECA OSSES . RUT RETIRA: 7682985-3</t>
  </si>
  <si>
    <t>Nicole Correa Osses</t>
  </si>
  <si>
    <t>Avenida Quilín Sur 10501, casa 31</t>
  </si>
  <si>
    <t>2026-03-19 10:59</t>
  </si>
  <si>
    <t>53368</t>
  </si>
  <si>
    <t>266646652</t>
  </si>
  <si>
    <t>NOMBRE RETIRA: JUAN MORALES .. RUT RETIRA: 53305129-4</t>
  </si>
  <si>
    <t>2026-03-19 10:30</t>
  </si>
  <si>
    <t>53370</t>
  </si>
  <si>
    <t>266646642</t>
  </si>
  <si>
    <t>NOMBRE RETIRA: GEMITA GALLARDO . RUT RETIRA: 14025178-K</t>
  </si>
  <si>
    <t>Maximiliano Leon Miranda</t>
  </si>
  <si>
    <t>Avenida El Tranque, 10650, Floor 17</t>
  </si>
  <si>
    <t>2026-03-19 10:34</t>
  </si>
  <si>
    <t>38395</t>
  </si>
  <si>
    <t>266495261</t>
  </si>
  <si>
    <t>NOMBRE RETIRA: LEOPOLDO CONCHA L RUT RETIRA: 12793916-0</t>
  </si>
  <si>
    <t>Marcela Carvallo</t>
  </si>
  <si>
    <t>Condominio Campomar parcela 230 Tunquén. Quinta región, Algarrobo</t>
  </si>
  <si>
    <t>2026-03-17 10:44</t>
  </si>
  <si>
    <t>20159</t>
  </si>
  <si>
    <t>266574019</t>
  </si>
  <si>
    <t>MOSEN ALI</t>
  </si>
  <si>
    <t>Francisco Vergara 3242</t>
  </si>
  <si>
    <t>20169</t>
  </si>
  <si>
    <t>266500101</t>
  </si>
  <si>
    <t>NOMBRE RETIRA: BENJAMIN VARELA CHARME RUT RETIRA: 14122488-3</t>
  </si>
  <si>
    <t>Benjamin Varela</t>
  </si>
  <si>
    <t>Avenida Comercio 1698</t>
  </si>
  <si>
    <t>2026-03-17 11:28</t>
  </si>
  <si>
    <t>53354-2</t>
  </si>
  <si>
    <t>266576189</t>
  </si>
  <si>
    <t>NOMBRE RETIRA: ALVARO DAROX . RUT RETIRA: 19150989-7</t>
  </si>
  <si>
    <t>Christian Jara heyden</t>
  </si>
  <si>
    <t>Las heras, 1025, Floor 1703</t>
  </si>
  <si>
    <t>2026-03-18 11:14</t>
  </si>
  <si>
    <t>53350</t>
  </si>
  <si>
    <t>266534530</t>
  </si>
  <si>
    <t>NOMBRE RETIRA: PAZ RETAMAL R RUT RETIRA: 15546593-K</t>
  </si>
  <si>
    <t>Paz Retamal Aro</t>
  </si>
  <si>
    <t>Capitán Ignacio carrera Pinto, 4160, Departamento 13</t>
  </si>
  <si>
    <t>2026-03-17 16:39</t>
  </si>
  <si>
    <t>53352</t>
  </si>
  <si>
    <t>266534562</t>
  </si>
  <si>
    <t>NOMBRE RETIRA: KAREN ELIS C RUT RETIRA: 9477949-9</t>
  </si>
  <si>
    <t>Karen Ellis Ellis</t>
  </si>
  <si>
    <t>PIEDRA DEL REY NORTE, 6962</t>
  </si>
  <si>
    <t>2026-03-17 16:40</t>
  </si>
  <si>
    <t>53351</t>
  </si>
  <si>
    <t>266534554</t>
  </si>
  <si>
    <t>NOMBRE RETIRA: MARIA MANSILLA F RUT RETIRA: 8538541-0</t>
  </si>
  <si>
    <t>MARIA MAGDALENA MANCILLA SAUMONT</t>
  </si>
  <si>
    <t>Av Macul Alto, 6164</t>
  </si>
  <si>
    <t>53353</t>
  </si>
  <si>
    <t>266534589</t>
  </si>
  <si>
    <t>NOMBRE RETIRA: MARINA LILO . RUT RETIRA: 18597201-1</t>
  </si>
  <si>
    <t>Marina Lillo</t>
  </si>
  <si>
    <t>Bombero Luis Moroni, 2600, DEPTO 404 torre C</t>
  </si>
  <si>
    <t>2026-03-17 16:41</t>
  </si>
  <si>
    <t>20170</t>
  </si>
  <si>
    <t>266536045</t>
  </si>
  <si>
    <t>NOMBRE RETIRA: RUT LLAVITA ROCA RUT RETIRA: 28449006-1</t>
  </si>
  <si>
    <t>Carlos Pinto de la Fuente</t>
  </si>
  <si>
    <t>San Anselmo 480 - casa 65</t>
  </si>
  <si>
    <t>2026-03-17 16:53</t>
  </si>
  <si>
    <t>53349</t>
  </si>
  <si>
    <t>266534519</t>
  </si>
  <si>
    <t>NOMBRE RETIRA: MARISOL RIQUELME ..SECRETARIA RUT RETIRA: 14239937-7</t>
  </si>
  <si>
    <t>Magaly Martinez</t>
  </si>
  <si>
    <t>Baquedano, 385</t>
  </si>
  <si>
    <t>2026-03-17 16:38</t>
  </si>
  <si>
    <t>11116</t>
  </si>
  <si>
    <t>266576693</t>
  </si>
  <si>
    <t>NOMBRE RETIRA: V B N RUT RETIRA: 21963977-5</t>
  </si>
  <si>
    <t>Camilo Leonardo Contreras Espinosa</t>
  </si>
  <si>
    <t>Quinta avenida 1552</t>
  </si>
  <si>
    <t>2026-03-07 16:44</t>
  </si>
  <si>
    <t>20172</t>
  </si>
  <si>
    <t>266536022</t>
  </si>
  <si>
    <t>NOMBRE RETIRA: TOMAS VELIZ . RUT RETIRA: 15020342-2</t>
  </si>
  <si>
    <t>Marcelo andres Robert</t>
  </si>
  <si>
    <t>6 1/2 oriente 265, Depto 309</t>
  </si>
  <si>
    <t>2026-03-17 15:45</t>
  </si>
  <si>
    <t>53348</t>
  </si>
  <si>
    <t>266534486</t>
  </si>
  <si>
    <t>NOMBRE RETIRA: ROSA PINCHEIRA .. RUT RETIRA: 53312028-8</t>
  </si>
  <si>
    <t>lorena pizarro</t>
  </si>
  <si>
    <t>ricardo lyon, 2256, depto 403A</t>
  </si>
  <si>
    <t>2026-03-17 16:36</t>
  </si>
  <si>
    <t>53331</t>
  </si>
  <si>
    <t>266492409</t>
  </si>
  <si>
    <t>NOMBRE RETIRA: MAECO LLANES . RUT RETIRA: 53335104-2</t>
  </si>
  <si>
    <t>Eduardo Valdes</t>
  </si>
  <si>
    <t>Calle Pailahuen, 1937, Floor D302</t>
  </si>
  <si>
    <t>53327</t>
  </si>
  <si>
    <t>266492263</t>
  </si>
  <si>
    <t>NOMBRE RETIRA: SERGIO CONSERJE . RUT RETIRA: 17908211-K</t>
  </si>
  <si>
    <t>sammira pastor</t>
  </si>
  <si>
    <t>rosas, 1438, DEPTO 1219</t>
  </si>
  <si>
    <t>2026-03-17 10:20</t>
  </si>
  <si>
    <t>20149</t>
  </si>
  <si>
    <t>266273413</t>
  </si>
  <si>
    <t>NOMBRE RETIRA: BLANCA DEL CARMEN MATURANA ABURTO RUT RETIRA: 9116303-9</t>
  </si>
  <si>
    <t>Blanca Maturana</t>
  </si>
  <si>
    <t>LOS CARRERA 4723, LOCAL 23</t>
  </si>
  <si>
    <t>2026-03-13 10:40</t>
  </si>
  <si>
    <t>53328</t>
  </si>
  <si>
    <t>266492267</t>
  </si>
  <si>
    <t>NOMBRE RETIRA: JOSE . . RUT RETIRA: 41458362-8</t>
  </si>
  <si>
    <t>Abigail Carrasco Fernandez</t>
  </si>
  <si>
    <t>Lord cochrane, 173, Depto 405 B</t>
  </si>
  <si>
    <t>20165</t>
  </si>
  <si>
    <t>266493767</t>
  </si>
  <si>
    <t>NOMBRE RETIRA: EDUVIJES ROSAS . RUT RETIRA: 12345678-5</t>
  </si>
  <si>
    <t>Isabel margarit Castro</t>
  </si>
  <si>
    <t>Sargento Aldea 1045, Departamento C104</t>
  </si>
  <si>
    <t>2026-03-17 09:46</t>
  </si>
  <si>
    <t>266492397</t>
  </si>
  <si>
    <t>NOMBRE RETIRA: IGNACIO BARIZON D RUT RETIRA: 15314554-7</t>
  </si>
  <si>
    <t>Ignacio Barison</t>
  </si>
  <si>
    <t>Camino san francisco de asis, 2200, Floor Casa 17</t>
  </si>
  <si>
    <t>2026-03-17 10:22</t>
  </si>
  <si>
    <t>53330</t>
  </si>
  <si>
    <t>266492382</t>
  </si>
  <si>
    <t>NOMBRE RETIRA: VICENTE ARAYA .. RUT RETIRA: 56050730-5</t>
  </si>
  <si>
    <t>Diego Aldans</t>
  </si>
  <si>
    <t>Vergara, 471, Floor 1703</t>
  </si>
  <si>
    <t>53329</t>
  </si>
  <si>
    <t>266492345</t>
  </si>
  <si>
    <t>NOMBRE RETIRA: CARMEN297 COMUNIDAD L RUT RETIRA: 65018713-K</t>
  </si>
  <si>
    <t>Djeana Silva Munoz</t>
  </si>
  <si>
    <t>Carmen, 297, Floor 409, Stair Condominio Edificio Mirador Sacramentino</t>
  </si>
  <si>
    <t>38370</t>
  </si>
  <si>
    <t>266401792</t>
  </si>
  <si>
    <t>NOMBRE RETIRA: FERNANDO BERNALES H RUT RETIRA: 19684705-7</t>
  </si>
  <si>
    <t>Juan Eduardo Lubiano</t>
  </si>
  <si>
    <t>La Viña 34, Condominio Casas de Hacienda, Colina</t>
  </si>
  <si>
    <t>2026-03-16 09:39</t>
  </si>
  <si>
    <t>53287</t>
  </si>
  <si>
    <t>266268738</t>
  </si>
  <si>
    <t>NOMBRE RETIRA: JONATGAN CELIS . RUT RETIRA: 53316174-K</t>
  </si>
  <si>
    <t>Estela Corral Barros</t>
  </si>
  <si>
    <t>Duble Almeyda, 1617, Floor 906-C</t>
  </si>
  <si>
    <t>36706</t>
  </si>
  <si>
    <t>265567033</t>
  </si>
  <si>
    <t>NOMBRE RETIRA: JUAN RIOS . RUT RETIRA: 15899462-3</t>
  </si>
  <si>
    <t>Juan Carlos Ríos Kework</t>
  </si>
  <si>
    <t>Pasaje San Ramón 4226</t>
  </si>
  <si>
    <t>2026-03-03 14:55</t>
  </si>
  <si>
    <t>53272</t>
  </si>
  <si>
    <t>266210746</t>
  </si>
  <si>
    <t>NOMBRE RETIRA: ABRAHAM . . RUT RETIRA: 20846697-6</t>
  </si>
  <si>
    <t>Maria Jose Jana</t>
  </si>
  <si>
    <t>Suecia, 1135, DEPTO 305</t>
  </si>
  <si>
    <t>2026-03-12 10:19</t>
  </si>
  <si>
    <t>38340</t>
  </si>
  <si>
    <t>266138828</t>
  </si>
  <si>
    <t>NOMBRE RETIRA: NELSON UMANA -. RUT RETIRA: 12697148-6</t>
  </si>
  <si>
    <t>TERMINACION Y ACABADO DE EDIFICIOS NELSON FEDOR</t>
  </si>
  <si>
    <t>LOS CARRERA 1387</t>
  </si>
  <si>
    <t>2026-03-11 10:10</t>
  </si>
  <si>
    <t>53198</t>
  </si>
  <si>
    <t>266232000</t>
  </si>
  <si>
    <t>NOMBRE RETIRA: ISBEMI RINCOM X RUT RETIRA: 65157583-4</t>
  </si>
  <si>
    <t>Jesus Marcano</t>
  </si>
  <si>
    <t>Avenida Vicuña Mackenna Poniente, 7244, Floor 603A</t>
  </si>
  <si>
    <t>2026-03-06 09:37</t>
  </si>
  <si>
    <t>53270</t>
  </si>
  <si>
    <t>266210776</t>
  </si>
  <si>
    <t>NOMBRE RETIRA: PAOLA A A RUT RETIRA: 9215123-9</t>
  </si>
  <si>
    <t>PAOLA ARAVENA LOBOS</t>
  </si>
  <si>
    <t>AVENIDA PARQUE 1, 1232</t>
  </si>
  <si>
    <t>2026-03-12 10:16</t>
  </si>
  <si>
    <t>53271</t>
  </si>
  <si>
    <t>266210756</t>
  </si>
  <si>
    <t>2026-03-12 10:17</t>
  </si>
  <si>
    <t>266137442</t>
  </si>
  <si>
    <t>NOMBRE RETIRA: FABIOLA RIFFO CHAVEZ RUT RETIRA: 1111111-4</t>
  </si>
  <si>
    <t>Fabiola Riffo Chávez</t>
  </si>
  <si>
    <t>Villagran 963</t>
  </si>
  <si>
    <t>2026-03-11 09:57</t>
  </si>
  <si>
    <t>38336</t>
  </si>
  <si>
    <t>266135122</t>
  </si>
  <si>
    <t>NOMBRE RETIRA: RAUL RUZ VALENZUELA RUT RETIRA: 18227423-2</t>
  </si>
  <si>
    <t>RAUL RUZ VALENZUELA</t>
  </si>
  <si>
    <t>Calle laguna teno, #1435, villa puertas del sur</t>
  </si>
  <si>
    <t>2026-03-11 09:30</t>
  </si>
  <si>
    <t>17870</t>
  </si>
  <si>
    <t>265977535</t>
  </si>
  <si>
    <t>NOMBRE RETIRA: MONICA MORALES . RUT RETIRA: 12649279-0</t>
  </si>
  <si>
    <t>Francisco A. Soto Báez</t>
  </si>
  <si>
    <t>Santa elena 570 casa 78, Condominio valle nogales</t>
  </si>
  <si>
    <t>2026-03-09 09:32</t>
  </si>
  <si>
    <t>38327</t>
  </si>
  <si>
    <t>265962003</t>
  </si>
  <si>
    <t>NOMBRE RETIRA: MAITE OPAZO . RUT RETIRA: 15934866-0</t>
  </si>
  <si>
    <t>MAITE OPAZO</t>
  </si>
  <si>
    <t>calle el bombo 7535</t>
  </si>
  <si>
    <t>2026-03-09 10:52</t>
  </si>
  <si>
    <t>53241</t>
  </si>
  <si>
    <t>266091411</t>
  </si>
  <si>
    <t>NOMBRE RETIRA: MARIA CLAVE M RUT RETIRA: 5880140-2</t>
  </si>
  <si>
    <t>maria veronica Claveria Guzman</t>
  </si>
  <si>
    <t>Gaspar de Las Casas, 6733</t>
  </si>
  <si>
    <t>2026-03-10 15:44</t>
  </si>
  <si>
    <t>38305</t>
  </si>
  <si>
    <t>266091434</t>
  </si>
  <si>
    <t>NOMBRE RETIRA: GERAROD QUINT . RUT RETIRA: 20301600-K</t>
  </si>
  <si>
    <t>Gerardo Quintana Olguín</t>
  </si>
  <si>
    <t>Esmeralda 1920, Casa 4, Condominio Villa Esmeralda, Los Andes</t>
  </si>
  <si>
    <t>2026-03-10 15:50</t>
  </si>
  <si>
    <t>53213</t>
  </si>
  <si>
    <t>265829491</t>
  </si>
  <si>
    <t>NOMBRE RETIRA: EDUARDO CONTRERAA A RUT RETIRA: 21173317-9</t>
  </si>
  <si>
    <t>Vesna Echeverria</t>
  </si>
  <si>
    <t>Avda. Simón Bolívar, 4150, Floor 402 G</t>
  </si>
  <si>
    <t>2026-03-06 16:09</t>
  </si>
  <si>
    <t>38328</t>
  </si>
  <si>
    <t>265962025</t>
  </si>
  <si>
    <t>NOMBRE RETIRA: FERNANDO GODOY ... RUT RETIRA: 12884919-K</t>
  </si>
  <si>
    <t>Fernando Godoy Jimenez</t>
  </si>
  <si>
    <t>Altos de Bulnes parcela 38 el Noga</t>
  </si>
  <si>
    <t>2026-03-09 10:54</t>
  </si>
  <si>
    <t>265792637</t>
  </si>
  <si>
    <t>NOMBRE RETIRA: RANGEL GRANADOS L RUT RETIRA: 70113400-1</t>
  </si>
  <si>
    <t>Luis Plaza</t>
  </si>
  <si>
    <t>Diag. Cervantes, 790, depto 303</t>
  </si>
  <si>
    <t>2026-03-06 10:12</t>
  </si>
  <si>
    <t>17866</t>
  </si>
  <si>
    <t>265816679</t>
  </si>
  <si>
    <t>NOMBRE RETIRA: GUSTAVO ZAMORANO M RUT RETIRA: 16345671-0</t>
  </si>
  <si>
    <t>Gustavo Zamorano Sanchez</t>
  </si>
  <si>
    <t>Los jardines 585</t>
  </si>
  <si>
    <t>2026-03-06 13:17</t>
  </si>
  <si>
    <t>17751</t>
  </si>
  <si>
    <t>265794460</t>
  </si>
  <si>
    <t>NOMBRE RETIRA: EUGENIO OLIVERA A RUT RETIRA: 65796520-0</t>
  </si>
  <si>
    <t>Carolina Yáñez Trujillo</t>
  </si>
  <si>
    <t>Avda. Lo Ovalle 1143, Dep 1302, San Miguel</t>
  </si>
  <si>
    <t>2026-03-06 10:28</t>
  </si>
  <si>
    <t>20111</t>
  </si>
  <si>
    <t>265797272</t>
  </si>
  <si>
    <t>NOMBRE RETIRA: CARMEN CUEVAS GUTIERREZ RUT RETIRA: 15776899-9</t>
  </si>
  <si>
    <t>VENTA DE PISCINAS ADOLFO TAPIA EIRL</t>
  </si>
  <si>
    <t>Jose miguel carrera 688</t>
  </si>
  <si>
    <t>2026-03-06 10:57</t>
  </si>
  <si>
    <t>53146</t>
  </si>
  <si>
    <t>265484457</t>
  </si>
  <si>
    <t>NOMBRE RETIRA: MARISOL MERCADO . RUT RETIRA: 21200748-K</t>
  </si>
  <si>
    <t>Marisol Mercado</t>
  </si>
  <si>
    <t>Maquinista Escobar 3146 local 129, Local 129</t>
  </si>
  <si>
    <t>2026-03-02 16:13</t>
  </si>
  <si>
    <t>20108</t>
  </si>
  <si>
    <t>265629112</t>
  </si>
  <si>
    <t>NOMBRE RETIRA: JOSE CISTERNA MARAMBIO RUT RETIRA: 53332029-5</t>
  </si>
  <si>
    <t>Jaime Cortes</t>
  </si>
  <si>
    <t>Tronador 1050 depto 210</t>
  </si>
  <si>
    <t>2026-03-04 10:13</t>
  </si>
  <si>
    <t>20104</t>
  </si>
  <si>
    <t>265623682</t>
  </si>
  <si>
    <t>NOMBRE RETIRA: JUAN VITERBO 0 RUT RETIRA: 18811518-7</t>
  </si>
  <si>
    <t>JOSE IGNACIO VITERB</t>
  </si>
  <si>
    <t>Avda Gramado 1299</t>
  </si>
  <si>
    <t>2026-03-04 09:14</t>
  </si>
  <si>
    <t>53162</t>
  </si>
  <si>
    <t>265545185</t>
  </si>
  <si>
    <t>NOMBRE RETIRA: VIOLETA MOSCOSO . . RUT RETIRA: 6815032-9</t>
  </si>
  <si>
    <t>Macarena Alvarado</t>
  </si>
  <si>
    <t>Pedro de Valdivia 5255,  i</t>
  </si>
  <si>
    <t>2026-03-03 11:26</t>
  </si>
  <si>
    <t>20049</t>
  </si>
  <si>
    <t>265529506</t>
  </si>
  <si>
    <t>NOMBRE RETIRA: GUIDO MONSALVES . RUT RETIRA: 19791888-8</t>
  </si>
  <si>
    <t>Canada House Spa</t>
  </si>
  <si>
    <t>CALLE MARCELO FOURCADE LOTE F1 PARQUE INDUSTRIAL</t>
  </si>
  <si>
    <t>2026-03-03 09:08</t>
  </si>
  <si>
    <t>53167</t>
  </si>
  <si>
    <t>265561392</t>
  </si>
  <si>
    <t>NOMBRE RETIRA: CONSERJERIA RECIBE . RUT RETIRA: 20596540-8</t>
  </si>
  <si>
    <t>Jonathan Reyes Cortez</t>
  </si>
  <si>
    <t>Lord Cochrane, 309, Floor 1209,</t>
  </si>
  <si>
    <t>2026-03-03 13:58</t>
  </si>
  <si>
    <t>53137</t>
  </si>
  <si>
    <t>265484596</t>
  </si>
  <si>
    <t>NOMBRE RETIRA: ANTONIO POBLETE . RUT RETIRA: 56033900-3</t>
  </si>
  <si>
    <t>Anita Schmidt Uribe</t>
  </si>
  <si>
    <t>Corte De Apelaciones, 1051, Floor 1301</t>
  </si>
  <si>
    <t>2026-03-02 16:20</t>
  </si>
  <si>
    <t>53140</t>
  </si>
  <si>
    <t>265484556</t>
  </si>
  <si>
    <t>NOMBRE RETIRA: VERO J J RUT RETIRA: 9058436-7</t>
  </si>
  <si>
    <t>Veronica Echenique</t>
  </si>
  <si>
    <t>Fontana rosa, 7106, Floor 402</t>
  </si>
  <si>
    <t>2026-03-02 16:26</t>
  </si>
  <si>
    <t>53136</t>
  </si>
  <si>
    <t>265484582</t>
  </si>
  <si>
    <t>NOMBRE RETIRA: LUIS OVALLE M RUT RETIRA: 65204666-5</t>
  </si>
  <si>
    <t>Alexis Parada Bustamante</t>
  </si>
  <si>
    <t>Holanda, 3235, Floor 808</t>
  </si>
  <si>
    <t>2026-03-02 16:19</t>
  </si>
  <si>
    <t>38274</t>
  </si>
  <si>
    <t>265559849</t>
  </si>
  <si>
    <t>NOMBRE RETIRA: JOSE ALFARO . RUT RETIRA: 17274464-8</t>
  </si>
  <si>
    <t>Jose Alfaro</t>
  </si>
  <si>
    <t>La Portada 13</t>
  </si>
  <si>
    <t>2026-03-03 13:33</t>
  </si>
  <si>
    <t>53145</t>
  </si>
  <si>
    <t>265484480</t>
  </si>
  <si>
    <t>NOMBRE RETIRA: JOSE FERNANDEZ CONSERJE RUT RETIRA: 15505892-7</t>
  </si>
  <si>
    <t>Tatiana Cornejo</t>
  </si>
  <si>
    <t>Bandera, 84, Floor 309</t>
  </si>
  <si>
    <t>2026-03-02 16:12</t>
  </si>
  <si>
    <t>53144</t>
  </si>
  <si>
    <t>265484495</t>
  </si>
  <si>
    <t>NOMBRE RETIRA: ALEJANDRO FLORES A RUT RETIRA: 53305551-6</t>
  </si>
  <si>
    <t>Adela Marin</t>
  </si>
  <si>
    <t>Aurelio González, 3716, Floor 408</t>
  </si>
  <si>
    <t>2026-03-02 16:10</t>
  </si>
  <si>
    <t>53143</t>
  </si>
  <si>
    <t>265484518</t>
  </si>
  <si>
    <t>NOMBRE RETIRA: JUAN VALCARZAE J RUT RETIRA: 56065860-5</t>
  </si>
  <si>
    <t>Francisca Jorquera</t>
  </si>
  <si>
    <t>Robles, 13169, Floor 33</t>
  </si>
  <si>
    <t>53135</t>
  </si>
  <si>
    <t>265484589</t>
  </si>
  <si>
    <t>NOMBRE RETIRA: MAGDALENA ROS J RUT RETIRA: 22295758-3</t>
  </si>
  <si>
    <t>Pablo Donoso</t>
  </si>
  <si>
    <t>Los Retamso, 10345</t>
  </si>
  <si>
    <t>2026-03-02 16:16</t>
  </si>
  <si>
    <t>53139</t>
  </si>
  <si>
    <t>265484543</t>
  </si>
  <si>
    <t>NOMBRE RETIRA: ANDRES CAMPOS V RUT RETIRA: 15841183-0</t>
  </si>
  <si>
    <t>Andres Campos Munoz</t>
  </si>
  <si>
    <t>El Líbano, 3652</t>
  </si>
  <si>
    <t>2026-03-02 16:24</t>
  </si>
  <si>
    <t>38275</t>
  </si>
  <si>
    <t>265559846</t>
  </si>
  <si>
    <t>NOMBRE RETIRA: SEBASTIAN BENUCCI . RUT RETIRA: 17661535-4</t>
  </si>
  <si>
    <t>Sebastian Benucci</t>
  </si>
  <si>
    <t>El Galope 234</t>
  </si>
  <si>
    <t>2026-03-03 13:40</t>
  </si>
  <si>
    <t>53161</t>
  </si>
  <si>
    <t>265533352</t>
  </si>
  <si>
    <t>NOMBRE RETIRA: VALENTINA ORDENEA ORSENWS RUT RETIRA: 21567275-1</t>
  </si>
  <si>
    <t>Valentina Ordenes</t>
  </si>
  <si>
    <t>Rosa Mosqueta, 2281, Bosques de Santa Clara</t>
  </si>
  <si>
    <t>2026-03-03 09:39</t>
  </si>
  <si>
    <t>53166</t>
  </si>
  <si>
    <t>265561397</t>
  </si>
  <si>
    <t>Jorge Ojeda</t>
  </si>
  <si>
    <t>Avda Pdte Sebastian Piñera E., 22, Floor 51</t>
  </si>
  <si>
    <t>38255</t>
  </si>
  <si>
    <t>265435972</t>
  </si>
  <si>
    <t>NOMBRE RETIRA: GUSTAVO FAUNDEZ . RUT RETIRA: 15173717-K</t>
  </si>
  <si>
    <t>Gustavo Alonso Faúndez Barra</t>
  </si>
  <si>
    <t>avenida Vial 213 comuna de Cabrero, Región del Biobío</t>
  </si>
  <si>
    <t>2026-03-02 09:46</t>
  </si>
  <si>
    <t>53138</t>
  </si>
  <si>
    <t>265484567</t>
  </si>
  <si>
    <t>NOMBRE RETIRA: MICHELLE ANES . RUT RETIRA: 56061750-K</t>
  </si>
  <si>
    <t>ALEJANDRO TORO</t>
  </si>
  <si>
    <t>Partenon, 1775, Floor 602</t>
  </si>
  <si>
    <t>2026-03-02 16:22</t>
  </si>
  <si>
    <t>38262</t>
  </si>
  <si>
    <t>265449112</t>
  </si>
  <si>
    <t>NOMBRE RETIRA: ELIZABETH GUERRA 0 RUT RETIRA: 12345678-5</t>
  </si>
  <si>
    <t>Wilson Miranda Lopez</t>
  </si>
  <si>
    <t>calle avenida argentina #193</t>
  </si>
  <si>
    <t>2026-03-02 11:40</t>
  </si>
  <si>
    <t>20097</t>
  </si>
  <si>
    <t>265451955</t>
  </si>
  <si>
    <t>NOMBRE RETIRA: ALAN ABARCA A RUT RETIRA: 17850929-2</t>
  </si>
  <si>
    <t>FRANCISCA GUARDA</t>
  </si>
  <si>
    <t>Volcán lanin 450, Parque Industrial Lo Boza</t>
  </si>
  <si>
    <t>2026-03-02 11:59</t>
  </si>
  <si>
    <t>38254</t>
  </si>
  <si>
    <t>265435957</t>
  </si>
  <si>
    <t>NOMBRE RETIRA: PABLO PEREZ . RUT RETIRA: 16096127-9</t>
  </si>
  <si>
    <t>Maria De La Maza</t>
  </si>
  <si>
    <t>General John Obrien 2296</t>
  </si>
  <si>
    <t>20081</t>
  </si>
  <si>
    <t>265138819</t>
  </si>
  <si>
    <t>NOMBRE RETIRA: JOSE RIVERAS MIRA RUT RETIRA: 10596847-7</t>
  </si>
  <si>
    <t>José Riveras</t>
  </si>
  <si>
    <t>Jose M. Carrera 784</t>
  </si>
  <si>
    <t>2026-02-25 17:21</t>
  </si>
  <si>
    <t>20091</t>
  </si>
  <si>
    <t>265271892</t>
  </si>
  <si>
    <t>NOMBRE RETIRA: JORGE SANDOVAL MERINO RUT RETIRA: 13922181-8</t>
  </si>
  <si>
    <t>Sando Construcciones Limitada</t>
  </si>
  <si>
    <t>Manzo De Velasco No 272</t>
  </si>
  <si>
    <t>2026-02-27 10:55</t>
  </si>
  <si>
    <t>53120</t>
  </si>
  <si>
    <t>265258174</t>
  </si>
  <si>
    <t>NOMBRE RETIRA: PABLO BAEZA CLIENTE RUT RETIRA: 7082561-9</t>
  </si>
  <si>
    <t>Pablo Baeza Munoz</t>
  </si>
  <si>
    <t>Pasaje Blest Gana, 6815C,  Casa C</t>
  </si>
  <si>
    <t>2026-02-27 09:14</t>
  </si>
  <si>
    <t>38242</t>
  </si>
  <si>
    <t>265260267</t>
  </si>
  <si>
    <t>NOMBRE RETIRA: JAIME JUNEMANN JUNEMANN RUT RETIRA: 15784631-0</t>
  </si>
  <si>
    <t>Jaime Junemann</t>
  </si>
  <si>
    <t>Camoens 6581</t>
  </si>
  <si>
    <t>2026-02-27 09:39</t>
  </si>
  <si>
    <t>17843</t>
  </si>
  <si>
    <t>265263469</t>
  </si>
  <si>
    <t>NOMBRE RETIRA: LEONARDO HERNANDEZ . RUT RETIRA: 26381083-K</t>
  </si>
  <si>
    <t>FREDDY SILVA VIELMA</t>
  </si>
  <si>
    <t>42 1/2 Oriente A 3565</t>
  </si>
  <si>
    <t>2026-02-27 09:47</t>
  </si>
  <si>
    <t>53119</t>
  </si>
  <si>
    <t>265258170</t>
  </si>
  <si>
    <t>NOMBRE RETIRA: MARGSRITA DONOSO . RUT RETIRA: 7414671-6</t>
  </si>
  <si>
    <t>Margarita Donoso Henriquez</t>
  </si>
  <si>
    <t>Los Incas, 1727</t>
  </si>
  <si>
    <t>2026-02-27 09:13</t>
  </si>
  <si>
    <t>38235</t>
  </si>
  <si>
    <t>265195043</t>
  </si>
  <si>
    <t>Fernando cruz</t>
  </si>
  <si>
    <t>Carmen 602 Depto 2402</t>
  </si>
  <si>
    <t>2026-02-26 12:16</t>
  </si>
  <si>
    <t>265134905</t>
  </si>
  <si>
    <t>NOMBRE RETIRA: ADRIANA LACRUZ . RUT RETIRA: 26961682-2</t>
  </si>
  <si>
    <t>Adriana La Cruz</t>
  </si>
  <si>
    <t>Alcalde pedro Alarcón 762</t>
  </si>
  <si>
    <t>2026-02-25 16:46</t>
  </si>
  <si>
    <t>20082</t>
  </si>
  <si>
    <t>265090437</t>
  </si>
  <si>
    <t>NOMBRE RETIRA: JAIME BUSTOS . RUT RETIRA: 26440955-1</t>
  </si>
  <si>
    <t>Jaime Bustos Vera</t>
  </si>
  <si>
    <t>Av Arturo Prat 1724 Depto 1707</t>
  </si>
  <si>
    <t>2026-02-25 09:28</t>
  </si>
  <si>
    <t>11108</t>
  </si>
  <si>
    <t>265090433</t>
  </si>
  <si>
    <t>NOMBRE RETIRA: IVAN TORRES . RUT RETIRA: 56085000-K</t>
  </si>
  <si>
    <t>Jorge Eyzaguirre</t>
  </si>
  <si>
    <t>Lo Recabarren 6351</t>
  </si>
  <si>
    <t>2026-02-25 09:42</t>
  </si>
  <si>
    <t>38472</t>
  </si>
  <si>
    <t>9450110165</t>
  </si>
  <si>
    <t>Daniel Pinilla Echaniz</t>
  </si>
  <si>
    <t>Castellon 64, Concepcion, (Biobio) (Referencia: Edificio Lets Go (Castellón 64))</t>
  </si>
  <si>
    <t>2026-03-24 10:57</t>
  </si>
  <si>
    <t>17933</t>
  </si>
  <si>
    <t>9450007626</t>
  </si>
  <si>
    <t>María Josefina Barrague Iturriaga</t>
  </si>
  <si>
    <t>Av Bicentenario 4035, Santiago de Chile., A142</t>
  </si>
  <si>
    <t>2026-03-23 17:09</t>
  </si>
  <si>
    <t>17930</t>
  </si>
  <si>
    <t>9449951350</t>
  </si>
  <si>
    <t>Vania Torres Navia</t>
  </si>
  <si>
    <t>Amunategui 725 depto 1114</t>
  </si>
  <si>
    <t>2026-03-23 11:38</t>
  </si>
  <si>
    <t>38430</t>
  </si>
  <si>
    <t>9449934605</t>
  </si>
  <si>
    <t>Juan Jara Vergara</t>
  </si>
  <si>
    <t>Jardines del bosque 226, casa 19  Valparaiso</t>
  </si>
  <si>
    <t>2026-03-23 11:12</t>
  </si>
  <si>
    <t>17924</t>
  </si>
  <si>
    <t>9449922646</t>
  </si>
  <si>
    <t>Francisco Pinochet Molina</t>
  </si>
  <si>
    <t>Av.José Rabat 10.670, Chicureo, Casa H6</t>
  </si>
  <si>
    <t>2026-03-23 10:06</t>
  </si>
  <si>
    <t>17932</t>
  </si>
  <si>
    <t>9449903536</t>
  </si>
  <si>
    <t>Maria Ines Diaz Paredes</t>
  </si>
  <si>
    <t>Bustamante 772 dpto1208, General Bustamante 772</t>
  </si>
  <si>
    <t>2026-03-23 14:07</t>
  </si>
  <si>
    <t>17925</t>
  </si>
  <si>
    <t>9449780992</t>
  </si>
  <si>
    <t>Denisse Saavedra</t>
  </si>
  <si>
    <t>Romilio Burgos 2579, Romilio burgos 2579 vitacura</t>
  </si>
  <si>
    <t>2026-03-23 10:07</t>
  </si>
  <si>
    <t>17921</t>
  </si>
  <si>
    <t>9449725961</t>
  </si>
  <si>
    <t>Hugo Zunino</t>
  </si>
  <si>
    <t>Martin Lutero 02145, Depto 304-A</t>
  </si>
  <si>
    <t>2026-03-23 09:59</t>
  </si>
  <si>
    <t>17910</t>
  </si>
  <si>
    <t>9449697106</t>
  </si>
  <si>
    <t>Martin Puffe</t>
  </si>
  <si>
    <t>Av. Cordillera 255, casa 12</t>
  </si>
  <si>
    <t>2026-03-23 11:52</t>
  </si>
  <si>
    <t>17918</t>
  </si>
  <si>
    <t>9449695673</t>
  </si>
  <si>
    <t>NICOLAS GARCIA</t>
  </si>
  <si>
    <t>RUTA N-55 KM 80, CAMINO TERMAS DE CHILLAN</t>
  </si>
  <si>
    <t>Pinto</t>
  </si>
  <si>
    <t>2026-03-23 09:57</t>
  </si>
  <si>
    <t>11132</t>
  </si>
  <si>
    <t>9449635145</t>
  </si>
  <si>
    <t>Tomas Morgado</t>
  </si>
  <si>
    <t>Vasco NÚÑez De Balboa 1305</t>
  </si>
  <si>
    <t>2026-03-22 10:43</t>
  </si>
  <si>
    <t>24032026</t>
  </si>
  <si>
    <t>9449629066</t>
  </si>
  <si>
    <t>Zaida Muñoz</t>
  </si>
  <si>
    <t>Pedro leon gallo 1050</t>
  </si>
  <si>
    <t>2026-03-24 13:50</t>
  </si>
  <si>
    <t>17922</t>
  </si>
  <si>
    <t>9449612896</t>
  </si>
  <si>
    <t>Karin Nuñez</t>
  </si>
  <si>
    <t>Calle tres casa5612, Valle san Eugenio talcahuano</t>
  </si>
  <si>
    <t>2026-03-23 10:00</t>
  </si>
  <si>
    <t>11133</t>
  </si>
  <si>
    <t>9449595831</t>
  </si>
  <si>
    <t>Diego Ignacio Bonilla Silva</t>
  </si>
  <si>
    <t>Traslaviña 1272</t>
  </si>
  <si>
    <t>2026-03-22 17:38</t>
  </si>
  <si>
    <t>17913</t>
  </si>
  <si>
    <t>9449586532</t>
  </si>
  <si>
    <t>Gina Godoy</t>
  </si>
  <si>
    <t>Los Nardos 2486</t>
  </si>
  <si>
    <t>2026-03-23 09:47</t>
  </si>
  <si>
    <t>17923</t>
  </si>
  <si>
    <t>9449517755</t>
  </si>
  <si>
    <t>Daniel Perez</t>
  </si>
  <si>
    <t>Adelaida Calvo 170</t>
  </si>
  <si>
    <t>2026-03-23 10:04</t>
  </si>
  <si>
    <t>38445</t>
  </si>
  <si>
    <t>9449486712</t>
  </si>
  <si>
    <t>Elsa Velasquez</t>
  </si>
  <si>
    <t>Ignacio Serrano 145, Calbuco, los lagos (Referencia: Mercado elena)</t>
  </si>
  <si>
    <t>2026-03-23 11:27</t>
  </si>
  <si>
    <t>38452</t>
  </si>
  <si>
    <t>9449415894</t>
  </si>
  <si>
    <t>Juan Luis González Carrasco</t>
  </si>
  <si>
    <t>Los Prunos 1340, San Ramon, RM (Referencia: Casa blanca de rejas negras. Por favor, tocar timbre)</t>
  </si>
  <si>
    <t>2026-03-23 11:30</t>
  </si>
  <si>
    <t>17917</t>
  </si>
  <si>
    <t>9449388115</t>
  </si>
  <si>
    <t>Cristobal Kaltwasser</t>
  </si>
  <si>
    <t>El Rincón 12464, Casa 2</t>
  </si>
  <si>
    <t>2026-03-23 09:54</t>
  </si>
  <si>
    <t>38469</t>
  </si>
  <si>
    <t>9449350164</t>
  </si>
  <si>
    <t>Santiago García</t>
  </si>
  <si>
    <t>Sebastian Elcano 1137, Depto 301, Las Condes (</t>
  </si>
  <si>
    <t>2026-03-24 10:49</t>
  </si>
  <si>
    <t>17934</t>
  </si>
  <si>
    <t>9449336853</t>
  </si>
  <si>
    <t>Pedro Glatz Brahm</t>
  </si>
  <si>
    <t>Horcon 4625, Dpto 83</t>
  </si>
  <si>
    <t>2026-03-24 09:49</t>
  </si>
  <si>
    <t>17912</t>
  </si>
  <si>
    <t>9449329746</t>
  </si>
  <si>
    <t>Pamela Gonzalez</t>
  </si>
  <si>
    <t>Av Ensenada 6323, Condominio ensenada</t>
  </si>
  <si>
    <t>17929</t>
  </si>
  <si>
    <t>9449315864</t>
  </si>
  <si>
    <t>Nicolai Samsing</t>
  </si>
  <si>
    <t>Almirante Acevedo 4885, Vitacura</t>
  </si>
  <si>
    <t>2026-03-23 10:11</t>
  </si>
  <si>
    <t>17903</t>
  </si>
  <si>
    <t>9448119634</t>
  </si>
  <si>
    <t>Tomislav Maricic Cuneo</t>
  </si>
  <si>
    <t>Condominio Country Pucón, 2° faja, km 17, Parcela 84 3C Lote Z</t>
  </si>
  <si>
    <t>17908</t>
  </si>
  <si>
    <t>9448018952</t>
  </si>
  <si>
    <t>Maria Ofelia Ronco</t>
  </si>
  <si>
    <t>Seis Norte 1015, Depto. 901</t>
  </si>
  <si>
    <t>2026-03-20 10:24</t>
  </si>
  <si>
    <t>17904</t>
  </si>
  <si>
    <t>9447922061</t>
  </si>
  <si>
    <t>Carolina Magnasco</t>
  </si>
  <si>
    <t>Llanquihue 260, sector Los Piños, Reñaca, segunda casa, Llanquihue 260, sector Los Piños, Reñaca, segunda casa</t>
  </si>
  <si>
    <t>2026-03-19 10:28</t>
  </si>
  <si>
    <t>17882</t>
  </si>
  <si>
    <t>9447704711</t>
  </si>
  <si>
    <t>Jorge Castro Cerpa</t>
  </si>
  <si>
    <t>Badajoz 130, Las Condes, Santiago, Oficina 503</t>
  </si>
  <si>
    <t>2026-03-12 10:47</t>
  </si>
  <si>
    <t>20150</t>
  </si>
  <si>
    <t>9447563425</t>
  </si>
  <si>
    <t>Aquiles Abarzua</t>
  </si>
  <si>
    <t>Pichilemu 530, Pichilemu (cabañas Costapatagonia)</t>
  </si>
  <si>
    <t>2026-03-13 10:37</t>
  </si>
  <si>
    <t>20125</t>
  </si>
  <si>
    <t>9447465591</t>
  </si>
  <si>
    <t>Plath 1654, santa Inés</t>
  </si>
  <si>
    <t>2026-03-12 12:48</t>
  </si>
  <si>
    <t>11120</t>
  </si>
  <si>
    <t>9447464165</t>
  </si>
  <si>
    <t>Vicente Rodriguez-Cano</t>
  </si>
  <si>
    <t>Rio Puelo 5860</t>
  </si>
  <si>
    <t>2026-03-11 23:16</t>
  </si>
  <si>
    <t>11123</t>
  </si>
  <si>
    <t>9447452140</t>
  </si>
  <si>
    <t>Osvaldo Forni</t>
  </si>
  <si>
    <t>Orion 780</t>
  </si>
  <si>
    <t>El Quisco</t>
  </si>
  <si>
    <t>2026-03-12 17:35</t>
  </si>
  <si>
    <t>11121</t>
  </si>
  <si>
    <t>9447449281</t>
  </si>
  <si>
    <t>Monica Cano</t>
  </si>
  <si>
    <t>Los Abedules 1381</t>
  </si>
  <si>
    <t>2026-03-12 07:43</t>
  </si>
  <si>
    <t>17915</t>
  </si>
  <si>
    <t>9447386756</t>
  </si>
  <si>
    <t>Daniel Viafora</t>
  </si>
  <si>
    <t>PADRE FEIJOO 863 LOMAS DE SAN ANDRES, 4</t>
  </si>
  <si>
    <t>2026-03-23 09:51</t>
  </si>
  <si>
    <t>38475</t>
  </si>
  <si>
    <t>9447352832</t>
  </si>
  <si>
    <t>Sergio Fuenzalida</t>
  </si>
  <si>
    <t>De Las Camelias 7926, Penalolen (RM (Metropolitana)) 104 Referencia: Piso 10</t>
  </si>
  <si>
    <t>2026-03-24 11:15</t>
  </si>
  <si>
    <t>17909</t>
  </si>
  <si>
    <t>9447318602</t>
  </si>
  <si>
    <t>Aurora Canales</t>
  </si>
  <si>
    <t>Av. lo Cruzat 0112</t>
  </si>
  <si>
    <t>2026-03-20 12:48</t>
  </si>
  <si>
    <t>17926</t>
  </si>
  <si>
    <t>9447305431</t>
  </si>
  <si>
    <t>PATRICIO DROGUETT RICHASSE</t>
  </si>
  <si>
    <t>Alicahue 7615</t>
  </si>
  <si>
    <t>2026-03-23 10:09</t>
  </si>
  <si>
    <t>38433</t>
  </si>
  <si>
    <t>9447236046</t>
  </si>
  <si>
    <t>Macarena valdes Olivos</t>
  </si>
  <si>
    <t>23 Oriente 2238, Talca, MAULE</t>
  </si>
  <si>
    <t>2026-03-23 11:16</t>
  </si>
  <si>
    <t>20194</t>
  </si>
  <si>
    <t>9447143263</t>
  </si>
  <si>
    <t>Jorge Atenas Solis</t>
  </si>
  <si>
    <t>Camino La Reina condominio el cobijo Sn 0000, Colina (Referencia: Colina (RM (Metropolitana)) Parcela K Referencia: Condominio el cobijo)</t>
  </si>
  <si>
    <t>2026-03-23 14:04</t>
  </si>
  <si>
    <t>17916</t>
  </si>
  <si>
    <t>9446998455</t>
  </si>
  <si>
    <t>Christian Vera Lobos</t>
  </si>
  <si>
    <t>Pasaje  Nottingham 02659</t>
  </si>
  <si>
    <t>17878</t>
  </si>
  <si>
    <t>9446962383</t>
  </si>
  <si>
    <t>Francisca Toral</t>
  </si>
  <si>
    <t>Sucre2359, Sucre2359</t>
  </si>
  <si>
    <t>2026-03-11 17:19</t>
  </si>
  <si>
    <t>20143</t>
  </si>
  <si>
    <t>9446939655</t>
  </si>
  <si>
    <t>Cristian Luis Sage</t>
  </si>
  <si>
    <t>girasol 6385, San Joaquín, RM</t>
  </si>
  <si>
    <t>17881</t>
  </si>
  <si>
    <t>9446835871</t>
  </si>
  <si>
    <t>Blanca Chaparro</t>
  </si>
  <si>
    <t>Av Apoquindo 3795 dpto 104</t>
  </si>
  <si>
    <t>2026-03-12 10:43</t>
  </si>
  <si>
    <t>repuesto11032026</t>
  </si>
  <si>
    <t>9446826513</t>
  </si>
  <si>
    <t>Martin Armstrong</t>
  </si>
  <si>
    <t>Rafael Sotomayor 505, barrio Lonco Ray, CHIGUAYANTE</t>
  </si>
  <si>
    <t>2026-03-11 14:08</t>
  </si>
  <si>
    <t>17885</t>
  </si>
  <si>
    <t>9446792353</t>
  </si>
  <si>
    <t>Werner Michea Tello</t>
  </si>
  <si>
    <t>Genova 396, Genova 396</t>
  </si>
  <si>
    <t>2026-03-12 15:15</t>
  </si>
  <si>
    <t>17880</t>
  </si>
  <si>
    <t>9446694401</t>
  </si>
  <si>
    <t>Jorge Torres Alarcon</t>
  </si>
  <si>
    <t>Avenida Víctor Troncoso Muñoz 375 - Casa 75</t>
  </si>
  <si>
    <t>2026-03-12 10:42</t>
  </si>
  <si>
    <t>11119</t>
  </si>
  <si>
    <t>9446607155</t>
  </si>
  <si>
    <t>Jorge Bolelli Rabie</t>
  </si>
  <si>
    <t>Parinacota 1650</t>
  </si>
  <si>
    <t>2026-03-10 16:24</t>
  </si>
  <si>
    <t>11127</t>
  </si>
  <si>
    <t>9446537553</t>
  </si>
  <si>
    <t>Ricardo Pavez</t>
  </si>
  <si>
    <t>Exequiel fernandez 620</t>
  </si>
  <si>
    <t>2026-03-17 08:54</t>
  </si>
  <si>
    <t>17900</t>
  </si>
  <si>
    <t>9446500991</t>
  </si>
  <si>
    <t>Baldomera Jimenez</t>
  </si>
  <si>
    <t>Pablo Luer 627, Pablo Luer 627</t>
  </si>
  <si>
    <t>2026-03-18 10:04</t>
  </si>
  <si>
    <t>17898</t>
  </si>
  <si>
    <t>9446358176</t>
  </si>
  <si>
    <t>Maria Schuster</t>
  </si>
  <si>
    <t>Las Dalias 2681, depto 21</t>
  </si>
  <si>
    <t>2026-03-16 15:47</t>
  </si>
  <si>
    <t>servicio170326</t>
  </si>
  <si>
    <t>9446343701</t>
  </si>
  <si>
    <t>carmen allende</t>
  </si>
  <si>
    <t>loteo ottendorf, parcela 76, Linea NUeva</t>
  </si>
  <si>
    <t>2026-03-17 13:22</t>
  </si>
  <si>
    <t>11128</t>
  </si>
  <si>
    <t>9446244135</t>
  </si>
  <si>
    <t>Nicole Ruff</t>
  </si>
  <si>
    <t>José Rabat 8195 casa 129</t>
  </si>
  <si>
    <t>2026-03-17 18:23</t>
  </si>
  <si>
    <t>11124</t>
  </si>
  <si>
    <t>9446069113</t>
  </si>
  <si>
    <t>Soledad Fuentes</t>
  </si>
  <si>
    <t>Elcira Lemus 0299</t>
  </si>
  <si>
    <t>2026-03-13 12:40</t>
  </si>
  <si>
    <t>17894</t>
  </si>
  <si>
    <t>9445919571</t>
  </si>
  <si>
    <t>Claudio Aguilar Barrientos</t>
  </si>
  <si>
    <t>Carlos Krahmer 2277, Departamento 134</t>
  </si>
  <si>
    <t>2026-03-16 09:45</t>
  </si>
  <si>
    <t>17890</t>
  </si>
  <si>
    <t>9445856615</t>
  </si>
  <si>
    <t>eugenia loyola</t>
  </si>
  <si>
    <t>detective solon salas 1474</t>
  </si>
  <si>
    <t>2026-03-16 09:31</t>
  </si>
  <si>
    <t>11125</t>
  </si>
  <si>
    <t>9445853561</t>
  </si>
  <si>
    <t>Pablo Sánchez Univazo</t>
  </si>
  <si>
    <t>Vía Aurora 8781, Vitacura</t>
  </si>
  <si>
    <t>2026-03-13 15:08</t>
  </si>
  <si>
    <t>17895</t>
  </si>
  <si>
    <t>9445835884</t>
  </si>
  <si>
    <t>2026-03-16 09:48</t>
  </si>
  <si>
    <t>17877</t>
  </si>
  <si>
    <t>9445691850</t>
  </si>
  <si>
    <t>Francisca Vial</t>
  </si>
  <si>
    <t>Los Lomajes 1168, Las Condes</t>
  </si>
  <si>
    <t>2026-03-11 09:34</t>
  </si>
  <si>
    <t>11118</t>
  </si>
  <si>
    <t>9445682842</t>
  </si>
  <si>
    <t>José tomas Rojas olguin</t>
  </si>
  <si>
    <t>Ruta g668 km26. 5</t>
  </si>
  <si>
    <t>2026-03-09 23:02</t>
  </si>
  <si>
    <t>17875</t>
  </si>
  <si>
    <t>9445659834</t>
  </si>
  <si>
    <t>Oscar Cravero Molina</t>
  </si>
  <si>
    <t>Av Andalue 1480 depto 308</t>
  </si>
  <si>
    <t>2026-03-09 15:46</t>
  </si>
  <si>
    <t>11117</t>
  </si>
  <si>
    <t>9445551065</t>
  </si>
  <si>
    <t>trinidad mackenna</t>
  </si>
  <si>
    <t>Padre Pablo Gordan 890</t>
  </si>
  <si>
    <t>2026-03-08 09:27</t>
  </si>
  <si>
    <t>17876</t>
  </si>
  <si>
    <t>9445538303</t>
  </si>
  <si>
    <t>Sebastián Núñez</t>
  </si>
  <si>
    <t>Chamisero 17860, casa 63</t>
  </si>
  <si>
    <t>2026-03-11 09:29</t>
  </si>
  <si>
    <t>17891</t>
  </si>
  <si>
    <t>9445287110</t>
  </si>
  <si>
    <t>Nicolás Gutierrez</t>
  </si>
  <si>
    <t>Alicante 920, 162</t>
  </si>
  <si>
    <t>17897</t>
  </si>
  <si>
    <t>9445286771</t>
  </si>
  <si>
    <t>frane zilic</t>
  </si>
  <si>
    <t>anibal pinto 36, depto 1103</t>
  </si>
  <si>
    <t>respuesto160326</t>
  </si>
  <si>
    <t>9445281333</t>
  </si>
  <si>
    <t>Fernán Barrios Alessandri</t>
  </si>
  <si>
    <t>Línea nueva km 1,7 rancho lomas verdes, parcela 34</t>
  </si>
  <si>
    <t>2026-03-16 14:51</t>
  </si>
  <si>
    <t>17892</t>
  </si>
  <si>
    <t>9445184324</t>
  </si>
  <si>
    <t>Lorena Oyarce</t>
  </si>
  <si>
    <t>Avenida Suiza 815</t>
  </si>
  <si>
    <t>17889</t>
  </si>
  <si>
    <t>9445105795</t>
  </si>
  <si>
    <t>NICOLAS jonovanovic</t>
  </si>
  <si>
    <t>Barcelona 1767</t>
  </si>
  <si>
    <t>2026-03-13 16:27</t>
  </si>
  <si>
    <t>17886</t>
  </si>
  <si>
    <t>9445091946</t>
  </si>
  <si>
    <t>Hospital San Carlos</t>
  </si>
  <si>
    <t>La Foresta 1696</t>
  </si>
  <si>
    <t>2026-03-13 15:27</t>
  </si>
  <si>
    <t>17893</t>
  </si>
  <si>
    <t>9445073820</t>
  </si>
  <si>
    <t>Rodrigo esparza</t>
  </si>
  <si>
    <t>Pedro de Alcántara 1698, edificio el castaño, depto 701</t>
  </si>
  <si>
    <t>17887</t>
  </si>
  <si>
    <t>9445041410</t>
  </si>
  <si>
    <t>CLAUDIO OSORIO</t>
  </si>
  <si>
    <t>EXEQUIEL FERNANDEZ 1449 DPTO 406</t>
  </si>
  <si>
    <t>2026-03-13 15:30</t>
  </si>
  <si>
    <t>17896</t>
  </si>
  <si>
    <t>9445004052</t>
  </si>
  <si>
    <t>CHRISTIAN GUZMAN LAGOS</t>
  </si>
  <si>
    <t>Calle Pudeto 201, Correos de Chile-casilla #1</t>
  </si>
  <si>
    <t>2026-03-16 09:49</t>
  </si>
  <si>
    <t>17847</t>
  </si>
  <si>
    <t>9444283365</t>
  </si>
  <si>
    <t>Nicolas Ovalle</t>
  </si>
  <si>
    <t>Dario Urzua 2081, Providencia</t>
  </si>
  <si>
    <t>2026-03-02 09:19</t>
  </si>
  <si>
    <t>17849</t>
  </si>
  <si>
    <t>9444278480</t>
  </si>
  <si>
    <t>RICARDO BRODSKY BAUDE</t>
  </si>
  <si>
    <t>ANDACOLLO 1600 DEPTO 202</t>
  </si>
  <si>
    <t>2026-03-02 09:22</t>
  </si>
  <si>
    <t>17853</t>
  </si>
  <si>
    <t>9444196845</t>
  </si>
  <si>
    <t>jean paul SCHLOSSER</t>
  </si>
  <si>
    <t>arturo perez canto 660, dpto 1009, edificio bosque de collao</t>
  </si>
  <si>
    <t>2026-03-02 16:56</t>
  </si>
  <si>
    <t>repuesto270226</t>
  </si>
  <si>
    <t>9444049322</t>
  </si>
  <si>
    <t>Helmuth Hoffmann</t>
  </si>
  <si>
    <t>Av. Gabriela mistral #25  Edificio distrito Icono</t>
  </si>
  <si>
    <t>2026-02-27 15:00</t>
  </si>
  <si>
    <t>17848</t>
  </si>
  <si>
    <t>9443947531</t>
  </si>
  <si>
    <t>Daniel Bugueño D.</t>
  </si>
  <si>
    <t>Pedro Lagos 551, departamento 1422</t>
  </si>
  <si>
    <t>2026-03-02 09:21</t>
  </si>
  <si>
    <t>17844</t>
  </si>
  <si>
    <t>9443922390</t>
  </si>
  <si>
    <t>Sergio Quijada</t>
  </si>
  <si>
    <t>Los exportadores 4494 puente alto, 4494</t>
  </si>
  <si>
    <t>17845</t>
  </si>
  <si>
    <t>9443893631</t>
  </si>
  <si>
    <t>Israel Rojas</t>
  </si>
  <si>
    <t>Valle las trancas sur 497, Casa</t>
  </si>
  <si>
    <t>2026-02-27 09:52</t>
  </si>
  <si>
    <t>17850</t>
  </si>
  <si>
    <t>9443752743</t>
  </si>
  <si>
    <t>Diego Gaete</t>
  </si>
  <si>
    <t>Fernando Lazcano 1220, 408b</t>
  </si>
  <si>
    <t>2026-03-02 09:39</t>
  </si>
  <si>
    <t>Repuesto-270226</t>
  </si>
  <si>
    <t>9443684876</t>
  </si>
  <si>
    <t>cristian rodriguez castillo</t>
  </si>
  <si>
    <t>patricio lynch 295</t>
  </si>
  <si>
    <t>2026-02-27 11:55</t>
  </si>
  <si>
    <t>17851</t>
  </si>
  <si>
    <t>9443678635</t>
  </si>
  <si>
    <t>Elena Astorga Droguett</t>
  </si>
  <si>
    <t>Argomedo 321, departamento 1205, Argomedo 321, departamento 1205</t>
  </si>
  <si>
    <t>2026-03-02 12:15</t>
  </si>
  <si>
    <t>17860</t>
  </si>
  <si>
    <t>9443359671</t>
  </si>
  <si>
    <t>Cecilia Faltin</t>
  </si>
  <si>
    <t>Circunvalación Volcán Peteroa 1950</t>
  </si>
  <si>
    <t>2026-03-04 10:28</t>
  </si>
  <si>
    <t>38288</t>
  </si>
  <si>
    <t>9443300263</t>
  </si>
  <si>
    <t>Waleska Angulo</t>
  </si>
  <si>
    <t>La Rinconada 02570 Temuco</t>
  </si>
  <si>
    <t>2026-03-04 13:07</t>
  </si>
  <si>
    <t>17854</t>
  </si>
  <si>
    <t>9443032071</t>
  </si>
  <si>
    <t>Paola Jaramillo solis</t>
  </si>
  <si>
    <t>isla tenglo 2577, Los aromos</t>
  </si>
  <si>
    <t>2026-03-02 18:48</t>
  </si>
  <si>
    <t>17857</t>
  </si>
  <si>
    <t>9442977773</t>
  </si>
  <si>
    <t>Olga Sanguinetti</t>
  </si>
  <si>
    <t>OSSA 0180 DEPTO 612 LA CISTERNA, OSSA 0180 DEPTO 612</t>
  </si>
  <si>
    <t>2026-03-04 09:13</t>
  </si>
  <si>
    <t>17858</t>
  </si>
  <si>
    <t>9442946844</t>
  </si>
  <si>
    <t>Sebastián Olivos Castro</t>
  </si>
  <si>
    <t>Manuel Montt 357</t>
  </si>
  <si>
    <t>2026-03-04 09:33</t>
  </si>
  <si>
    <t>17863</t>
  </si>
  <si>
    <t>9442934082</t>
  </si>
  <si>
    <t>Maria Francisca Matta Donoso</t>
  </si>
  <si>
    <t>sagaro 416, vitacura,</t>
  </si>
  <si>
    <t>2026-03-05 13:03</t>
  </si>
  <si>
    <t>17862</t>
  </si>
  <si>
    <t>9442921714</t>
  </si>
  <si>
    <t>ABRAHAM OMAR QUIDEL CARDENAS</t>
  </si>
  <si>
    <t>Ruta Nacional 78, Bario industrial #2375, San Antonio - chile.</t>
  </si>
  <si>
    <t>2026-03-05 10:46</t>
  </si>
  <si>
    <t>17840</t>
  </si>
  <si>
    <t>9442637293</t>
  </si>
  <si>
    <t>Diego Nualart</t>
  </si>
  <si>
    <t>zenon urrutia 2729</t>
  </si>
  <si>
    <t>2026-02-26 09:14</t>
  </si>
  <si>
    <t>17834</t>
  </si>
  <si>
    <t>9441624161</t>
  </si>
  <si>
    <t>Rafael Ibáñez Álvarez</t>
  </si>
  <si>
    <t>Los Morros 209, Coliumo, Los Morros 209, Coliumo</t>
  </si>
  <si>
    <t>2026-02-24 10:06</t>
  </si>
  <si>
    <t>17867</t>
  </si>
  <si>
    <t>9440690991</t>
  </si>
  <si>
    <t>Carmen Allende</t>
  </si>
  <si>
    <t>Loteo Ottendorf, parecela 76, Línea Nueva</t>
  </si>
  <si>
    <t>2026-03-06 15:17</t>
  </si>
  <si>
    <t>17868</t>
  </si>
  <si>
    <t>9440641291</t>
  </si>
  <si>
    <t>Yennifer Bello</t>
  </si>
  <si>
    <t>Pasaje el alba, 1355, Por calle serrano con mansun bueyes</t>
  </si>
  <si>
    <t>2026-03-09 09:25</t>
  </si>
  <si>
    <t>17872</t>
  </si>
  <si>
    <t>9440637113</t>
  </si>
  <si>
    <t>Raul Berrios</t>
  </si>
  <si>
    <t>Avenida Santa Cruz 315, casa 4</t>
  </si>
  <si>
    <t>17864</t>
  </si>
  <si>
    <t>9440616183</t>
  </si>
  <si>
    <t>Estela Gonzalez  cabrera</t>
  </si>
  <si>
    <t>San Pablo  3610, Departamento  401 A condominio  los  cesares</t>
  </si>
  <si>
    <t>2026-03-06 09:21</t>
  </si>
  <si>
    <t>38337</t>
  </si>
  <si>
    <t>9440553054</t>
  </si>
  <si>
    <t>Cristian Andrés Retamales Burgos</t>
  </si>
  <si>
    <t>Martínez de Rosas 337, cabrero, 8va región</t>
  </si>
  <si>
    <t>2026-03-10 13:04</t>
  </si>
  <si>
    <t>17873</t>
  </si>
  <si>
    <t>9440548972</t>
  </si>
  <si>
    <t>Angelica Carvajal</t>
  </si>
  <si>
    <t>8 1/2 norte 340 edificio dalcahue noveno piso</t>
  </si>
  <si>
    <t>2026-03-09 09:37</t>
  </si>
  <si>
    <t>17869</t>
  </si>
  <si>
    <t>9440459571</t>
  </si>
  <si>
    <t>Roxana Auvelez</t>
  </si>
  <si>
    <t>Calle dos 33, Departamento 608 torre B</t>
  </si>
  <si>
    <t>2026-03-09 09:30</t>
  </si>
  <si>
    <t>17874</t>
  </si>
  <si>
    <t>9440403383</t>
  </si>
  <si>
    <t>Marcela Molina</t>
  </si>
  <si>
    <t>Cristino winkler 571</t>
  </si>
  <si>
    <t>2026-03-09 09:38</t>
  </si>
  <si>
    <t>17871</t>
  </si>
  <si>
    <t>9440388705</t>
  </si>
  <si>
    <t>Cristian Zapata Olivi</t>
  </si>
  <si>
    <t>Av Blanca Estela 2095 local 1, Av blanca estela 2095 local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</si>
</sst>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_-[$$-340A]\ * #,##0_-;\-[$$-340A]\ * #,##0_-;_-[$$-340A]\ * &quot;-&quot;_-;_-@_-"/>
    <numFmt numFmtId="165" formatCode="_-&quot;$&quot;\ * #,##0_-;\-&quot;$&quot;\ * #,##0_-;_-&quot;$&quot;\ * &quot;-&quot;??_-;_-@_-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2" tint="-0.249977111117893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sz val="12"/>
      <color theme="0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9" fillId="0" borderId="0" applyNumberFormat="0" applyFill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5" borderId="0" applyNumberFormat="0" applyBorder="0" applyAlignment="0" applyProtection="0"/>
    <xf numFmtId="0" fontId="16" fillId="6" borderId="6" applyNumberFormat="0" applyAlignment="0" applyProtection="0"/>
    <xf numFmtId="0" fontId="17" fillId="7" borderId="7" applyNumberFormat="0" applyAlignment="0" applyProtection="0"/>
    <xf numFmtId="0" fontId="18" fillId="7" borderId="6" applyNumberFormat="0" applyAlignment="0" applyProtection="0"/>
    <xf numFmtId="0" fontId="19" fillId="0" borderId="8" applyNumberFormat="0" applyFill="0" applyAlignment="0" applyProtection="0"/>
    <xf numFmtId="0" fontId="20" fillId="8" borderId="9" applyNumberFormat="0" applyAlignment="0" applyProtection="0"/>
    <xf numFmtId="0" fontId="21" fillId="0" borderId="0" applyNumberFormat="0" applyFill="0" applyBorder="0" applyAlignment="0" applyProtection="0"/>
    <xf numFmtId="0" fontId="8" fillId="9" borderId="10" applyNumberFormat="0" applyFont="0" applyAlignment="0" applyProtection="0"/>
    <xf numFmtId="0" fontId="22" fillId="0" borderId="0" applyNumberFormat="0" applyFill="0" applyBorder="0" applyAlignment="0" applyProtection="0"/>
    <xf numFmtId="0" fontId="1" fillId="0" borderId="11" applyNumberFormat="0" applyFill="0" applyAlignment="0" applyProtection="0"/>
    <xf numFmtId="0" fontId="23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23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23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23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23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9" borderId="0" applyNumberFormat="0" applyBorder="0" applyAlignment="0" applyProtection="0"/>
    <xf numFmtId="0" fontId="23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33" borderId="0" applyNumberFormat="0" applyBorder="0" applyAlignment="0" applyProtection="0"/>
    <xf numFmtId="44" fontId="8" fillId="0" borderId="0" applyFont="0" applyFill="0" applyBorder="0" applyAlignment="0" applyProtection="0"/>
  </cellStyleXfs>
  <cellXfs count="21">
    <xf numFmtId="0" fontId="0" fillId="0" borderId="0" xfId="0"/>
    <xf numFmtId="0" fontId="3" fillId="0" borderId="0" xfId="0" applyFont="1"/>
    <xf numFmtId="0" fontId="2" fillId="0" borderId="1" xfId="0" applyFont="1" applyBorder="1"/>
    <xf numFmtId="0" fontId="4" fillId="0" borderId="1" xfId="0" applyFont="1" applyBorder="1"/>
    <xf numFmtId="17" fontId="1" fillId="0" borderId="0" xfId="0" quotePrefix="1" applyNumberFormat="1" applyFont="1"/>
    <xf numFmtId="0" fontId="0" fillId="0" borderId="0" xfId="0" applyAlignment="1">
      <alignment horizontal="right"/>
    </xf>
    <xf numFmtId="0" fontId="2" fillId="2" borderId="1" xfId="0" applyFont="1" applyFill="1" applyBorder="1"/>
    <xf numFmtId="0" fontId="5" fillId="0" borderId="1" xfId="0" applyFont="1" applyBorder="1"/>
    <xf numFmtId="0" fontId="6" fillId="0" borderId="2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12" xfId="0" applyFont="1" applyFill="1" applyBorder="1"/>
    <xf numFmtId="164" fontId="7" fillId="0" borderId="12" xfId="0" applyNumberFormat="1" applyFont="1" applyBorder="1"/>
    <xf numFmtId="164" fontId="2" fillId="0" borderId="12" xfId="0" applyNumberFormat="1" applyFont="1" applyBorder="1"/>
    <xf numFmtId="164" fontId="4" fillId="0" borderId="12" xfId="0" applyNumberFormat="1" applyFont="1" applyBorder="1"/>
    <xf numFmtId="0" fontId="0" fillId="0" borderId="0" xfId="0" applyAlignment="1">
      <alignment horizontal="center"/>
    </xf>
    <xf numFmtId="165" fontId="6" fillId="0" borderId="2" xfId="42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3" xfId="0" applyFont="1" applyBorder="1"/>
    <xf numFmtId="165" fontId="6" fillId="0" borderId="14" xfId="42" applyNumberFormat="1" applyFont="1" applyBorder="1" applyAlignment="1">
      <alignment horizontal="center"/>
    </xf>
    <xf numFmtId="164" fontId="7" fillId="0" borderId="15" xfId="0" applyNumberFormat="1" applyFont="1" applyBorder="1"/>
    <xf numFmtId="0" fontId="0" fillId="0" borderId="12" xfId="0" applyBorder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oneda" xfId="42" builtinId="4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204742</xdr:rowOff>
    </xdr:from>
    <xdr:to>
      <xdr:col>1</xdr:col>
      <xdr:colOff>1082840</xdr:colOff>
      <xdr:row>4</xdr:row>
      <xdr:rowOff>110830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C82C0A2-732D-41A9-BF37-1EA65E4AB2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8621"/>
          <a:ext cx="1842686" cy="5559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E20"/>
  <sheetViews>
    <sheetView showGridLines="0" zoomScale="90" zoomScaleNormal="90" workbookViewId="0">
      <selection activeCell="G18" sqref="G18"/>
    </sheetView>
  </sheetViews>
  <sheetFormatPr baseColWidth="10" defaultRowHeight="14.4" x14ac:dyDescent="0.3"/>
  <cols>
    <col min="2" max="2" width="16.6640625" customWidth="1"/>
    <col min="3" max="3" width="18.6640625" customWidth="1"/>
    <col min="4" max="4" width="44.109375" style="14" bestFit="1" customWidth="1"/>
    <col min="5" max="5" width="16.44140625" customWidth="1"/>
  </cols>
  <sheetData>
    <row r="2" spans="3:5" ht="21" x14ac:dyDescent="0.4">
      <c r="C2" s="1" t="s">
        <v>4</v>
      </c>
      <c r="D2" t="str">
        <f>IF(Detalle!F2="",Detalle!E2,Detalle!F2)</f>
        <v>Kaltemp</v>
      </c>
      <c r="E2" s="4">
        <v>46122</v>
      </c>
    </row>
    <row r="3" spans="3:5" x14ac:dyDescent="0.3">
      <c r="C3" s="5" t="s">
        <v>5</v>
      </c>
    </row>
    <row r="4" spans="3:5" ht="15.6" x14ac:dyDescent="0.3">
      <c r="C4" s="6" t="s">
        <v>2</v>
      </c>
      <c r="D4" s="9" t="s">
        <v>3</v>
      </c>
      <c r="E4" s="10"/>
    </row>
    <row r="5" spans="3:5" ht="15.6" x14ac:dyDescent="0.3">
      <c r="C5" s="7" t="s">
        <v>30</v>
      </c>
      <c r="D5" s="8">
        <f>COUNTIF(Detalle!I:I,"connect")</f>
        <v>0</v>
      </c>
      <c r="E5" s="11">
        <f>SUMIF(Detalle!I:I,"connect",Detalle!V:V)</f>
        <v>0</v>
      </c>
    </row>
    <row r="6" spans="3:5" ht="15.6" x14ac:dyDescent="0.3">
      <c r="C6" s="7" t="s">
        <v>31</v>
      </c>
      <c r="D6" s="8">
        <f>COUNTIF(Detalle!I:I,"distribucion")</f>
        <v>201</v>
      </c>
      <c r="E6" s="11">
        <f>SUMIF(Detalle!I:I,"distribucion",Detalle!V:V)</f>
        <v>4795436.9700000025</v>
      </c>
    </row>
    <row r="7" spans="3:5" ht="15.6" x14ac:dyDescent="0.3">
      <c r="C7" s="7" t="s">
        <v>32</v>
      </c>
      <c r="D7" s="8">
        <f>COUNTIF(Detalle!I:I,"pasarela-pro")</f>
        <v>0</v>
      </c>
      <c r="E7" s="11">
        <f>SUMIF(Detalle!I:I,"pasarela-pro",Detalle!V:V)</f>
        <v>0</v>
      </c>
    </row>
    <row r="8" spans="3:5" ht="15.6" x14ac:dyDescent="0.3">
      <c r="C8" s="7" t="s">
        <v>33</v>
      </c>
      <c r="D8" s="8">
        <f>COUNTIF(Detalle!I:I,"enviatrack")</f>
        <v>0</v>
      </c>
      <c r="E8" s="11">
        <f>SUMIF(Detalle!I:I,"enviatrack",Detalle!V:V)</f>
        <v>0</v>
      </c>
    </row>
    <row r="9" spans="3:5" ht="15.6" x14ac:dyDescent="0.3">
      <c r="C9" s="7" t="s">
        <v>23</v>
      </c>
      <c r="D9" s="8">
        <f>COUNTIF(Detalle!I:I,"Retiros S/C")</f>
        <v>0</v>
      </c>
      <c r="E9" s="11">
        <f>SUMIF(Detalle!I:I,"Retiros S/C",Detalle!V:V)</f>
        <v>0</v>
      </c>
    </row>
    <row r="10" spans="3:5" ht="15.6" x14ac:dyDescent="0.3">
      <c r="C10" s="7" t="s">
        <v>24</v>
      </c>
      <c r="D10" s="8">
        <f>COUNTIF(Detalle!I:I,"porPagar")</f>
        <v>0</v>
      </c>
      <c r="E10" s="11">
        <f>SUMIF(Detalle!I:I,"porPagar",Detalle!V:V)</f>
        <v>0</v>
      </c>
    </row>
    <row r="11" spans="3:5" ht="15.6" x14ac:dyDescent="0.3">
      <c r="C11" s="7" t="s">
        <v>25</v>
      </c>
      <c r="D11" s="8">
        <f>COUNTIF(Detalle!I:I,"marketcenter")</f>
        <v>0</v>
      </c>
      <c r="E11" s="11">
        <f>SUMIF(Detalle!I:I,"marketcenter",Detalle!V:V)</f>
        <v>0</v>
      </c>
    </row>
    <row r="12" spans="3:5" ht="15.6" x14ac:dyDescent="0.3">
      <c r="C12" s="7" t="s">
        <v>36</v>
      </c>
      <c r="D12" s="8">
        <f>COUNTIF(Detalle!I:I,"flex")</f>
        <v>0</v>
      </c>
      <c r="E12" s="11">
        <f>SUMIF(Detalle!I:I,"flex",Detalle!V:V)</f>
        <v>0</v>
      </c>
    </row>
    <row r="13" spans="3:5" ht="15.6" x14ac:dyDescent="0.3">
      <c r="C13" s="7" t="s">
        <v>26</v>
      </c>
      <c r="D13" s="8">
        <f>COUNTIF(Detalle!I:I,"mensajeria")</f>
        <v>0</v>
      </c>
      <c r="E13" s="11">
        <f>SUMIF(Detalle!I:I,"mensajeria",Detalle!V:V)</f>
        <v>0</v>
      </c>
    </row>
    <row r="14" spans="3:5" ht="15.6" x14ac:dyDescent="0.3">
      <c r="C14" s="7"/>
      <c r="D14" s="8"/>
      <c r="E14" s="20"/>
    </row>
    <row r="15" spans="3:5" ht="15.6" x14ac:dyDescent="0.3">
      <c r="C15" s="17" t="s">
        <v>6</v>
      </c>
      <c r="D15" s="18"/>
      <c r="E15" s="19">
        <v>0</v>
      </c>
    </row>
    <row r="16" spans="3:5" ht="15.6" x14ac:dyDescent="0.3">
      <c r="C16" s="2" t="s">
        <v>7</v>
      </c>
      <c r="D16" s="15"/>
      <c r="E16" s="11">
        <v>0</v>
      </c>
    </row>
    <row r="17" spans="3:5" ht="15.6" x14ac:dyDescent="0.3">
      <c r="C17" s="2" t="s">
        <v>8</v>
      </c>
      <c r="D17" s="16"/>
      <c r="E17" s="12">
        <f>SUM(E5:E16)</f>
        <v>4795436.9700000025</v>
      </c>
    </row>
    <row r="18" spans="3:5" ht="17.25" customHeight="1" x14ac:dyDescent="0.3">
      <c r="C18" s="2"/>
      <c r="D18" s="16"/>
      <c r="E18" s="12"/>
    </row>
    <row r="19" spans="3:5" ht="15.6" x14ac:dyDescent="0.3">
      <c r="C19" s="2" t="s">
        <v>0</v>
      </c>
      <c r="D19" s="16"/>
      <c r="E19" s="12">
        <f>E17*0.19</f>
        <v>911133.02430000051</v>
      </c>
    </row>
    <row r="20" spans="3:5" ht="15.6" x14ac:dyDescent="0.3">
      <c r="C20" s="3" t="s">
        <v>1</v>
      </c>
      <c r="D20" s="16"/>
      <c r="E20" s="13">
        <f>+E17+E19</f>
        <v>5706569.9943000032</v>
      </c>
    </row>
  </sheetData>
  <conditionalFormatting sqref="D2">
    <cfRule type="duplicateValues" dxfId="0" priority="1"/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02"/>
  <sheetViews>
    <sheetView tabSelected="1" zoomScale="90" zoomScaleNormal="90" workbookViewId="0">
      <selection activeCell="E2" sqref="E2"/>
    </sheetView>
  </sheetViews>
  <sheetFormatPr baseColWidth="10" defaultColWidth="12.109375" defaultRowHeight="14.4" x14ac:dyDescent="0.3"/>
  <cols>
    <col min="2" max="2" width="11.109375" bestFit="1" customWidth="1"/>
    <col min="4" max="4" width="16.109375" bestFit="1" customWidth="1"/>
  </cols>
  <sheetData>
    <row r="1" spans="1:22" x14ac:dyDescent="0.3">
      <c r="A1" t="s">
        <v>27</v>
      </c>
      <c r="B1" t="s">
        <v>22</v>
      </c>
      <c r="C1" t="s">
        <v>9</v>
      </c>
      <c r="D1" t="s">
        <v>10</v>
      </c>
      <c r="E1" t="s">
        <v>20</v>
      </c>
      <c r="F1" t="s">
        <v>37</v>
      </c>
      <c r="G1" t="s">
        <v>11</v>
      </c>
      <c r="H1" t="s">
        <v>12</v>
      </c>
      <c r="I1" t="s">
        <v>34</v>
      </c>
      <c r="J1" t="s">
        <v>38</v>
      </c>
      <c r="K1" t="s">
        <v>19</v>
      </c>
      <c r="L1" t="s">
        <v>13</v>
      </c>
      <c r="M1" t="s">
        <v>14</v>
      </c>
      <c r="N1" t="s">
        <v>21</v>
      </c>
      <c r="O1" t="s">
        <v>15</v>
      </c>
      <c r="P1" t="s">
        <v>16</v>
      </c>
      <c r="Q1" t="s">
        <v>17</v>
      </c>
      <c r="R1" t="s">
        <v>18</v>
      </c>
      <c r="S1" t="s">
        <v>35</v>
      </c>
      <c r="T1" t="s">
        <v>28</v>
      </c>
      <c r="U1" t="s">
        <v>39</v>
      </c>
      <c r="V1" t="s">
        <v>29</v>
      </c>
    </row>
    <row r="2" spans="1:22" x14ac:dyDescent="0.3">
      <c r="A2">
        <v>15741</v>
      </c>
      <c r="B2">
        <v>139487124</v>
      </c>
      <c r="C2" t="s">
        <v>152</v>
      </c>
      <c r="D2" t="s">
        <v>153</v>
      </c>
      <c r="E2" t="s">
        <v>154</v>
      </c>
      <c r="G2" t="s">
        <v>68</v>
      </c>
      <c r="H2" t="s">
        <v>69</v>
      </c>
      <c r="I2" t="s">
        <v>41</v>
      </c>
      <c r="J2" t="s">
        <v>70</v>
      </c>
      <c r="K2" t="s">
        <v>73</v>
      </c>
      <c r="L2" t="s">
        <v>137</v>
      </c>
      <c r="M2" t="s">
        <v>155</v>
      </c>
      <c r="N2" t="s">
        <v>156</v>
      </c>
      <c r="O2" t="s">
        <v>113</v>
      </c>
      <c r="P2" t="s">
        <v>157</v>
      </c>
      <c r="Q2" t="s">
        <v>59</v>
      </c>
      <c r="R2" t="s">
        <v>158</v>
      </c>
      <c r="S2">
        <v>16.43</v>
      </c>
      <c r="T2">
        <v>16785.71</v>
      </c>
      <c r="U2">
        <v>0</v>
      </c>
      <c r="V2">
        <v>16785.71</v>
      </c>
    </row>
    <row r="3" spans="1:22" x14ac:dyDescent="0.3">
      <c r="A3">
        <v>15741</v>
      </c>
      <c r="B3">
        <v>139997424</v>
      </c>
      <c r="C3" t="s">
        <v>159</v>
      </c>
      <c r="D3" t="s">
        <v>160</v>
      </c>
      <c r="E3" t="s">
        <v>154</v>
      </c>
      <c r="G3" t="s">
        <v>68</v>
      </c>
      <c r="H3" t="s">
        <v>69</v>
      </c>
      <c r="I3" t="s">
        <v>41</v>
      </c>
      <c r="J3" t="s">
        <v>70</v>
      </c>
      <c r="K3" t="s">
        <v>52</v>
      </c>
      <c r="L3" t="s">
        <v>71</v>
      </c>
      <c r="M3" t="s">
        <v>161</v>
      </c>
      <c r="N3" t="s">
        <v>156</v>
      </c>
      <c r="O3" t="s">
        <v>113</v>
      </c>
      <c r="P3" t="s">
        <v>162</v>
      </c>
      <c r="Q3" t="s">
        <v>115</v>
      </c>
      <c r="R3" t="s">
        <v>163</v>
      </c>
      <c r="S3">
        <v>2.0099999999999998</v>
      </c>
      <c r="T3">
        <v>5435</v>
      </c>
      <c r="U3">
        <v>0</v>
      </c>
      <c r="V3">
        <v>5435</v>
      </c>
    </row>
    <row r="4" spans="1:22" x14ac:dyDescent="0.3">
      <c r="A4">
        <v>15741</v>
      </c>
      <c r="B4">
        <v>140712743</v>
      </c>
      <c r="C4" t="s">
        <v>164</v>
      </c>
      <c r="D4" t="s">
        <v>165</v>
      </c>
      <c r="E4" t="s">
        <v>154</v>
      </c>
      <c r="G4" t="s">
        <v>68</v>
      </c>
      <c r="H4" t="s">
        <v>69</v>
      </c>
      <c r="I4" t="s">
        <v>41</v>
      </c>
      <c r="J4" t="s">
        <v>70</v>
      </c>
      <c r="K4" t="s">
        <v>40</v>
      </c>
      <c r="L4" t="s">
        <v>166</v>
      </c>
      <c r="M4" t="s">
        <v>167</v>
      </c>
      <c r="N4" t="s">
        <v>156</v>
      </c>
      <c r="O4" t="s">
        <v>113</v>
      </c>
      <c r="P4" t="s">
        <v>168</v>
      </c>
      <c r="Q4" t="s">
        <v>61</v>
      </c>
      <c r="R4" t="s">
        <v>169</v>
      </c>
      <c r="S4">
        <v>45</v>
      </c>
      <c r="T4">
        <v>31785</v>
      </c>
      <c r="U4">
        <v>0</v>
      </c>
      <c r="V4">
        <v>31785</v>
      </c>
    </row>
    <row r="5" spans="1:22" x14ac:dyDescent="0.3">
      <c r="A5">
        <v>15741</v>
      </c>
      <c r="B5">
        <v>140668611</v>
      </c>
      <c r="C5" t="s">
        <v>170</v>
      </c>
      <c r="D5" t="s">
        <v>171</v>
      </c>
      <c r="E5" t="s">
        <v>154</v>
      </c>
      <c r="G5" t="s">
        <v>68</v>
      </c>
      <c r="H5" t="s">
        <v>69</v>
      </c>
      <c r="I5" t="s">
        <v>41</v>
      </c>
      <c r="J5" t="s">
        <v>70</v>
      </c>
      <c r="K5" t="s">
        <v>40</v>
      </c>
      <c r="L5" t="s">
        <v>172</v>
      </c>
      <c r="M5" t="s">
        <v>173</v>
      </c>
      <c r="N5" t="s">
        <v>156</v>
      </c>
      <c r="O5" t="s">
        <v>113</v>
      </c>
      <c r="P5" t="s">
        <v>174</v>
      </c>
      <c r="Q5" t="s">
        <v>117</v>
      </c>
      <c r="R5" t="s">
        <v>175</v>
      </c>
      <c r="S5">
        <v>3.6</v>
      </c>
      <c r="T5">
        <v>5738</v>
      </c>
      <c r="U5">
        <v>0</v>
      </c>
      <c r="V5">
        <v>5738</v>
      </c>
    </row>
    <row r="6" spans="1:22" x14ac:dyDescent="0.3">
      <c r="A6">
        <v>15741</v>
      </c>
      <c r="B6">
        <v>140716619</v>
      </c>
      <c r="C6" t="s">
        <v>176</v>
      </c>
      <c r="D6" t="s">
        <v>177</v>
      </c>
      <c r="E6" t="s">
        <v>154</v>
      </c>
      <c r="G6" t="s">
        <v>68</v>
      </c>
      <c r="H6" t="s">
        <v>69</v>
      </c>
      <c r="I6" t="s">
        <v>41</v>
      </c>
      <c r="J6" t="s">
        <v>70</v>
      </c>
      <c r="K6" t="s">
        <v>40</v>
      </c>
      <c r="L6" t="s">
        <v>178</v>
      </c>
      <c r="M6" t="s">
        <v>179</v>
      </c>
      <c r="N6" t="s">
        <v>156</v>
      </c>
      <c r="O6" t="s">
        <v>113</v>
      </c>
      <c r="P6" t="s">
        <v>180</v>
      </c>
      <c r="Q6" t="s">
        <v>43</v>
      </c>
      <c r="R6" t="s">
        <v>144</v>
      </c>
      <c r="S6">
        <v>24.3</v>
      </c>
      <c r="T6">
        <v>11208</v>
      </c>
      <c r="U6">
        <v>0</v>
      </c>
      <c r="V6">
        <v>11208</v>
      </c>
    </row>
    <row r="7" spans="1:22" x14ac:dyDescent="0.3">
      <c r="A7">
        <v>15741</v>
      </c>
      <c r="B7">
        <v>140600763</v>
      </c>
      <c r="C7" t="s">
        <v>181</v>
      </c>
      <c r="D7" t="s">
        <v>182</v>
      </c>
      <c r="E7" t="s">
        <v>154</v>
      </c>
      <c r="G7" t="s">
        <v>68</v>
      </c>
      <c r="H7" t="s">
        <v>69</v>
      </c>
      <c r="I7" t="s">
        <v>41</v>
      </c>
      <c r="J7" t="s">
        <v>70</v>
      </c>
      <c r="K7" t="s">
        <v>40</v>
      </c>
      <c r="L7" t="s">
        <v>183</v>
      </c>
      <c r="M7" t="s">
        <v>184</v>
      </c>
      <c r="N7" t="s">
        <v>156</v>
      </c>
      <c r="O7" t="s">
        <v>113</v>
      </c>
      <c r="P7" t="s">
        <v>185</v>
      </c>
      <c r="Q7" t="s">
        <v>76</v>
      </c>
      <c r="R7" t="s">
        <v>148</v>
      </c>
      <c r="S7">
        <v>0.67</v>
      </c>
      <c r="T7">
        <v>5988</v>
      </c>
      <c r="U7">
        <v>0</v>
      </c>
      <c r="V7">
        <v>5988</v>
      </c>
    </row>
    <row r="8" spans="1:22" x14ac:dyDescent="0.3">
      <c r="A8">
        <v>15741</v>
      </c>
      <c r="B8">
        <v>140712921</v>
      </c>
      <c r="C8" t="s">
        <v>186</v>
      </c>
      <c r="D8" t="s">
        <v>187</v>
      </c>
      <c r="E8" t="s">
        <v>154</v>
      </c>
      <c r="G8" t="s">
        <v>68</v>
      </c>
      <c r="H8" t="s">
        <v>69</v>
      </c>
      <c r="I8" t="s">
        <v>41</v>
      </c>
      <c r="J8" t="s">
        <v>70</v>
      </c>
      <c r="K8" t="s">
        <v>40</v>
      </c>
      <c r="L8" t="s">
        <v>188</v>
      </c>
      <c r="M8" t="s">
        <v>189</v>
      </c>
      <c r="N8" t="s">
        <v>156</v>
      </c>
      <c r="O8" t="s">
        <v>113</v>
      </c>
      <c r="P8" t="s">
        <v>190</v>
      </c>
      <c r="Q8" t="s">
        <v>43</v>
      </c>
      <c r="R8" t="s">
        <v>191</v>
      </c>
      <c r="S8">
        <v>13.32</v>
      </c>
      <c r="T8">
        <v>8695</v>
      </c>
      <c r="U8">
        <v>0</v>
      </c>
      <c r="V8">
        <v>8695</v>
      </c>
    </row>
    <row r="9" spans="1:22" x14ac:dyDescent="0.3">
      <c r="A9">
        <v>15741</v>
      </c>
      <c r="B9">
        <v>140716776</v>
      </c>
      <c r="C9" t="s">
        <v>192</v>
      </c>
      <c r="D9" t="s">
        <v>193</v>
      </c>
      <c r="E9" t="s">
        <v>154</v>
      </c>
      <c r="G9" t="s">
        <v>68</v>
      </c>
      <c r="H9" t="s">
        <v>69</v>
      </c>
      <c r="I9" t="s">
        <v>41</v>
      </c>
      <c r="J9" t="s">
        <v>70</v>
      </c>
      <c r="K9" t="s">
        <v>40</v>
      </c>
      <c r="L9" t="s">
        <v>194</v>
      </c>
      <c r="M9" t="s">
        <v>195</v>
      </c>
      <c r="N9" t="s">
        <v>156</v>
      </c>
      <c r="O9" t="s">
        <v>113</v>
      </c>
      <c r="P9" t="s">
        <v>196</v>
      </c>
      <c r="Q9" t="s">
        <v>43</v>
      </c>
      <c r="R9" t="s">
        <v>197</v>
      </c>
      <c r="S9">
        <v>10.44</v>
      </c>
      <c r="T9">
        <v>7810</v>
      </c>
      <c r="U9">
        <v>0</v>
      </c>
      <c r="V9">
        <v>7810</v>
      </c>
    </row>
    <row r="10" spans="1:22" x14ac:dyDescent="0.3">
      <c r="A10">
        <v>15741</v>
      </c>
      <c r="B10">
        <v>140712560</v>
      </c>
      <c r="C10" t="s">
        <v>198</v>
      </c>
      <c r="D10" t="s">
        <v>199</v>
      </c>
      <c r="E10" t="s">
        <v>154</v>
      </c>
      <c r="G10" t="s">
        <v>68</v>
      </c>
      <c r="H10" t="s">
        <v>69</v>
      </c>
      <c r="I10" t="s">
        <v>41</v>
      </c>
      <c r="J10" t="s">
        <v>70</v>
      </c>
      <c r="K10" t="s">
        <v>40</v>
      </c>
      <c r="L10" t="s">
        <v>200</v>
      </c>
      <c r="M10" t="s">
        <v>142</v>
      </c>
      <c r="N10" t="s">
        <v>156</v>
      </c>
      <c r="O10" t="s">
        <v>113</v>
      </c>
      <c r="P10" t="s">
        <v>201</v>
      </c>
      <c r="Q10" t="s">
        <v>53</v>
      </c>
      <c r="R10" t="s">
        <v>202</v>
      </c>
      <c r="S10">
        <v>174.14</v>
      </c>
      <c r="T10">
        <v>51882</v>
      </c>
      <c r="U10">
        <v>31200</v>
      </c>
      <c r="V10">
        <v>83082</v>
      </c>
    </row>
    <row r="11" spans="1:22" x14ac:dyDescent="0.3">
      <c r="A11">
        <v>15741</v>
      </c>
      <c r="B11">
        <v>140666713</v>
      </c>
      <c r="C11" t="s">
        <v>203</v>
      </c>
      <c r="D11" t="s">
        <v>204</v>
      </c>
      <c r="E11" t="s">
        <v>154</v>
      </c>
      <c r="G11" t="s">
        <v>68</v>
      </c>
      <c r="H11" t="s">
        <v>69</v>
      </c>
      <c r="I11" t="s">
        <v>41</v>
      </c>
      <c r="J11" t="s">
        <v>70</v>
      </c>
      <c r="K11" t="s">
        <v>40</v>
      </c>
      <c r="L11" t="s">
        <v>205</v>
      </c>
      <c r="M11" t="s">
        <v>206</v>
      </c>
      <c r="N11" t="s">
        <v>156</v>
      </c>
      <c r="O11" t="s">
        <v>113</v>
      </c>
      <c r="P11" t="s">
        <v>93</v>
      </c>
      <c r="Q11" t="s">
        <v>87</v>
      </c>
      <c r="R11" t="s">
        <v>207</v>
      </c>
      <c r="S11">
        <v>56</v>
      </c>
      <c r="T11">
        <v>24093</v>
      </c>
      <c r="U11">
        <v>7800</v>
      </c>
      <c r="V11">
        <v>31893</v>
      </c>
    </row>
    <row r="12" spans="1:22" x14ac:dyDescent="0.3">
      <c r="A12">
        <v>15741</v>
      </c>
      <c r="B12">
        <v>140561746</v>
      </c>
      <c r="C12" t="s">
        <v>208</v>
      </c>
      <c r="D12" t="s">
        <v>209</v>
      </c>
      <c r="E12" t="s">
        <v>154</v>
      </c>
      <c r="G12" t="s">
        <v>68</v>
      </c>
      <c r="H12" t="s">
        <v>69</v>
      </c>
      <c r="I12" t="s">
        <v>41</v>
      </c>
      <c r="J12" t="s">
        <v>70</v>
      </c>
      <c r="K12" t="s">
        <v>94</v>
      </c>
      <c r="L12" t="s">
        <v>72</v>
      </c>
      <c r="M12" t="s">
        <v>210</v>
      </c>
      <c r="N12" t="s">
        <v>156</v>
      </c>
      <c r="O12" t="s">
        <v>113</v>
      </c>
      <c r="P12" t="s">
        <v>211</v>
      </c>
      <c r="Q12" t="s">
        <v>61</v>
      </c>
      <c r="R12" t="s">
        <v>212</v>
      </c>
      <c r="S12">
        <v>13.32</v>
      </c>
      <c r="T12">
        <v>15063</v>
      </c>
      <c r="U12">
        <v>0</v>
      </c>
      <c r="V12">
        <v>15063</v>
      </c>
    </row>
    <row r="13" spans="1:22" x14ac:dyDescent="0.3">
      <c r="A13">
        <v>15741</v>
      </c>
      <c r="B13">
        <v>140716874</v>
      </c>
      <c r="C13" t="s">
        <v>213</v>
      </c>
      <c r="D13" t="s">
        <v>214</v>
      </c>
      <c r="E13" t="s">
        <v>154</v>
      </c>
      <c r="G13" t="s">
        <v>68</v>
      </c>
      <c r="H13" t="s">
        <v>69</v>
      </c>
      <c r="I13" t="s">
        <v>41</v>
      </c>
      <c r="J13" t="s">
        <v>70</v>
      </c>
      <c r="K13" t="s">
        <v>40</v>
      </c>
      <c r="L13" t="s">
        <v>215</v>
      </c>
      <c r="M13" t="s">
        <v>216</v>
      </c>
      <c r="N13" t="s">
        <v>156</v>
      </c>
      <c r="O13" t="s">
        <v>113</v>
      </c>
      <c r="P13" t="s">
        <v>217</v>
      </c>
      <c r="Q13" t="s">
        <v>46</v>
      </c>
      <c r="R13" t="s">
        <v>218</v>
      </c>
      <c r="S13">
        <v>13.32</v>
      </c>
      <c r="T13">
        <v>8695</v>
      </c>
      <c r="U13">
        <v>0</v>
      </c>
      <c r="V13">
        <v>8695</v>
      </c>
    </row>
    <row r="14" spans="1:22" x14ac:dyDescent="0.3">
      <c r="A14">
        <v>15741</v>
      </c>
      <c r="B14">
        <v>140666507</v>
      </c>
      <c r="C14" t="s">
        <v>219</v>
      </c>
      <c r="D14" t="s">
        <v>220</v>
      </c>
      <c r="E14" t="s">
        <v>154</v>
      </c>
      <c r="G14" t="s">
        <v>68</v>
      </c>
      <c r="H14" t="s">
        <v>69</v>
      </c>
      <c r="I14" t="s">
        <v>41</v>
      </c>
      <c r="J14" t="s">
        <v>70</v>
      </c>
      <c r="K14" t="s">
        <v>40</v>
      </c>
      <c r="L14" t="s">
        <v>221</v>
      </c>
      <c r="M14" t="s">
        <v>222</v>
      </c>
      <c r="N14" t="s">
        <v>156</v>
      </c>
      <c r="O14" t="s">
        <v>113</v>
      </c>
      <c r="P14" t="s">
        <v>223</v>
      </c>
      <c r="Q14" t="s">
        <v>76</v>
      </c>
      <c r="R14" t="s">
        <v>224</v>
      </c>
      <c r="S14">
        <v>21.15</v>
      </c>
      <c r="T14">
        <v>15285</v>
      </c>
      <c r="U14">
        <v>0</v>
      </c>
      <c r="V14">
        <v>15285</v>
      </c>
    </row>
    <row r="15" spans="1:22" x14ac:dyDescent="0.3">
      <c r="A15">
        <v>15741</v>
      </c>
      <c r="B15">
        <v>140605804</v>
      </c>
      <c r="C15" t="s">
        <v>225</v>
      </c>
      <c r="D15" t="s">
        <v>226</v>
      </c>
      <c r="E15" t="s">
        <v>154</v>
      </c>
      <c r="G15" t="s">
        <v>68</v>
      </c>
      <c r="H15" t="s">
        <v>69</v>
      </c>
      <c r="I15" t="s">
        <v>41</v>
      </c>
      <c r="J15" t="s">
        <v>70</v>
      </c>
      <c r="K15" t="s">
        <v>40</v>
      </c>
      <c r="L15" t="s">
        <v>227</v>
      </c>
      <c r="M15" t="s">
        <v>228</v>
      </c>
      <c r="N15" t="s">
        <v>156</v>
      </c>
      <c r="O15" t="s">
        <v>113</v>
      </c>
      <c r="P15" t="s">
        <v>229</v>
      </c>
      <c r="Q15" t="s">
        <v>85</v>
      </c>
      <c r="R15" t="s">
        <v>230</v>
      </c>
      <c r="S15">
        <v>1.21</v>
      </c>
      <c r="T15">
        <v>7732</v>
      </c>
      <c r="U15">
        <v>0</v>
      </c>
      <c r="V15">
        <v>7732</v>
      </c>
    </row>
    <row r="16" spans="1:22" x14ac:dyDescent="0.3">
      <c r="A16">
        <v>15741</v>
      </c>
      <c r="B16">
        <v>140594413</v>
      </c>
      <c r="C16" t="s">
        <v>231</v>
      </c>
      <c r="D16" t="s">
        <v>232</v>
      </c>
      <c r="E16" t="s">
        <v>154</v>
      </c>
      <c r="G16" t="s">
        <v>68</v>
      </c>
      <c r="H16" t="s">
        <v>69</v>
      </c>
      <c r="I16" t="s">
        <v>41</v>
      </c>
      <c r="J16" t="s">
        <v>70</v>
      </c>
      <c r="K16" t="s">
        <v>40</v>
      </c>
      <c r="L16" t="s">
        <v>233</v>
      </c>
      <c r="M16" t="s">
        <v>234</v>
      </c>
      <c r="N16" t="s">
        <v>156</v>
      </c>
      <c r="O16" t="s">
        <v>113</v>
      </c>
      <c r="P16" t="s">
        <v>235</v>
      </c>
      <c r="Q16" t="s">
        <v>89</v>
      </c>
      <c r="R16" t="s">
        <v>236</v>
      </c>
      <c r="S16">
        <v>1380</v>
      </c>
      <c r="T16">
        <v>410231.09</v>
      </c>
      <c r="U16">
        <v>23603.88</v>
      </c>
      <c r="V16">
        <v>433834.97000000003</v>
      </c>
    </row>
    <row r="17" spans="1:22" x14ac:dyDescent="0.3">
      <c r="A17">
        <v>15741</v>
      </c>
      <c r="B17">
        <v>140604011</v>
      </c>
      <c r="C17" t="s">
        <v>237</v>
      </c>
      <c r="D17" t="s">
        <v>238</v>
      </c>
      <c r="E17" t="s">
        <v>154</v>
      </c>
      <c r="G17" t="s">
        <v>68</v>
      </c>
      <c r="H17" t="s">
        <v>69</v>
      </c>
      <c r="I17" t="s">
        <v>41</v>
      </c>
      <c r="J17" t="s">
        <v>70</v>
      </c>
      <c r="K17" t="s">
        <v>40</v>
      </c>
      <c r="L17" t="s">
        <v>239</v>
      </c>
      <c r="M17" t="s">
        <v>240</v>
      </c>
      <c r="N17" t="s">
        <v>156</v>
      </c>
      <c r="O17" t="s">
        <v>113</v>
      </c>
      <c r="P17" t="s">
        <v>241</v>
      </c>
      <c r="Q17" t="s">
        <v>78</v>
      </c>
      <c r="R17" t="s">
        <v>242</v>
      </c>
      <c r="S17">
        <v>60</v>
      </c>
      <c r="T17">
        <v>20870</v>
      </c>
      <c r="U17">
        <v>7499.94</v>
      </c>
      <c r="V17">
        <v>28369.94</v>
      </c>
    </row>
    <row r="18" spans="1:22" x14ac:dyDescent="0.3">
      <c r="A18">
        <v>15741</v>
      </c>
      <c r="B18">
        <v>140666485</v>
      </c>
      <c r="C18" t="s">
        <v>243</v>
      </c>
      <c r="D18" t="s">
        <v>244</v>
      </c>
      <c r="E18" t="s">
        <v>154</v>
      </c>
      <c r="G18" t="s">
        <v>68</v>
      </c>
      <c r="H18" t="s">
        <v>69</v>
      </c>
      <c r="I18" t="s">
        <v>41</v>
      </c>
      <c r="J18" t="s">
        <v>70</v>
      </c>
      <c r="K18" t="s">
        <v>40</v>
      </c>
      <c r="L18" t="s">
        <v>245</v>
      </c>
      <c r="M18" t="s">
        <v>246</v>
      </c>
      <c r="N18" t="s">
        <v>156</v>
      </c>
      <c r="O18" t="s">
        <v>113</v>
      </c>
      <c r="P18" t="s">
        <v>247</v>
      </c>
      <c r="Q18" t="s">
        <v>77</v>
      </c>
      <c r="R18" t="s">
        <v>224</v>
      </c>
      <c r="S18">
        <v>15.08</v>
      </c>
      <c r="T18">
        <v>11912</v>
      </c>
      <c r="U18">
        <v>0</v>
      </c>
      <c r="V18">
        <v>11912</v>
      </c>
    </row>
    <row r="19" spans="1:22" x14ac:dyDescent="0.3">
      <c r="A19">
        <v>15741</v>
      </c>
      <c r="B19">
        <v>140666584</v>
      </c>
      <c r="C19" t="s">
        <v>248</v>
      </c>
      <c r="D19" t="s">
        <v>249</v>
      </c>
      <c r="E19" t="s">
        <v>154</v>
      </c>
      <c r="G19" t="s">
        <v>68</v>
      </c>
      <c r="H19" t="s">
        <v>69</v>
      </c>
      <c r="I19" t="s">
        <v>41</v>
      </c>
      <c r="J19" t="s">
        <v>70</v>
      </c>
      <c r="K19" t="s">
        <v>40</v>
      </c>
      <c r="L19" t="s">
        <v>250</v>
      </c>
      <c r="M19" t="s">
        <v>251</v>
      </c>
      <c r="N19" t="s">
        <v>156</v>
      </c>
      <c r="O19" t="s">
        <v>113</v>
      </c>
      <c r="P19" t="s">
        <v>252</v>
      </c>
      <c r="Q19" t="s">
        <v>60</v>
      </c>
      <c r="R19" t="s">
        <v>253</v>
      </c>
      <c r="S19">
        <v>86.66</v>
      </c>
      <c r="T19">
        <v>30051</v>
      </c>
      <c r="U19">
        <v>0</v>
      </c>
      <c r="V19">
        <v>30051</v>
      </c>
    </row>
    <row r="20" spans="1:22" x14ac:dyDescent="0.3">
      <c r="A20">
        <v>15741</v>
      </c>
      <c r="B20">
        <v>140597683</v>
      </c>
      <c r="C20" t="s">
        <v>254</v>
      </c>
      <c r="D20" t="s">
        <v>255</v>
      </c>
      <c r="E20" t="s">
        <v>154</v>
      </c>
      <c r="G20" t="s">
        <v>68</v>
      </c>
      <c r="H20" t="s">
        <v>69</v>
      </c>
      <c r="I20" t="s">
        <v>41</v>
      </c>
      <c r="J20" t="s">
        <v>70</v>
      </c>
      <c r="K20" t="s">
        <v>40</v>
      </c>
      <c r="L20" t="s">
        <v>256</v>
      </c>
      <c r="M20" t="s">
        <v>257</v>
      </c>
      <c r="N20" t="s">
        <v>156</v>
      </c>
      <c r="O20" t="s">
        <v>113</v>
      </c>
      <c r="P20" t="s">
        <v>258</v>
      </c>
      <c r="Q20" t="s">
        <v>98</v>
      </c>
      <c r="R20" t="s">
        <v>259</v>
      </c>
      <c r="S20">
        <v>66</v>
      </c>
      <c r="T20">
        <v>35562</v>
      </c>
      <c r="U20">
        <v>0</v>
      </c>
      <c r="V20">
        <v>35562</v>
      </c>
    </row>
    <row r="21" spans="1:22" x14ac:dyDescent="0.3">
      <c r="A21">
        <v>15741</v>
      </c>
      <c r="B21">
        <v>140487781</v>
      </c>
      <c r="C21" t="s">
        <v>260</v>
      </c>
      <c r="D21" t="s">
        <v>261</v>
      </c>
      <c r="E21" t="s">
        <v>154</v>
      </c>
      <c r="G21" t="s">
        <v>68</v>
      </c>
      <c r="H21" t="s">
        <v>69</v>
      </c>
      <c r="I21" t="s">
        <v>41</v>
      </c>
      <c r="J21" t="s">
        <v>70</v>
      </c>
      <c r="K21" t="s">
        <v>40</v>
      </c>
      <c r="L21" t="s">
        <v>262</v>
      </c>
      <c r="M21" t="s">
        <v>263</v>
      </c>
      <c r="N21" t="s">
        <v>156</v>
      </c>
      <c r="O21" t="s">
        <v>113</v>
      </c>
      <c r="P21" t="s">
        <v>264</v>
      </c>
      <c r="Q21" t="s">
        <v>64</v>
      </c>
      <c r="R21" t="s">
        <v>265</v>
      </c>
      <c r="S21">
        <v>32</v>
      </c>
      <c r="T21">
        <v>16471</v>
      </c>
      <c r="U21">
        <v>0</v>
      </c>
      <c r="V21">
        <v>16471</v>
      </c>
    </row>
    <row r="22" spans="1:22" x14ac:dyDescent="0.3">
      <c r="A22">
        <v>15741</v>
      </c>
      <c r="B22">
        <v>140595679</v>
      </c>
      <c r="C22" t="s">
        <v>266</v>
      </c>
      <c r="D22" t="s">
        <v>267</v>
      </c>
      <c r="E22" t="s">
        <v>154</v>
      </c>
      <c r="G22" t="s">
        <v>68</v>
      </c>
      <c r="H22" t="s">
        <v>69</v>
      </c>
      <c r="I22" t="s">
        <v>41</v>
      </c>
      <c r="J22" t="s">
        <v>70</v>
      </c>
      <c r="K22" t="s">
        <v>40</v>
      </c>
      <c r="L22" t="s">
        <v>268</v>
      </c>
      <c r="M22" t="s">
        <v>269</v>
      </c>
      <c r="N22" t="s">
        <v>156</v>
      </c>
      <c r="O22" t="s">
        <v>113</v>
      </c>
      <c r="P22" t="s">
        <v>270</v>
      </c>
      <c r="Q22" t="s">
        <v>129</v>
      </c>
      <c r="R22" t="s">
        <v>271</v>
      </c>
      <c r="S22">
        <v>942.71</v>
      </c>
      <c r="T22">
        <v>273731</v>
      </c>
      <c r="U22">
        <v>17947.79</v>
      </c>
      <c r="V22">
        <v>291678.78999999998</v>
      </c>
    </row>
    <row r="23" spans="1:22" x14ac:dyDescent="0.3">
      <c r="A23">
        <v>15741</v>
      </c>
      <c r="B23">
        <v>140580092</v>
      </c>
      <c r="C23" t="s">
        <v>272</v>
      </c>
      <c r="D23" t="s">
        <v>273</v>
      </c>
      <c r="E23" t="s">
        <v>154</v>
      </c>
      <c r="G23" t="s">
        <v>68</v>
      </c>
      <c r="H23" t="s">
        <v>69</v>
      </c>
      <c r="I23" t="s">
        <v>41</v>
      </c>
      <c r="J23" t="s">
        <v>70</v>
      </c>
      <c r="K23" t="s">
        <v>40</v>
      </c>
      <c r="L23" t="s">
        <v>274</v>
      </c>
      <c r="M23" t="s">
        <v>275</v>
      </c>
      <c r="N23" t="s">
        <v>156</v>
      </c>
      <c r="O23" t="s">
        <v>113</v>
      </c>
      <c r="P23" t="s">
        <v>276</v>
      </c>
      <c r="Q23" t="s">
        <v>62</v>
      </c>
      <c r="R23" t="s">
        <v>277</v>
      </c>
      <c r="S23">
        <v>78.2</v>
      </c>
      <c r="T23">
        <v>29570</v>
      </c>
      <c r="U23">
        <v>8399.94</v>
      </c>
      <c r="V23">
        <v>37969.94</v>
      </c>
    </row>
    <row r="24" spans="1:22" x14ac:dyDescent="0.3">
      <c r="A24">
        <v>15741</v>
      </c>
      <c r="B24">
        <v>140573796</v>
      </c>
      <c r="C24" t="s">
        <v>278</v>
      </c>
      <c r="D24" t="s">
        <v>279</v>
      </c>
      <c r="E24" t="s">
        <v>154</v>
      </c>
      <c r="G24" t="s">
        <v>68</v>
      </c>
      <c r="H24" t="s">
        <v>69</v>
      </c>
      <c r="I24" t="s">
        <v>41</v>
      </c>
      <c r="J24" t="s">
        <v>70</v>
      </c>
      <c r="K24" t="s">
        <v>40</v>
      </c>
      <c r="L24" t="s">
        <v>280</v>
      </c>
      <c r="M24" t="s">
        <v>281</v>
      </c>
      <c r="N24" t="s">
        <v>156</v>
      </c>
      <c r="O24" t="s">
        <v>113</v>
      </c>
      <c r="P24" t="s">
        <v>282</v>
      </c>
      <c r="Q24" t="s">
        <v>82</v>
      </c>
      <c r="R24" t="s">
        <v>283</v>
      </c>
      <c r="S24">
        <v>6.9</v>
      </c>
      <c r="T24">
        <v>6622</v>
      </c>
      <c r="U24">
        <v>0</v>
      </c>
      <c r="V24">
        <v>6622</v>
      </c>
    </row>
    <row r="25" spans="1:22" x14ac:dyDescent="0.3">
      <c r="A25">
        <v>15741</v>
      </c>
      <c r="B25">
        <v>140570257</v>
      </c>
      <c r="C25" t="s">
        <v>284</v>
      </c>
      <c r="D25" t="s">
        <v>285</v>
      </c>
      <c r="E25" t="s">
        <v>154</v>
      </c>
      <c r="G25" t="s">
        <v>68</v>
      </c>
      <c r="H25" t="s">
        <v>69</v>
      </c>
      <c r="I25" t="s">
        <v>41</v>
      </c>
      <c r="J25" t="s">
        <v>70</v>
      </c>
      <c r="K25" t="s">
        <v>40</v>
      </c>
      <c r="L25" t="s">
        <v>286</v>
      </c>
      <c r="M25" t="s">
        <v>287</v>
      </c>
      <c r="N25" t="s">
        <v>156</v>
      </c>
      <c r="O25" t="s">
        <v>113</v>
      </c>
      <c r="P25" t="s">
        <v>288</v>
      </c>
      <c r="Q25" t="s">
        <v>75</v>
      </c>
      <c r="R25" t="s">
        <v>127</v>
      </c>
      <c r="S25">
        <v>9.4499999999999993</v>
      </c>
      <c r="T25">
        <v>7519</v>
      </c>
      <c r="U25">
        <v>0</v>
      </c>
      <c r="V25">
        <v>7519</v>
      </c>
    </row>
    <row r="26" spans="1:22" x14ac:dyDescent="0.3">
      <c r="A26">
        <v>15741</v>
      </c>
      <c r="B26">
        <v>140561418</v>
      </c>
      <c r="C26" t="s">
        <v>289</v>
      </c>
      <c r="D26" t="s">
        <v>290</v>
      </c>
      <c r="E26" t="s">
        <v>154</v>
      </c>
      <c r="G26" t="s">
        <v>68</v>
      </c>
      <c r="H26" t="s">
        <v>69</v>
      </c>
      <c r="I26" t="s">
        <v>41</v>
      </c>
      <c r="J26" t="s">
        <v>70</v>
      </c>
      <c r="K26" t="s">
        <v>40</v>
      </c>
      <c r="L26" t="s">
        <v>291</v>
      </c>
      <c r="M26" t="s">
        <v>292</v>
      </c>
      <c r="N26" t="s">
        <v>156</v>
      </c>
      <c r="O26" t="s">
        <v>113</v>
      </c>
      <c r="P26" t="s">
        <v>293</v>
      </c>
      <c r="Q26" t="s">
        <v>48</v>
      </c>
      <c r="R26" t="s">
        <v>294</v>
      </c>
      <c r="S26">
        <v>3.47</v>
      </c>
      <c r="T26">
        <v>5738</v>
      </c>
      <c r="U26">
        <v>0</v>
      </c>
      <c r="V26">
        <v>5738</v>
      </c>
    </row>
    <row r="27" spans="1:22" x14ac:dyDescent="0.3">
      <c r="A27">
        <v>15741</v>
      </c>
      <c r="B27">
        <v>140562568</v>
      </c>
      <c r="C27" t="s">
        <v>295</v>
      </c>
      <c r="D27" t="s">
        <v>296</v>
      </c>
      <c r="E27" t="s">
        <v>154</v>
      </c>
      <c r="G27" t="s">
        <v>68</v>
      </c>
      <c r="H27" t="s">
        <v>69</v>
      </c>
      <c r="I27" t="s">
        <v>41</v>
      </c>
      <c r="J27" t="s">
        <v>70</v>
      </c>
      <c r="K27" t="s">
        <v>40</v>
      </c>
      <c r="L27" t="s">
        <v>297</v>
      </c>
      <c r="M27" t="s">
        <v>298</v>
      </c>
      <c r="N27" t="s">
        <v>156</v>
      </c>
      <c r="O27" t="s">
        <v>113</v>
      </c>
      <c r="P27" t="s">
        <v>299</v>
      </c>
      <c r="Q27" t="s">
        <v>64</v>
      </c>
      <c r="R27" t="s">
        <v>300</v>
      </c>
      <c r="S27">
        <v>106</v>
      </c>
      <c r="T27">
        <v>33000</v>
      </c>
      <c r="U27">
        <v>6395.88</v>
      </c>
      <c r="V27">
        <v>39395.879999999997</v>
      </c>
    </row>
    <row r="28" spans="1:22" x14ac:dyDescent="0.3">
      <c r="A28">
        <v>15741</v>
      </c>
      <c r="B28">
        <v>140562909</v>
      </c>
      <c r="C28" t="s">
        <v>301</v>
      </c>
      <c r="D28" t="s">
        <v>302</v>
      </c>
      <c r="E28" t="s">
        <v>154</v>
      </c>
      <c r="G28" t="s">
        <v>68</v>
      </c>
      <c r="H28" t="s">
        <v>69</v>
      </c>
      <c r="I28" t="s">
        <v>41</v>
      </c>
      <c r="J28" t="s">
        <v>70</v>
      </c>
      <c r="K28" t="s">
        <v>40</v>
      </c>
      <c r="L28" t="s">
        <v>303</v>
      </c>
      <c r="M28" t="s">
        <v>304</v>
      </c>
      <c r="N28" t="s">
        <v>156</v>
      </c>
      <c r="O28" t="s">
        <v>113</v>
      </c>
      <c r="P28" t="s">
        <v>305</v>
      </c>
      <c r="Q28" t="s">
        <v>117</v>
      </c>
      <c r="R28" t="s">
        <v>306</v>
      </c>
      <c r="S28">
        <v>106</v>
      </c>
      <c r="T28">
        <v>30578</v>
      </c>
      <c r="U28">
        <v>0</v>
      </c>
      <c r="V28">
        <v>30578</v>
      </c>
    </row>
    <row r="29" spans="1:22" x14ac:dyDescent="0.3">
      <c r="A29">
        <v>15741</v>
      </c>
      <c r="B29">
        <v>140561386</v>
      </c>
      <c r="C29" t="s">
        <v>307</v>
      </c>
      <c r="D29" t="s">
        <v>308</v>
      </c>
      <c r="E29" t="s">
        <v>154</v>
      </c>
      <c r="G29" t="s">
        <v>68</v>
      </c>
      <c r="H29" t="s">
        <v>69</v>
      </c>
      <c r="I29" t="s">
        <v>41</v>
      </c>
      <c r="J29" t="s">
        <v>70</v>
      </c>
      <c r="K29" t="s">
        <v>40</v>
      </c>
      <c r="L29" t="s">
        <v>309</v>
      </c>
      <c r="M29" t="s">
        <v>179</v>
      </c>
      <c r="N29" t="s">
        <v>156</v>
      </c>
      <c r="O29" t="s">
        <v>113</v>
      </c>
      <c r="P29" t="s">
        <v>180</v>
      </c>
      <c r="Q29" t="s">
        <v>43</v>
      </c>
      <c r="R29" t="s">
        <v>310</v>
      </c>
      <c r="S29">
        <v>1.75</v>
      </c>
      <c r="T29">
        <v>5143</v>
      </c>
      <c r="U29">
        <v>0</v>
      </c>
      <c r="V29">
        <v>5143</v>
      </c>
    </row>
    <row r="30" spans="1:22" x14ac:dyDescent="0.3">
      <c r="A30">
        <v>15741</v>
      </c>
      <c r="B30">
        <v>140561561</v>
      </c>
      <c r="C30" t="s">
        <v>311</v>
      </c>
      <c r="D30" t="s">
        <v>312</v>
      </c>
      <c r="E30" t="s">
        <v>154</v>
      </c>
      <c r="G30" t="s">
        <v>68</v>
      </c>
      <c r="H30" t="s">
        <v>69</v>
      </c>
      <c r="I30" t="s">
        <v>41</v>
      </c>
      <c r="J30" t="s">
        <v>70</v>
      </c>
      <c r="K30" t="s">
        <v>40</v>
      </c>
      <c r="L30" t="s">
        <v>313</v>
      </c>
      <c r="M30" t="s">
        <v>314</v>
      </c>
      <c r="N30" t="s">
        <v>156</v>
      </c>
      <c r="O30" t="s">
        <v>113</v>
      </c>
      <c r="P30" t="s">
        <v>315</v>
      </c>
      <c r="Q30" t="s">
        <v>115</v>
      </c>
      <c r="R30" t="s">
        <v>316</v>
      </c>
      <c r="S30">
        <v>7</v>
      </c>
      <c r="T30">
        <v>6622</v>
      </c>
      <c r="U30">
        <v>0</v>
      </c>
      <c r="V30">
        <v>6622</v>
      </c>
    </row>
    <row r="31" spans="1:22" x14ac:dyDescent="0.3">
      <c r="A31">
        <v>15741</v>
      </c>
      <c r="B31">
        <v>140488342</v>
      </c>
      <c r="C31" t="s">
        <v>317</v>
      </c>
      <c r="D31" t="s">
        <v>318</v>
      </c>
      <c r="E31" t="s">
        <v>154</v>
      </c>
      <c r="G31" t="s">
        <v>68</v>
      </c>
      <c r="H31" t="s">
        <v>69</v>
      </c>
      <c r="I31" t="s">
        <v>41</v>
      </c>
      <c r="J31" t="s">
        <v>70</v>
      </c>
      <c r="K31" t="s">
        <v>40</v>
      </c>
      <c r="L31" t="s">
        <v>319</v>
      </c>
      <c r="M31" t="s">
        <v>320</v>
      </c>
      <c r="N31" t="s">
        <v>156</v>
      </c>
      <c r="O31" t="s">
        <v>113</v>
      </c>
      <c r="P31" t="s">
        <v>321</v>
      </c>
      <c r="Q31" t="s">
        <v>130</v>
      </c>
      <c r="R31" t="s">
        <v>322</v>
      </c>
      <c r="S31">
        <v>526.5</v>
      </c>
      <c r="T31">
        <v>304552</v>
      </c>
      <c r="U31">
        <v>17279.88</v>
      </c>
      <c r="V31">
        <v>321831.88</v>
      </c>
    </row>
    <row r="32" spans="1:22" x14ac:dyDescent="0.3">
      <c r="A32">
        <v>15741</v>
      </c>
      <c r="B32">
        <v>140526498</v>
      </c>
      <c r="C32" t="s">
        <v>323</v>
      </c>
      <c r="D32" t="s">
        <v>324</v>
      </c>
      <c r="E32" t="s">
        <v>154</v>
      </c>
      <c r="G32" t="s">
        <v>68</v>
      </c>
      <c r="H32" t="s">
        <v>69</v>
      </c>
      <c r="I32" t="s">
        <v>41</v>
      </c>
      <c r="J32" t="s">
        <v>70</v>
      </c>
      <c r="K32" t="s">
        <v>52</v>
      </c>
      <c r="L32" t="s">
        <v>71</v>
      </c>
      <c r="M32" t="s">
        <v>325</v>
      </c>
      <c r="N32" t="s">
        <v>156</v>
      </c>
      <c r="O32" t="s">
        <v>113</v>
      </c>
      <c r="P32" t="s">
        <v>326</v>
      </c>
      <c r="Q32" t="s">
        <v>80</v>
      </c>
      <c r="R32" t="s">
        <v>146</v>
      </c>
      <c r="S32">
        <v>122.11</v>
      </c>
      <c r="T32">
        <v>63025</v>
      </c>
      <c r="U32">
        <v>10469.94</v>
      </c>
      <c r="V32">
        <v>73494.94</v>
      </c>
    </row>
    <row r="33" spans="1:22" x14ac:dyDescent="0.3">
      <c r="A33">
        <v>15741</v>
      </c>
      <c r="B33">
        <v>140491141</v>
      </c>
      <c r="C33" t="s">
        <v>327</v>
      </c>
      <c r="D33" t="s">
        <v>328</v>
      </c>
      <c r="E33" t="s">
        <v>154</v>
      </c>
      <c r="G33" t="s">
        <v>68</v>
      </c>
      <c r="H33" t="s">
        <v>69</v>
      </c>
      <c r="I33" t="s">
        <v>41</v>
      </c>
      <c r="J33" t="s">
        <v>70</v>
      </c>
      <c r="K33" t="s">
        <v>40</v>
      </c>
      <c r="L33" t="s">
        <v>329</v>
      </c>
      <c r="M33" t="s">
        <v>330</v>
      </c>
      <c r="N33" t="s">
        <v>156</v>
      </c>
      <c r="O33" t="s">
        <v>113</v>
      </c>
      <c r="P33" t="s">
        <v>331</v>
      </c>
      <c r="Q33" t="s">
        <v>136</v>
      </c>
      <c r="R33" t="s">
        <v>332</v>
      </c>
      <c r="S33">
        <v>80</v>
      </c>
      <c r="T33">
        <v>80970</v>
      </c>
      <c r="U33">
        <v>0</v>
      </c>
      <c r="V33">
        <v>80970</v>
      </c>
    </row>
    <row r="34" spans="1:22" x14ac:dyDescent="0.3">
      <c r="A34">
        <v>15741</v>
      </c>
      <c r="B34">
        <v>140527571</v>
      </c>
      <c r="C34" t="s">
        <v>333</v>
      </c>
      <c r="D34" t="s">
        <v>334</v>
      </c>
      <c r="E34" t="s">
        <v>154</v>
      </c>
      <c r="G34" t="s">
        <v>68</v>
      </c>
      <c r="H34" t="s">
        <v>69</v>
      </c>
      <c r="I34" t="s">
        <v>41</v>
      </c>
      <c r="J34" t="s">
        <v>70</v>
      </c>
      <c r="K34" t="s">
        <v>40</v>
      </c>
      <c r="L34" t="s">
        <v>335</v>
      </c>
      <c r="M34" t="s">
        <v>336</v>
      </c>
      <c r="N34" t="s">
        <v>156</v>
      </c>
      <c r="O34" t="s">
        <v>113</v>
      </c>
      <c r="P34" t="s">
        <v>337</v>
      </c>
      <c r="Q34" t="s">
        <v>65</v>
      </c>
      <c r="R34" t="s">
        <v>338</v>
      </c>
      <c r="S34">
        <v>7</v>
      </c>
      <c r="T34">
        <v>8015</v>
      </c>
      <c r="U34">
        <v>0</v>
      </c>
      <c r="V34">
        <v>8015</v>
      </c>
    </row>
    <row r="35" spans="1:22" x14ac:dyDescent="0.3">
      <c r="A35">
        <v>15741</v>
      </c>
      <c r="B35">
        <v>140503928</v>
      </c>
      <c r="C35" t="s">
        <v>339</v>
      </c>
      <c r="D35" t="s">
        <v>340</v>
      </c>
      <c r="E35" t="s">
        <v>154</v>
      </c>
      <c r="G35" t="s">
        <v>68</v>
      </c>
      <c r="H35" t="s">
        <v>69</v>
      </c>
      <c r="I35" t="s">
        <v>41</v>
      </c>
      <c r="J35" t="s">
        <v>70</v>
      </c>
      <c r="K35" t="s">
        <v>40</v>
      </c>
      <c r="L35" t="s">
        <v>341</v>
      </c>
      <c r="M35" t="s">
        <v>342</v>
      </c>
      <c r="N35" t="s">
        <v>156</v>
      </c>
      <c r="O35" t="s">
        <v>113</v>
      </c>
      <c r="P35" t="s">
        <v>343</v>
      </c>
      <c r="Q35" t="s">
        <v>112</v>
      </c>
      <c r="R35" t="s">
        <v>344</v>
      </c>
      <c r="S35">
        <v>2.0299999999999998</v>
      </c>
      <c r="T35">
        <v>5435</v>
      </c>
      <c r="U35">
        <v>0</v>
      </c>
      <c r="V35">
        <v>5435</v>
      </c>
    </row>
    <row r="36" spans="1:22" x14ac:dyDescent="0.3">
      <c r="A36">
        <v>15741</v>
      </c>
      <c r="B36">
        <v>140503980</v>
      </c>
      <c r="C36" t="s">
        <v>345</v>
      </c>
      <c r="D36" t="s">
        <v>346</v>
      </c>
      <c r="E36" t="s">
        <v>154</v>
      </c>
      <c r="G36" t="s">
        <v>68</v>
      </c>
      <c r="H36" t="s">
        <v>69</v>
      </c>
      <c r="I36" t="s">
        <v>41</v>
      </c>
      <c r="J36" t="s">
        <v>70</v>
      </c>
      <c r="K36" t="s">
        <v>40</v>
      </c>
      <c r="L36" t="s">
        <v>347</v>
      </c>
      <c r="M36" t="s">
        <v>348</v>
      </c>
      <c r="N36" t="s">
        <v>156</v>
      </c>
      <c r="O36" t="s">
        <v>113</v>
      </c>
      <c r="P36" t="s">
        <v>349</v>
      </c>
      <c r="Q36" t="s">
        <v>44</v>
      </c>
      <c r="R36" t="s">
        <v>350</v>
      </c>
      <c r="S36">
        <v>1.79</v>
      </c>
      <c r="T36">
        <v>5143</v>
      </c>
      <c r="U36">
        <v>0</v>
      </c>
      <c r="V36">
        <v>5143</v>
      </c>
    </row>
    <row r="37" spans="1:22" x14ac:dyDescent="0.3">
      <c r="A37">
        <v>15741</v>
      </c>
      <c r="B37">
        <v>140503964</v>
      </c>
      <c r="C37" t="s">
        <v>351</v>
      </c>
      <c r="D37" t="s">
        <v>352</v>
      </c>
      <c r="E37" t="s">
        <v>154</v>
      </c>
      <c r="G37" t="s">
        <v>68</v>
      </c>
      <c r="H37" t="s">
        <v>69</v>
      </c>
      <c r="I37" t="s">
        <v>41</v>
      </c>
      <c r="J37" t="s">
        <v>70</v>
      </c>
      <c r="K37" t="s">
        <v>40</v>
      </c>
      <c r="L37" t="s">
        <v>353</v>
      </c>
      <c r="M37" t="s">
        <v>354</v>
      </c>
      <c r="N37" t="s">
        <v>156</v>
      </c>
      <c r="O37" t="s">
        <v>113</v>
      </c>
      <c r="P37" t="s">
        <v>355</v>
      </c>
      <c r="Q37" t="s">
        <v>44</v>
      </c>
      <c r="R37" t="s">
        <v>350</v>
      </c>
      <c r="S37">
        <v>4.9000000000000004</v>
      </c>
      <c r="T37">
        <v>6028</v>
      </c>
      <c r="U37">
        <v>0</v>
      </c>
      <c r="V37">
        <v>6028</v>
      </c>
    </row>
    <row r="38" spans="1:22" x14ac:dyDescent="0.3">
      <c r="A38">
        <v>15741</v>
      </c>
      <c r="B38">
        <v>140503999</v>
      </c>
      <c r="C38" t="s">
        <v>356</v>
      </c>
      <c r="D38" t="s">
        <v>357</v>
      </c>
      <c r="E38" t="s">
        <v>154</v>
      </c>
      <c r="G38" t="s">
        <v>68</v>
      </c>
      <c r="H38" t="s">
        <v>69</v>
      </c>
      <c r="I38" t="s">
        <v>41</v>
      </c>
      <c r="J38" t="s">
        <v>70</v>
      </c>
      <c r="K38" t="s">
        <v>40</v>
      </c>
      <c r="L38" t="s">
        <v>358</v>
      </c>
      <c r="M38" t="s">
        <v>359</v>
      </c>
      <c r="N38" t="s">
        <v>156</v>
      </c>
      <c r="O38" t="s">
        <v>113</v>
      </c>
      <c r="P38" t="s">
        <v>360</v>
      </c>
      <c r="Q38" t="s">
        <v>114</v>
      </c>
      <c r="R38" t="s">
        <v>361</v>
      </c>
      <c r="S38">
        <v>1.81</v>
      </c>
      <c r="T38">
        <v>5143</v>
      </c>
      <c r="U38">
        <v>0</v>
      </c>
      <c r="V38">
        <v>5143</v>
      </c>
    </row>
    <row r="39" spans="1:22" x14ac:dyDescent="0.3">
      <c r="A39">
        <v>15741</v>
      </c>
      <c r="B39">
        <v>140504374</v>
      </c>
      <c r="C39" t="s">
        <v>362</v>
      </c>
      <c r="D39" t="s">
        <v>363</v>
      </c>
      <c r="E39" t="s">
        <v>154</v>
      </c>
      <c r="G39" t="s">
        <v>68</v>
      </c>
      <c r="H39" t="s">
        <v>69</v>
      </c>
      <c r="I39" t="s">
        <v>41</v>
      </c>
      <c r="J39" t="s">
        <v>70</v>
      </c>
      <c r="K39" t="s">
        <v>40</v>
      </c>
      <c r="L39" t="s">
        <v>364</v>
      </c>
      <c r="M39" t="s">
        <v>365</v>
      </c>
      <c r="N39" t="s">
        <v>156</v>
      </c>
      <c r="O39" t="s">
        <v>113</v>
      </c>
      <c r="P39" t="s">
        <v>366</v>
      </c>
      <c r="Q39" t="s">
        <v>49</v>
      </c>
      <c r="R39" t="s">
        <v>367</v>
      </c>
      <c r="S39">
        <v>66.2</v>
      </c>
      <c r="T39">
        <v>25525</v>
      </c>
      <c r="U39">
        <v>6747.3</v>
      </c>
      <c r="V39">
        <v>32272.3</v>
      </c>
    </row>
    <row r="40" spans="1:22" x14ac:dyDescent="0.3">
      <c r="A40">
        <v>15741</v>
      </c>
      <c r="B40">
        <v>140503906</v>
      </c>
      <c r="C40" t="s">
        <v>368</v>
      </c>
      <c r="D40" t="s">
        <v>369</v>
      </c>
      <c r="E40" t="s">
        <v>154</v>
      </c>
      <c r="G40" t="s">
        <v>68</v>
      </c>
      <c r="H40" t="s">
        <v>69</v>
      </c>
      <c r="I40" t="s">
        <v>41</v>
      </c>
      <c r="J40" t="s">
        <v>70</v>
      </c>
      <c r="K40" t="s">
        <v>40</v>
      </c>
      <c r="L40" t="s">
        <v>370</v>
      </c>
      <c r="M40" t="s">
        <v>371</v>
      </c>
      <c r="N40" t="s">
        <v>156</v>
      </c>
      <c r="O40" t="s">
        <v>113</v>
      </c>
      <c r="P40" t="s">
        <v>372</v>
      </c>
      <c r="Q40" t="s">
        <v>140</v>
      </c>
      <c r="R40" t="s">
        <v>373</v>
      </c>
      <c r="S40">
        <v>1.81</v>
      </c>
      <c r="T40">
        <v>6744</v>
      </c>
      <c r="U40">
        <v>0</v>
      </c>
      <c r="V40">
        <v>6744</v>
      </c>
    </row>
    <row r="41" spans="1:22" x14ac:dyDescent="0.3">
      <c r="A41">
        <v>15741</v>
      </c>
      <c r="B41">
        <v>140184839</v>
      </c>
      <c r="C41" t="s">
        <v>374</v>
      </c>
      <c r="D41" t="s">
        <v>375</v>
      </c>
      <c r="E41" t="s">
        <v>154</v>
      </c>
      <c r="G41" t="s">
        <v>68</v>
      </c>
      <c r="H41" t="s">
        <v>69</v>
      </c>
      <c r="I41" t="s">
        <v>41</v>
      </c>
      <c r="J41" t="s">
        <v>70</v>
      </c>
      <c r="K41" t="s">
        <v>40</v>
      </c>
      <c r="L41" t="s">
        <v>376</v>
      </c>
      <c r="M41" t="s">
        <v>377</v>
      </c>
      <c r="N41" t="s">
        <v>156</v>
      </c>
      <c r="O41" t="s">
        <v>113</v>
      </c>
      <c r="P41" t="s">
        <v>378</v>
      </c>
      <c r="Q41" t="s">
        <v>45</v>
      </c>
      <c r="R41" t="s">
        <v>379</v>
      </c>
      <c r="S41">
        <v>12</v>
      </c>
      <c r="T41">
        <v>8102</v>
      </c>
      <c r="U41">
        <v>0</v>
      </c>
      <c r="V41">
        <v>8102</v>
      </c>
    </row>
    <row r="42" spans="1:22" x14ac:dyDescent="0.3">
      <c r="A42">
        <v>15741</v>
      </c>
      <c r="B42">
        <v>140502253</v>
      </c>
      <c r="C42" t="s">
        <v>380</v>
      </c>
      <c r="D42" t="s">
        <v>381</v>
      </c>
      <c r="E42" t="s">
        <v>154</v>
      </c>
      <c r="G42" t="s">
        <v>68</v>
      </c>
      <c r="H42" t="s">
        <v>69</v>
      </c>
      <c r="I42" t="s">
        <v>41</v>
      </c>
      <c r="J42" t="s">
        <v>70</v>
      </c>
      <c r="K42" t="s">
        <v>40</v>
      </c>
      <c r="L42" t="s">
        <v>382</v>
      </c>
      <c r="M42" t="s">
        <v>383</v>
      </c>
      <c r="N42" t="s">
        <v>156</v>
      </c>
      <c r="O42" t="s">
        <v>113</v>
      </c>
      <c r="P42" t="s">
        <v>384</v>
      </c>
      <c r="Q42" t="s">
        <v>89</v>
      </c>
      <c r="R42" t="s">
        <v>385</v>
      </c>
      <c r="S42">
        <v>15.75</v>
      </c>
      <c r="T42">
        <v>9402</v>
      </c>
      <c r="U42">
        <v>0</v>
      </c>
      <c r="V42">
        <v>9402</v>
      </c>
    </row>
    <row r="43" spans="1:22" x14ac:dyDescent="0.3">
      <c r="A43">
        <v>15741</v>
      </c>
      <c r="B43">
        <v>140503785</v>
      </c>
      <c r="C43" t="s">
        <v>386</v>
      </c>
      <c r="D43" t="s">
        <v>387</v>
      </c>
      <c r="E43" t="s">
        <v>154</v>
      </c>
      <c r="G43" t="s">
        <v>68</v>
      </c>
      <c r="H43" t="s">
        <v>69</v>
      </c>
      <c r="I43" t="s">
        <v>41</v>
      </c>
      <c r="J43" t="s">
        <v>70</v>
      </c>
      <c r="K43" t="s">
        <v>40</v>
      </c>
      <c r="L43" t="s">
        <v>388</v>
      </c>
      <c r="M43" t="s">
        <v>389</v>
      </c>
      <c r="N43" t="s">
        <v>156</v>
      </c>
      <c r="O43" t="s">
        <v>113</v>
      </c>
      <c r="P43" t="s">
        <v>390</v>
      </c>
      <c r="Q43" t="s">
        <v>43</v>
      </c>
      <c r="R43" t="s">
        <v>391</v>
      </c>
      <c r="S43">
        <v>1.76</v>
      </c>
      <c r="T43">
        <v>5143</v>
      </c>
      <c r="U43">
        <v>0</v>
      </c>
      <c r="V43">
        <v>5143</v>
      </c>
    </row>
    <row r="44" spans="1:22" x14ac:dyDescent="0.3">
      <c r="A44">
        <v>15741</v>
      </c>
      <c r="B44">
        <v>140487267</v>
      </c>
      <c r="C44" t="s">
        <v>392</v>
      </c>
      <c r="D44" t="s">
        <v>393</v>
      </c>
      <c r="E44" t="s">
        <v>154</v>
      </c>
      <c r="G44" t="s">
        <v>68</v>
      </c>
      <c r="H44" t="s">
        <v>69</v>
      </c>
      <c r="I44" t="s">
        <v>41</v>
      </c>
      <c r="J44" t="s">
        <v>70</v>
      </c>
      <c r="K44" t="s">
        <v>40</v>
      </c>
      <c r="L44" t="s">
        <v>394</v>
      </c>
      <c r="M44" t="s">
        <v>395</v>
      </c>
      <c r="N44" t="s">
        <v>156</v>
      </c>
      <c r="O44" t="s">
        <v>113</v>
      </c>
      <c r="P44" t="s">
        <v>396</v>
      </c>
      <c r="Q44" t="s">
        <v>61</v>
      </c>
      <c r="R44" t="s">
        <v>124</v>
      </c>
      <c r="S44">
        <v>13.32</v>
      </c>
      <c r="T44">
        <v>15063</v>
      </c>
      <c r="U44">
        <v>0</v>
      </c>
      <c r="V44">
        <v>15063</v>
      </c>
    </row>
    <row r="45" spans="1:22" x14ac:dyDescent="0.3">
      <c r="A45">
        <v>15741</v>
      </c>
      <c r="B45">
        <v>140487080</v>
      </c>
      <c r="C45" t="s">
        <v>397</v>
      </c>
      <c r="D45" t="s">
        <v>398</v>
      </c>
      <c r="E45" t="s">
        <v>154</v>
      </c>
      <c r="G45" t="s">
        <v>68</v>
      </c>
      <c r="H45" t="s">
        <v>69</v>
      </c>
      <c r="I45" t="s">
        <v>41</v>
      </c>
      <c r="J45" t="s">
        <v>70</v>
      </c>
      <c r="K45" t="s">
        <v>40</v>
      </c>
      <c r="L45" t="s">
        <v>399</v>
      </c>
      <c r="M45" t="s">
        <v>400</v>
      </c>
      <c r="N45" t="s">
        <v>156</v>
      </c>
      <c r="O45" t="s">
        <v>113</v>
      </c>
      <c r="P45" t="s">
        <v>401</v>
      </c>
      <c r="Q45" t="s">
        <v>42</v>
      </c>
      <c r="R45" t="s">
        <v>402</v>
      </c>
      <c r="S45">
        <v>1.74</v>
      </c>
      <c r="T45">
        <v>5143</v>
      </c>
      <c r="U45">
        <v>0</v>
      </c>
      <c r="V45">
        <v>5143</v>
      </c>
    </row>
    <row r="46" spans="1:22" x14ac:dyDescent="0.3">
      <c r="A46">
        <v>15741</v>
      </c>
      <c r="B46">
        <v>140372954</v>
      </c>
      <c r="C46" t="s">
        <v>403</v>
      </c>
      <c r="D46" t="s">
        <v>404</v>
      </c>
      <c r="E46" t="s">
        <v>154</v>
      </c>
      <c r="G46" t="s">
        <v>68</v>
      </c>
      <c r="H46" t="s">
        <v>69</v>
      </c>
      <c r="I46" t="s">
        <v>41</v>
      </c>
      <c r="J46" t="s">
        <v>70</v>
      </c>
      <c r="K46" t="s">
        <v>40</v>
      </c>
      <c r="L46" t="s">
        <v>405</v>
      </c>
      <c r="M46" t="s">
        <v>406</v>
      </c>
      <c r="N46" t="s">
        <v>156</v>
      </c>
      <c r="O46" t="s">
        <v>113</v>
      </c>
      <c r="P46" t="s">
        <v>407</v>
      </c>
      <c r="Q46" t="s">
        <v>97</v>
      </c>
      <c r="R46" t="s">
        <v>408</v>
      </c>
      <c r="S46">
        <v>66.66</v>
      </c>
      <c r="T46">
        <v>32279</v>
      </c>
      <c r="U46">
        <v>0</v>
      </c>
      <c r="V46">
        <v>32279</v>
      </c>
    </row>
    <row r="47" spans="1:22" x14ac:dyDescent="0.3">
      <c r="A47">
        <v>15741</v>
      </c>
      <c r="B47">
        <v>140487108</v>
      </c>
      <c r="C47" t="s">
        <v>409</v>
      </c>
      <c r="D47" t="s">
        <v>410</v>
      </c>
      <c r="E47" t="s">
        <v>154</v>
      </c>
      <c r="G47" t="s">
        <v>68</v>
      </c>
      <c r="H47" t="s">
        <v>69</v>
      </c>
      <c r="I47" t="s">
        <v>41</v>
      </c>
      <c r="J47" t="s">
        <v>70</v>
      </c>
      <c r="K47" t="s">
        <v>40</v>
      </c>
      <c r="L47" t="s">
        <v>411</v>
      </c>
      <c r="M47" t="s">
        <v>412</v>
      </c>
      <c r="N47" t="s">
        <v>156</v>
      </c>
      <c r="O47" t="s">
        <v>113</v>
      </c>
      <c r="P47" t="s">
        <v>413</v>
      </c>
      <c r="Q47" t="s">
        <v>42</v>
      </c>
      <c r="R47" t="s">
        <v>402</v>
      </c>
      <c r="S47">
        <v>1.81</v>
      </c>
      <c r="T47">
        <v>5143</v>
      </c>
      <c r="U47">
        <v>0</v>
      </c>
      <c r="V47">
        <v>5143</v>
      </c>
    </row>
    <row r="48" spans="1:22" x14ac:dyDescent="0.3">
      <c r="A48">
        <v>15741</v>
      </c>
      <c r="B48">
        <v>140484812</v>
      </c>
      <c r="C48" t="s">
        <v>414</v>
      </c>
      <c r="D48" t="s">
        <v>415</v>
      </c>
      <c r="E48" t="s">
        <v>154</v>
      </c>
      <c r="G48" t="s">
        <v>68</v>
      </c>
      <c r="H48" t="s">
        <v>69</v>
      </c>
      <c r="I48" t="s">
        <v>41</v>
      </c>
      <c r="J48" t="s">
        <v>70</v>
      </c>
      <c r="K48" t="s">
        <v>40</v>
      </c>
      <c r="L48" t="s">
        <v>416</v>
      </c>
      <c r="M48" t="s">
        <v>417</v>
      </c>
      <c r="N48" t="s">
        <v>156</v>
      </c>
      <c r="O48" t="s">
        <v>113</v>
      </c>
      <c r="P48" t="s">
        <v>418</v>
      </c>
      <c r="Q48" t="s">
        <v>104</v>
      </c>
      <c r="R48" t="s">
        <v>419</v>
      </c>
      <c r="S48">
        <v>9.4499999999999993</v>
      </c>
      <c r="T48">
        <v>12615</v>
      </c>
      <c r="U48">
        <v>0</v>
      </c>
      <c r="V48">
        <v>12615</v>
      </c>
    </row>
    <row r="49" spans="1:22" x14ac:dyDescent="0.3">
      <c r="A49">
        <v>15741</v>
      </c>
      <c r="B49">
        <v>140487216</v>
      </c>
      <c r="C49" t="s">
        <v>392</v>
      </c>
      <c r="D49" t="s">
        <v>420</v>
      </c>
      <c r="E49" t="s">
        <v>154</v>
      </c>
      <c r="G49" t="s">
        <v>68</v>
      </c>
      <c r="H49" t="s">
        <v>69</v>
      </c>
      <c r="I49" t="s">
        <v>41</v>
      </c>
      <c r="J49" t="s">
        <v>70</v>
      </c>
      <c r="K49" t="s">
        <v>40</v>
      </c>
      <c r="L49" t="s">
        <v>421</v>
      </c>
      <c r="M49" t="s">
        <v>422</v>
      </c>
      <c r="N49" t="s">
        <v>156</v>
      </c>
      <c r="O49" t="s">
        <v>113</v>
      </c>
      <c r="P49" t="s">
        <v>423</v>
      </c>
      <c r="Q49" t="s">
        <v>82</v>
      </c>
      <c r="R49" t="s">
        <v>424</v>
      </c>
      <c r="S49">
        <v>1.8</v>
      </c>
      <c r="T49">
        <v>5143</v>
      </c>
      <c r="U49">
        <v>0</v>
      </c>
      <c r="V49">
        <v>5143</v>
      </c>
    </row>
    <row r="50" spans="1:22" x14ac:dyDescent="0.3">
      <c r="A50">
        <v>15741</v>
      </c>
      <c r="B50">
        <v>140487175</v>
      </c>
      <c r="C50" t="s">
        <v>425</v>
      </c>
      <c r="D50" t="s">
        <v>426</v>
      </c>
      <c r="E50" t="s">
        <v>154</v>
      </c>
      <c r="G50" t="s">
        <v>68</v>
      </c>
      <c r="H50" t="s">
        <v>69</v>
      </c>
      <c r="I50" t="s">
        <v>41</v>
      </c>
      <c r="J50" t="s">
        <v>70</v>
      </c>
      <c r="K50" t="s">
        <v>40</v>
      </c>
      <c r="L50" t="s">
        <v>427</v>
      </c>
      <c r="M50" t="s">
        <v>428</v>
      </c>
      <c r="N50" t="s">
        <v>156</v>
      </c>
      <c r="O50" t="s">
        <v>113</v>
      </c>
      <c r="P50" t="s">
        <v>429</v>
      </c>
      <c r="Q50" t="s">
        <v>42</v>
      </c>
      <c r="R50" t="s">
        <v>123</v>
      </c>
      <c r="S50">
        <v>1.8</v>
      </c>
      <c r="T50">
        <v>5143</v>
      </c>
      <c r="U50">
        <v>0</v>
      </c>
      <c r="V50">
        <v>5143</v>
      </c>
    </row>
    <row r="51" spans="1:22" x14ac:dyDescent="0.3">
      <c r="A51">
        <v>15741</v>
      </c>
      <c r="B51">
        <v>140487149</v>
      </c>
      <c r="C51" t="s">
        <v>430</v>
      </c>
      <c r="D51" t="s">
        <v>431</v>
      </c>
      <c r="E51" t="s">
        <v>154</v>
      </c>
      <c r="G51" t="s">
        <v>68</v>
      </c>
      <c r="H51" t="s">
        <v>69</v>
      </c>
      <c r="I51" t="s">
        <v>41</v>
      </c>
      <c r="J51" t="s">
        <v>70</v>
      </c>
      <c r="K51" t="s">
        <v>40</v>
      </c>
      <c r="L51" t="s">
        <v>432</v>
      </c>
      <c r="M51" t="s">
        <v>433</v>
      </c>
      <c r="N51" t="s">
        <v>156</v>
      </c>
      <c r="O51" t="s">
        <v>113</v>
      </c>
      <c r="P51" t="s">
        <v>434</v>
      </c>
      <c r="Q51" t="s">
        <v>42</v>
      </c>
      <c r="R51" t="s">
        <v>123</v>
      </c>
      <c r="S51">
        <v>2</v>
      </c>
      <c r="T51">
        <v>5143</v>
      </c>
      <c r="U51">
        <v>0</v>
      </c>
      <c r="V51">
        <v>5143</v>
      </c>
    </row>
    <row r="52" spans="1:22" x14ac:dyDescent="0.3">
      <c r="A52">
        <v>15741</v>
      </c>
      <c r="B52">
        <v>140439848</v>
      </c>
      <c r="C52" t="s">
        <v>435</v>
      </c>
      <c r="D52" t="s">
        <v>436</v>
      </c>
      <c r="E52" t="s">
        <v>154</v>
      </c>
      <c r="G52" t="s">
        <v>68</v>
      </c>
      <c r="H52" t="s">
        <v>69</v>
      </c>
      <c r="I52" t="s">
        <v>41</v>
      </c>
      <c r="J52" t="s">
        <v>70</v>
      </c>
      <c r="K52" t="s">
        <v>40</v>
      </c>
      <c r="L52" t="s">
        <v>437</v>
      </c>
      <c r="M52" t="s">
        <v>438</v>
      </c>
      <c r="N52" t="s">
        <v>156</v>
      </c>
      <c r="O52" t="s">
        <v>113</v>
      </c>
      <c r="P52" t="s">
        <v>439</v>
      </c>
      <c r="Q52" t="s">
        <v>49</v>
      </c>
      <c r="R52" t="s">
        <v>440</v>
      </c>
      <c r="S52">
        <v>75.37</v>
      </c>
      <c r="T52">
        <v>28443</v>
      </c>
      <c r="U52">
        <v>8309.8799999999992</v>
      </c>
      <c r="V52">
        <v>36752.879999999997</v>
      </c>
    </row>
    <row r="53" spans="1:22" x14ac:dyDescent="0.3">
      <c r="A53">
        <v>15741</v>
      </c>
      <c r="B53">
        <v>140370061</v>
      </c>
      <c r="C53" t="s">
        <v>441</v>
      </c>
      <c r="D53" t="s">
        <v>442</v>
      </c>
      <c r="E53" t="s">
        <v>154</v>
      </c>
      <c r="G53" t="s">
        <v>68</v>
      </c>
      <c r="H53" t="s">
        <v>69</v>
      </c>
      <c r="I53" t="s">
        <v>41</v>
      </c>
      <c r="J53" t="s">
        <v>70</v>
      </c>
      <c r="K53" t="s">
        <v>40</v>
      </c>
      <c r="L53" t="s">
        <v>443</v>
      </c>
      <c r="M53" t="s">
        <v>444</v>
      </c>
      <c r="N53" t="s">
        <v>156</v>
      </c>
      <c r="O53" t="s">
        <v>113</v>
      </c>
      <c r="P53" t="s">
        <v>445</v>
      </c>
      <c r="Q53" t="s">
        <v>47</v>
      </c>
      <c r="R53" t="s">
        <v>120</v>
      </c>
      <c r="S53">
        <v>1.75</v>
      </c>
      <c r="T53">
        <v>5143</v>
      </c>
      <c r="U53">
        <v>0</v>
      </c>
      <c r="V53">
        <v>5143</v>
      </c>
    </row>
    <row r="54" spans="1:22" x14ac:dyDescent="0.3">
      <c r="A54">
        <v>15741</v>
      </c>
      <c r="B54">
        <v>140043419</v>
      </c>
      <c r="C54" t="s">
        <v>446</v>
      </c>
      <c r="D54" t="s">
        <v>447</v>
      </c>
      <c r="E54" t="s">
        <v>154</v>
      </c>
      <c r="G54" t="s">
        <v>68</v>
      </c>
      <c r="H54" t="s">
        <v>69</v>
      </c>
      <c r="I54" t="s">
        <v>41</v>
      </c>
      <c r="J54" t="s">
        <v>70</v>
      </c>
      <c r="K54" t="s">
        <v>57</v>
      </c>
      <c r="L54" t="s">
        <v>448</v>
      </c>
      <c r="M54" t="s">
        <v>449</v>
      </c>
      <c r="N54" t="s">
        <v>156</v>
      </c>
      <c r="O54" t="s">
        <v>113</v>
      </c>
      <c r="P54" t="s">
        <v>450</v>
      </c>
      <c r="Q54" t="s">
        <v>87</v>
      </c>
      <c r="R54" t="s">
        <v>451</v>
      </c>
      <c r="S54">
        <v>155</v>
      </c>
      <c r="T54">
        <v>44483</v>
      </c>
      <c r="U54">
        <v>10499.94</v>
      </c>
      <c r="V54">
        <v>54982.94</v>
      </c>
    </row>
    <row r="55" spans="1:22" x14ac:dyDescent="0.3">
      <c r="A55">
        <v>15741</v>
      </c>
      <c r="B55">
        <v>140341307</v>
      </c>
      <c r="C55" t="s">
        <v>452</v>
      </c>
      <c r="D55" t="s">
        <v>453</v>
      </c>
      <c r="E55" t="s">
        <v>154</v>
      </c>
      <c r="G55" t="s">
        <v>68</v>
      </c>
      <c r="H55" t="s">
        <v>69</v>
      </c>
      <c r="I55" t="s">
        <v>41</v>
      </c>
      <c r="J55" t="s">
        <v>70</v>
      </c>
      <c r="K55" t="s">
        <v>40</v>
      </c>
      <c r="L55" t="s">
        <v>454</v>
      </c>
      <c r="M55" t="s">
        <v>455</v>
      </c>
      <c r="N55" t="s">
        <v>156</v>
      </c>
      <c r="O55" t="s">
        <v>113</v>
      </c>
      <c r="P55" t="s">
        <v>456</v>
      </c>
      <c r="Q55" t="s">
        <v>43</v>
      </c>
      <c r="R55" t="s">
        <v>457</v>
      </c>
      <c r="S55">
        <v>1.68</v>
      </c>
      <c r="T55">
        <v>5143</v>
      </c>
      <c r="U55">
        <v>0</v>
      </c>
      <c r="V55">
        <v>5143</v>
      </c>
    </row>
    <row r="56" spans="1:22" x14ac:dyDescent="0.3">
      <c r="A56">
        <v>15741</v>
      </c>
      <c r="B56">
        <v>140305173</v>
      </c>
      <c r="C56" t="s">
        <v>458</v>
      </c>
      <c r="D56" t="s">
        <v>459</v>
      </c>
      <c r="E56" t="s">
        <v>154</v>
      </c>
      <c r="G56" t="s">
        <v>68</v>
      </c>
      <c r="H56" t="s">
        <v>69</v>
      </c>
      <c r="I56" t="s">
        <v>41</v>
      </c>
      <c r="J56" t="s">
        <v>70</v>
      </c>
      <c r="K56" t="s">
        <v>40</v>
      </c>
      <c r="L56" t="s">
        <v>460</v>
      </c>
      <c r="M56" t="s">
        <v>461</v>
      </c>
      <c r="N56" t="s">
        <v>156</v>
      </c>
      <c r="O56" t="s">
        <v>113</v>
      </c>
      <c r="P56" t="s">
        <v>462</v>
      </c>
      <c r="Q56" t="s">
        <v>92</v>
      </c>
      <c r="R56" t="s">
        <v>463</v>
      </c>
      <c r="S56">
        <v>73.72</v>
      </c>
      <c r="T56">
        <v>37717</v>
      </c>
      <c r="U56">
        <v>6221.99</v>
      </c>
      <c r="V56">
        <v>43938.99</v>
      </c>
    </row>
    <row r="57" spans="1:22" x14ac:dyDescent="0.3">
      <c r="A57">
        <v>15741</v>
      </c>
      <c r="B57">
        <v>140145945</v>
      </c>
      <c r="C57" t="s">
        <v>464</v>
      </c>
      <c r="D57" t="s">
        <v>465</v>
      </c>
      <c r="E57" t="s">
        <v>154</v>
      </c>
      <c r="G57" t="s">
        <v>68</v>
      </c>
      <c r="H57" t="s">
        <v>69</v>
      </c>
      <c r="I57" t="s">
        <v>41</v>
      </c>
      <c r="J57" t="s">
        <v>70</v>
      </c>
      <c r="K57" t="s">
        <v>40</v>
      </c>
      <c r="L57" t="s">
        <v>466</v>
      </c>
      <c r="M57" t="s">
        <v>467</v>
      </c>
      <c r="N57" t="s">
        <v>156</v>
      </c>
      <c r="O57" t="s">
        <v>113</v>
      </c>
      <c r="P57" t="s">
        <v>468</v>
      </c>
      <c r="Q57" t="s">
        <v>134</v>
      </c>
      <c r="R57" t="s">
        <v>469</v>
      </c>
      <c r="S57">
        <v>7.61</v>
      </c>
      <c r="T57">
        <v>23329.84</v>
      </c>
      <c r="U57">
        <v>0</v>
      </c>
      <c r="V57">
        <v>23329.84</v>
      </c>
    </row>
    <row r="58" spans="1:22" x14ac:dyDescent="0.3">
      <c r="A58">
        <v>15741</v>
      </c>
      <c r="B58">
        <v>140341239</v>
      </c>
      <c r="C58" t="s">
        <v>470</v>
      </c>
      <c r="D58" t="s">
        <v>471</v>
      </c>
      <c r="E58" t="s">
        <v>154</v>
      </c>
      <c r="G58" t="s">
        <v>68</v>
      </c>
      <c r="H58" t="s">
        <v>69</v>
      </c>
      <c r="I58" t="s">
        <v>41</v>
      </c>
      <c r="J58" t="s">
        <v>70</v>
      </c>
      <c r="K58" t="s">
        <v>40</v>
      </c>
      <c r="L58" t="s">
        <v>472</v>
      </c>
      <c r="M58" t="s">
        <v>473</v>
      </c>
      <c r="N58" t="s">
        <v>156</v>
      </c>
      <c r="O58" t="s">
        <v>113</v>
      </c>
      <c r="P58" t="s">
        <v>474</v>
      </c>
      <c r="Q58" t="s">
        <v>117</v>
      </c>
      <c r="R58" t="s">
        <v>475</v>
      </c>
      <c r="S58">
        <v>1.72</v>
      </c>
      <c r="T58">
        <v>5143</v>
      </c>
      <c r="U58">
        <v>0</v>
      </c>
      <c r="V58">
        <v>5143</v>
      </c>
    </row>
    <row r="59" spans="1:22" x14ac:dyDescent="0.3">
      <c r="A59">
        <v>15741</v>
      </c>
      <c r="B59">
        <v>140341265</v>
      </c>
      <c r="C59" t="s">
        <v>476</v>
      </c>
      <c r="D59" t="s">
        <v>477</v>
      </c>
      <c r="E59" t="s">
        <v>154</v>
      </c>
      <c r="G59" t="s">
        <v>68</v>
      </c>
      <c r="H59" t="s">
        <v>69</v>
      </c>
      <c r="I59" t="s">
        <v>41</v>
      </c>
      <c r="J59" t="s">
        <v>70</v>
      </c>
      <c r="K59" t="s">
        <v>40</v>
      </c>
      <c r="L59" t="s">
        <v>472</v>
      </c>
      <c r="M59" t="s">
        <v>473</v>
      </c>
      <c r="N59" t="s">
        <v>156</v>
      </c>
      <c r="O59" t="s">
        <v>113</v>
      </c>
      <c r="P59" t="s">
        <v>474</v>
      </c>
      <c r="Q59" t="s">
        <v>117</v>
      </c>
      <c r="R59" t="s">
        <v>478</v>
      </c>
      <c r="S59">
        <v>1.76</v>
      </c>
      <c r="T59">
        <v>5143</v>
      </c>
      <c r="U59">
        <v>0</v>
      </c>
      <c r="V59">
        <v>5143</v>
      </c>
    </row>
    <row r="60" spans="1:22" x14ac:dyDescent="0.3">
      <c r="A60">
        <v>15741</v>
      </c>
      <c r="B60">
        <v>140304412</v>
      </c>
      <c r="C60" t="s">
        <v>458</v>
      </c>
      <c r="D60" t="s">
        <v>479</v>
      </c>
      <c r="E60" t="s">
        <v>154</v>
      </c>
      <c r="G60" t="s">
        <v>68</v>
      </c>
      <c r="H60" t="s">
        <v>69</v>
      </c>
      <c r="I60" t="s">
        <v>41</v>
      </c>
      <c r="J60" t="s">
        <v>70</v>
      </c>
      <c r="K60" t="s">
        <v>40</v>
      </c>
      <c r="L60" t="s">
        <v>480</v>
      </c>
      <c r="M60" t="s">
        <v>481</v>
      </c>
      <c r="N60" t="s">
        <v>156</v>
      </c>
      <c r="O60" t="s">
        <v>113</v>
      </c>
      <c r="P60" t="s">
        <v>482</v>
      </c>
      <c r="Q60" t="s">
        <v>141</v>
      </c>
      <c r="R60" t="s">
        <v>483</v>
      </c>
      <c r="S60">
        <v>53</v>
      </c>
      <c r="T60">
        <v>27890</v>
      </c>
      <c r="U60">
        <v>0</v>
      </c>
      <c r="V60">
        <v>27890</v>
      </c>
    </row>
    <row r="61" spans="1:22" x14ac:dyDescent="0.3">
      <c r="A61">
        <v>15741</v>
      </c>
      <c r="B61">
        <v>140303075</v>
      </c>
      <c r="C61" t="s">
        <v>484</v>
      </c>
      <c r="D61" t="s">
        <v>485</v>
      </c>
      <c r="E61" t="s">
        <v>154</v>
      </c>
      <c r="G61" t="s">
        <v>68</v>
      </c>
      <c r="H61" t="s">
        <v>69</v>
      </c>
      <c r="I61" t="s">
        <v>41</v>
      </c>
      <c r="J61" t="s">
        <v>70</v>
      </c>
      <c r="K61" t="s">
        <v>40</v>
      </c>
      <c r="L61" t="s">
        <v>486</v>
      </c>
      <c r="M61" t="s">
        <v>487</v>
      </c>
      <c r="N61" t="s">
        <v>156</v>
      </c>
      <c r="O61" t="s">
        <v>113</v>
      </c>
      <c r="P61" t="s">
        <v>488</v>
      </c>
      <c r="Q61" t="s">
        <v>56</v>
      </c>
      <c r="R61" t="s">
        <v>489</v>
      </c>
      <c r="S61">
        <v>300</v>
      </c>
      <c r="T61">
        <v>86552</v>
      </c>
      <c r="U61">
        <v>16409.939999999999</v>
      </c>
      <c r="V61">
        <v>102961.94</v>
      </c>
    </row>
    <row r="62" spans="1:22" x14ac:dyDescent="0.3">
      <c r="A62">
        <v>15741</v>
      </c>
      <c r="B62">
        <v>140219763</v>
      </c>
      <c r="C62" t="s">
        <v>490</v>
      </c>
      <c r="D62" t="s">
        <v>491</v>
      </c>
      <c r="E62" t="s">
        <v>154</v>
      </c>
      <c r="G62" t="s">
        <v>68</v>
      </c>
      <c r="H62" t="s">
        <v>69</v>
      </c>
      <c r="I62" t="s">
        <v>41</v>
      </c>
      <c r="J62" t="s">
        <v>70</v>
      </c>
      <c r="K62" t="s">
        <v>40</v>
      </c>
      <c r="L62" t="s">
        <v>492</v>
      </c>
      <c r="M62" t="s">
        <v>493</v>
      </c>
      <c r="N62" t="s">
        <v>156</v>
      </c>
      <c r="O62" t="s">
        <v>113</v>
      </c>
      <c r="P62" t="s">
        <v>494</v>
      </c>
      <c r="Q62" t="s">
        <v>49</v>
      </c>
      <c r="R62" t="s">
        <v>495</v>
      </c>
      <c r="S62">
        <v>60</v>
      </c>
      <c r="T62">
        <v>22864</v>
      </c>
      <c r="U62">
        <v>0</v>
      </c>
      <c r="V62">
        <v>22864</v>
      </c>
    </row>
    <row r="63" spans="1:22" x14ac:dyDescent="0.3">
      <c r="A63">
        <v>15741</v>
      </c>
      <c r="B63">
        <v>140226371</v>
      </c>
      <c r="C63" t="s">
        <v>496</v>
      </c>
      <c r="D63" t="s">
        <v>497</v>
      </c>
      <c r="E63" t="s">
        <v>154</v>
      </c>
      <c r="G63" t="s">
        <v>68</v>
      </c>
      <c r="H63" t="s">
        <v>69</v>
      </c>
      <c r="I63" t="s">
        <v>41</v>
      </c>
      <c r="J63" t="s">
        <v>70</v>
      </c>
      <c r="K63" t="s">
        <v>40</v>
      </c>
      <c r="L63" t="s">
        <v>498</v>
      </c>
      <c r="M63" t="s">
        <v>499</v>
      </c>
      <c r="N63" t="s">
        <v>156</v>
      </c>
      <c r="O63" t="s">
        <v>113</v>
      </c>
      <c r="P63" t="s">
        <v>500</v>
      </c>
      <c r="Q63" t="s">
        <v>82</v>
      </c>
      <c r="R63" t="s">
        <v>501</v>
      </c>
      <c r="S63">
        <v>20.39</v>
      </c>
      <c r="T63">
        <v>10095</v>
      </c>
      <c r="U63">
        <v>0</v>
      </c>
      <c r="V63">
        <v>10095</v>
      </c>
    </row>
    <row r="64" spans="1:22" x14ac:dyDescent="0.3">
      <c r="A64">
        <v>15741</v>
      </c>
      <c r="B64">
        <v>140284004</v>
      </c>
      <c r="C64" t="s">
        <v>502</v>
      </c>
      <c r="D64" t="s">
        <v>503</v>
      </c>
      <c r="E64" t="s">
        <v>154</v>
      </c>
      <c r="G64" t="s">
        <v>68</v>
      </c>
      <c r="H64" t="s">
        <v>69</v>
      </c>
      <c r="I64" t="s">
        <v>41</v>
      </c>
      <c r="J64" t="s">
        <v>70</v>
      </c>
      <c r="K64" t="s">
        <v>40</v>
      </c>
      <c r="L64" t="s">
        <v>504</v>
      </c>
      <c r="M64" t="s">
        <v>505</v>
      </c>
      <c r="N64" t="s">
        <v>156</v>
      </c>
      <c r="O64" t="s">
        <v>113</v>
      </c>
      <c r="P64" t="s">
        <v>506</v>
      </c>
      <c r="Q64" t="s">
        <v>82</v>
      </c>
      <c r="R64" t="s">
        <v>507</v>
      </c>
      <c r="S64">
        <v>1.75</v>
      </c>
      <c r="T64">
        <v>5143</v>
      </c>
      <c r="U64">
        <v>0</v>
      </c>
      <c r="V64">
        <v>5143</v>
      </c>
    </row>
    <row r="65" spans="1:22" x14ac:dyDescent="0.3">
      <c r="A65">
        <v>15741</v>
      </c>
      <c r="B65">
        <v>140284223</v>
      </c>
      <c r="C65" t="s">
        <v>508</v>
      </c>
      <c r="D65" t="s">
        <v>509</v>
      </c>
      <c r="E65" t="s">
        <v>154</v>
      </c>
      <c r="G65" t="s">
        <v>68</v>
      </c>
      <c r="H65" t="s">
        <v>69</v>
      </c>
      <c r="I65" t="s">
        <v>41</v>
      </c>
      <c r="J65" t="s">
        <v>70</v>
      </c>
      <c r="K65" t="s">
        <v>40</v>
      </c>
      <c r="L65" t="s">
        <v>510</v>
      </c>
      <c r="M65" t="s">
        <v>511</v>
      </c>
      <c r="N65" t="s">
        <v>156</v>
      </c>
      <c r="O65" t="s">
        <v>113</v>
      </c>
      <c r="P65" t="s">
        <v>512</v>
      </c>
      <c r="Q65" t="s">
        <v>103</v>
      </c>
      <c r="R65" t="s">
        <v>513</v>
      </c>
      <c r="S65">
        <v>174.14</v>
      </c>
      <c r="T65">
        <v>50013</v>
      </c>
      <c r="U65">
        <v>29419.98</v>
      </c>
      <c r="V65">
        <v>79432.98</v>
      </c>
    </row>
    <row r="66" spans="1:22" x14ac:dyDescent="0.3">
      <c r="A66">
        <v>15741</v>
      </c>
      <c r="B66">
        <v>140162283</v>
      </c>
      <c r="C66" t="s">
        <v>514</v>
      </c>
      <c r="D66" t="s">
        <v>515</v>
      </c>
      <c r="E66" t="s">
        <v>154</v>
      </c>
      <c r="G66" t="s">
        <v>68</v>
      </c>
      <c r="H66" t="s">
        <v>69</v>
      </c>
      <c r="I66" t="s">
        <v>41</v>
      </c>
      <c r="J66" t="s">
        <v>70</v>
      </c>
      <c r="K66" t="s">
        <v>40</v>
      </c>
      <c r="L66" t="s">
        <v>516</v>
      </c>
      <c r="M66" t="s">
        <v>517</v>
      </c>
      <c r="N66" t="s">
        <v>156</v>
      </c>
      <c r="O66" t="s">
        <v>113</v>
      </c>
      <c r="P66" t="s">
        <v>518</v>
      </c>
      <c r="Q66" t="s">
        <v>47</v>
      </c>
      <c r="R66" t="s">
        <v>519</v>
      </c>
      <c r="S66">
        <v>3.57</v>
      </c>
      <c r="T66">
        <v>5738</v>
      </c>
      <c r="U66">
        <v>0</v>
      </c>
      <c r="V66">
        <v>5738</v>
      </c>
    </row>
    <row r="67" spans="1:22" x14ac:dyDescent="0.3">
      <c r="A67">
        <v>15741</v>
      </c>
      <c r="B67">
        <v>140226527</v>
      </c>
      <c r="C67" t="s">
        <v>520</v>
      </c>
      <c r="D67" t="s">
        <v>521</v>
      </c>
      <c r="E67" t="s">
        <v>154</v>
      </c>
      <c r="G67" t="s">
        <v>68</v>
      </c>
      <c r="H67" t="s">
        <v>69</v>
      </c>
      <c r="I67" t="s">
        <v>41</v>
      </c>
      <c r="J67" t="s">
        <v>70</v>
      </c>
      <c r="K67" t="s">
        <v>40</v>
      </c>
      <c r="L67" t="s">
        <v>522</v>
      </c>
      <c r="M67" t="s">
        <v>523</v>
      </c>
      <c r="N67" t="s">
        <v>156</v>
      </c>
      <c r="O67" t="s">
        <v>113</v>
      </c>
      <c r="P67" t="s">
        <v>524</v>
      </c>
      <c r="Q67" t="s">
        <v>132</v>
      </c>
      <c r="R67" t="s">
        <v>525</v>
      </c>
      <c r="S67">
        <v>17.809999999999999</v>
      </c>
      <c r="T67">
        <v>11398</v>
      </c>
      <c r="U67">
        <v>0</v>
      </c>
      <c r="V67">
        <v>11398</v>
      </c>
    </row>
    <row r="68" spans="1:22" x14ac:dyDescent="0.3">
      <c r="A68">
        <v>15741</v>
      </c>
      <c r="B68">
        <v>140147610</v>
      </c>
      <c r="C68" t="s">
        <v>464</v>
      </c>
      <c r="D68" t="s">
        <v>526</v>
      </c>
      <c r="E68" t="s">
        <v>154</v>
      </c>
      <c r="G68" t="s">
        <v>68</v>
      </c>
      <c r="H68" t="s">
        <v>69</v>
      </c>
      <c r="I68" t="s">
        <v>41</v>
      </c>
      <c r="J68" t="s">
        <v>70</v>
      </c>
      <c r="K68" t="s">
        <v>40</v>
      </c>
      <c r="L68" t="s">
        <v>527</v>
      </c>
      <c r="M68" t="s">
        <v>528</v>
      </c>
      <c r="N68" t="s">
        <v>156</v>
      </c>
      <c r="O68" t="s">
        <v>113</v>
      </c>
      <c r="P68" t="s">
        <v>529</v>
      </c>
      <c r="Q68" t="s">
        <v>42</v>
      </c>
      <c r="R68" t="s">
        <v>530</v>
      </c>
      <c r="S68">
        <v>1.84</v>
      </c>
      <c r="T68">
        <v>5143</v>
      </c>
      <c r="U68">
        <v>0</v>
      </c>
      <c r="V68">
        <v>5143</v>
      </c>
    </row>
    <row r="69" spans="1:22" x14ac:dyDescent="0.3">
      <c r="A69">
        <v>15741</v>
      </c>
      <c r="B69">
        <v>140156572</v>
      </c>
      <c r="C69" t="s">
        <v>531</v>
      </c>
      <c r="D69" t="s">
        <v>532</v>
      </c>
      <c r="E69" t="s">
        <v>154</v>
      </c>
      <c r="G69" t="s">
        <v>68</v>
      </c>
      <c r="H69" t="s">
        <v>69</v>
      </c>
      <c r="I69" t="s">
        <v>41</v>
      </c>
      <c r="J69" t="s">
        <v>70</v>
      </c>
      <c r="K69" t="s">
        <v>40</v>
      </c>
      <c r="L69" t="s">
        <v>533</v>
      </c>
      <c r="M69" t="s">
        <v>534</v>
      </c>
      <c r="N69" t="s">
        <v>156</v>
      </c>
      <c r="O69" t="s">
        <v>113</v>
      </c>
      <c r="P69" t="s">
        <v>535</v>
      </c>
      <c r="Q69" t="s">
        <v>131</v>
      </c>
      <c r="R69" t="s">
        <v>536</v>
      </c>
      <c r="S69">
        <v>72.75</v>
      </c>
      <c r="T69">
        <v>42017</v>
      </c>
      <c r="U69">
        <v>8399.94</v>
      </c>
      <c r="V69">
        <v>50416.94</v>
      </c>
    </row>
    <row r="70" spans="1:22" x14ac:dyDescent="0.3">
      <c r="A70">
        <v>15741</v>
      </c>
      <c r="B70">
        <v>140148441</v>
      </c>
      <c r="C70" t="s">
        <v>537</v>
      </c>
      <c r="D70" t="s">
        <v>538</v>
      </c>
      <c r="E70" t="s">
        <v>154</v>
      </c>
      <c r="G70" t="s">
        <v>68</v>
      </c>
      <c r="H70" t="s">
        <v>69</v>
      </c>
      <c r="I70" t="s">
        <v>41</v>
      </c>
      <c r="J70" t="s">
        <v>70</v>
      </c>
      <c r="K70" t="s">
        <v>40</v>
      </c>
      <c r="L70" t="s">
        <v>539</v>
      </c>
      <c r="M70" t="s">
        <v>540</v>
      </c>
      <c r="N70" t="s">
        <v>156</v>
      </c>
      <c r="O70" t="s">
        <v>113</v>
      </c>
      <c r="P70" t="s">
        <v>541</v>
      </c>
      <c r="Q70" t="s">
        <v>45</v>
      </c>
      <c r="R70" t="s">
        <v>542</v>
      </c>
      <c r="S70">
        <v>20.66</v>
      </c>
      <c r="T70">
        <v>10095</v>
      </c>
      <c r="U70">
        <v>0</v>
      </c>
      <c r="V70">
        <v>10095</v>
      </c>
    </row>
    <row r="71" spans="1:22" x14ac:dyDescent="0.3">
      <c r="A71">
        <v>15741</v>
      </c>
      <c r="B71">
        <v>140149596</v>
      </c>
      <c r="C71" t="s">
        <v>543</v>
      </c>
      <c r="D71" t="s">
        <v>544</v>
      </c>
      <c r="E71" t="s">
        <v>154</v>
      </c>
      <c r="G71" t="s">
        <v>68</v>
      </c>
      <c r="H71" t="s">
        <v>69</v>
      </c>
      <c r="I71" t="s">
        <v>41</v>
      </c>
      <c r="J71" t="s">
        <v>70</v>
      </c>
      <c r="K71" t="s">
        <v>40</v>
      </c>
      <c r="L71" t="s">
        <v>545</v>
      </c>
      <c r="M71" t="s">
        <v>546</v>
      </c>
      <c r="N71" t="s">
        <v>156</v>
      </c>
      <c r="O71" t="s">
        <v>113</v>
      </c>
      <c r="P71" t="s">
        <v>547</v>
      </c>
      <c r="Q71" t="s">
        <v>113</v>
      </c>
      <c r="R71" t="s">
        <v>548</v>
      </c>
      <c r="S71">
        <v>78.430000000000007</v>
      </c>
      <c r="T71">
        <v>24160</v>
      </c>
      <c r="U71">
        <v>6300</v>
      </c>
      <c r="V71">
        <v>30460</v>
      </c>
    </row>
    <row r="72" spans="1:22" x14ac:dyDescent="0.3">
      <c r="A72">
        <v>15741</v>
      </c>
      <c r="B72">
        <v>139997750</v>
      </c>
      <c r="C72" t="s">
        <v>549</v>
      </c>
      <c r="D72" t="s">
        <v>550</v>
      </c>
      <c r="E72" t="s">
        <v>154</v>
      </c>
      <c r="G72" t="s">
        <v>68</v>
      </c>
      <c r="H72" t="s">
        <v>69</v>
      </c>
      <c r="I72" t="s">
        <v>41</v>
      </c>
      <c r="J72" t="s">
        <v>70</v>
      </c>
      <c r="K72" t="s">
        <v>40</v>
      </c>
      <c r="L72" t="s">
        <v>551</v>
      </c>
      <c r="M72" t="s">
        <v>552</v>
      </c>
      <c r="N72" t="s">
        <v>156</v>
      </c>
      <c r="O72" t="s">
        <v>113</v>
      </c>
      <c r="P72" t="s">
        <v>553</v>
      </c>
      <c r="Q72" t="s">
        <v>42</v>
      </c>
      <c r="R72" t="s">
        <v>554</v>
      </c>
      <c r="S72">
        <v>2.0299999999999998</v>
      </c>
      <c r="T72">
        <v>5435</v>
      </c>
      <c r="U72">
        <v>0</v>
      </c>
      <c r="V72">
        <v>5435</v>
      </c>
    </row>
    <row r="73" spans="1:22" x14ac:dyDescent="0.3">
      <c r="A73">
        <v>15741</v>
      </c>
      <c r="B73">
        <v>140070943</v>
      </c>
      <c r="C73" t="s">
        <v>555</v>
      </c>
      <c r="D73" t="s">
        <v>556</v>
      </c>
      <c r="E73" t="s">
        <v>154</v>
      </c>
      <c r="G73" t="s">
        <v>68</v>
      </c>
      <c r="H73" t="s">
        <v>69</v>
      </c>
      <c r="I73" t="s">
        <v>41</v>
      </c>
      <c r="J73" t="s">
        <v>70</v>
      </c>
      <c r="K73" t="s">
        <v>40</v>
      </c>
      <c r="L73" t="s">
        <v>557</v>
      </c>
      <c r="M73" t="s">
        <v>558</v>
      </c>
      <c r="N73" t="s">
        <v>156</v>
      </c>
      <c r="O73" t="s">
        <v>113</v>
      </c>
      <c r="P73" t="s">
        <v>559</v>
      </c>
      <c r="Q73" t="s">
        <v>104</v>
      </c>
      <c r="R73" t="s">
        <v>560</v>
      </c>
      <c r="S73">
        <v>52</v>
      </c>
      <c r="T73">
        <v>35315</v>
      </c>
      <c r="U73">
        <v>8345.94</v>
      </c>
      <c r="V73">
        <v>43660.94</v>
      </c>
    </row>
    <row r="74" spans="1:22" x14ac:dyDescent="0.3">
      <c r="A74">
        <v>15741</v>
      </c>
      <c r="B74">
        <v>140067634</v>
      </c>
      <c r="C74" t="s">
        <v>561</v>
      </c>
      <c r="D74" t="s">
        <v>562</v>
      </c>
      <c r="E74" t="s">
        <v>154</v>
      </c>
      <c r="G74" t="s">
        <v>68</v>
      </c>
      <c r="H74" t="s">
        <v>69</v>
      </c>
      <c r="I74" t="s">
        <v>41</v>
      </c>
      <c r="J74" t="s">
        <v>70</v>
      </c>
      <c r="K74" t="s">
        <v>40</v>
      </c>
      <c r="L74" t="s">
        <v>563</v>
      </c>
      <c r="M74" t="s">
        <v>564</v>
      </c>
      <c r="N74" t="s">
        <v>156</v>
      </c>
      <c r="O74" t="s">
        <v>113</v>
      </c>
      <c r="P74" t="s">
        <v>565</v>
      </c>
      <c r="Q74" t="s">
        <v>104</v>
      </c>
      <c r="R74" t="s">
        <v>566</v>
      </c>
      <c r="S74">
        <v>20.63</v>
      </c>
      <c r="T74">
        <v>18191</v>
      </c>
      <c r="U74">
        <v>0</v>
      </c>
      <c r="V74">
        <v>18191</v>
      </c>
    </row>
    <row r="75" spans="1:22" x14ac:dyDescent="0.3">
      <c r="A75">
        <v>15741</v>
      </c>
      <c r="B75">
        <v>140032057</v>
      </c>
      <c r="C75" t="s">
        <v>567</v>
      </c>
      <c r="D75" t="s">
        <v>568</v>
      </c>
      <c r="E75" t="s">
        <v>154</v>
      </c>
      <c r="G75" t="s">
        <v>68</v>
      </c>
      <c r="H75" t="s">
        <v>69</v>
      </c>
      <c r="I75" t="s">
        <v>41</v>
      </c>
      <c r="J75" t="s">
        <v>70</v>
      </c>
      <c r="K75" t="s">
        <v>40</v>
      </c>
      <c r="L75" t="s">
        <v>569</v>
      </c>
      <c r="M75" t="s">
        <v>570</v>
      </c>
      <c r="N75" t="s">
        <v>156</v>
      </c>
      <c r="O75" t="s">
        <v>113</v>
      </c>
      <c r="P75" t="s">
        <v>571</v>
      </c>
      <c r="Q75" t="s">
        <v>47</v>
      </c>
      <c r="R75" t="s">
        <v>572</v>
      </c>
      <c r="S75">
        <v>5</v>
      </c>
      <c r="T75">
        <v>6028</v>
      </c>
      <c r="U75">
        <v>0</v>
      </c>
      <c r="V75">
        <v>6028</v>
      </c>
    </row>
    <row r="76" spans="1:22" x14ac:dyDescent="0.3">
      <c r="A76">
        <v>15741</v>
      </c>
      <c r="B76">
        <v>140023237</v>
      </c>
      <c r="C76" t="s">
        <v>573</v>
      </c>
      <c r="D76" t="s">
        <v>574</v>
      </c>
      <c r="E76" t="s">
        <v>154</v>
      </c>
      <c r="G76" t="s">
        <v>68</v>
      </c>
      <c r="H76" t="s">
        <v>69</v>
      </c>
      <c r="I76" t="s">
        <v>41</v>
      </c>
      <c r="J76" t="s">
        <v>70</v>
      </c>
      <c r="K76" t="s">
        <v>40</v>
      </c>
      <c r="L76" t="s">
        <v>575</v>
      </c>
      <c r="M76" t="s">
        <v>576</v>
      </c>
      <c r="N76" t="s">
        <v>156</v>
      </c>
      <c r="O76" t="s">
        <v>113</v>
      </c>
      <c r="P76" t="s">
        <v>577</v>
      </c>
      <c r="Q76" t="s">
        <v>139</v>
      </c>
      <c r="R76" t="s">
        <v>578</v>
      </c>
      <c r="S76">
        <v>91.55</v>
      </c>
      <c r="T76">
        <v>71775</v>
      </c>
      <c r="U76">
        <v>9420</v>
      </c>
      <c r="V76">
        <v>81195</v>
      </c>
    </row>
    <row r="77" spans="1:22" x14ac:dyDescent="0.3">
      <c r="A77">
        <v>15741</v>
      </c>
      <c r="B77">
        <v>140040542</v>
      </c>
      <c r="C77" t="s">
        <v>579</v>
      </c>
      <c r="D77" t="s">
        <v>580</v>
      </c>
      <c r="E77" t="s">
        <v>154</v>
      </c>
      <c r="G77" t="s">
        <v>68</v>
      </c>
      <c r="H77" t="s">
        <v>69</v>
      </c>
      <c r="I77" t="s">
        <v>41</v>
      </c>
      <c r="J77" t="s">
        <v>70</v>
      </c>
      <c r="K77" t="s">
        <v>40</v>
      </c>
      <c r="L77" t="s">
        <v>581</v>
      </c>
      <c r="M77" t="s">
        <v>582</v>
      </c>
      <c r="N77" t="s">
        <v>156</v>
      </c>
      <c r="O77" t="s">
        <v>113</v>
      </c>
      <c r="P77" t="s">
        <v>583</v>
      </c>
      <c r="Q77" t="s">
        <v>42</v>
      </c>
      <c r="R77" t="s">
        <v>584</v>
      </c>
      <c r="S77">
        <v>2</v>
      </c>
      <c r="T77">
        <v>5143</v>
      </c>
      <c r="U77">
        <v>0</v>
      </c>
      <c r="V77">
        <v>5143</v>
      </c>
    </row>
    <row r="78" spans="1:22" x14ac:dyDescent="0.3">
      <c r="A78">
        <v>15741</v>
      </c>
      <c r="B78">
        <v>139998086</v>
      </c>
      <c r="C78" t="s">
        <v>585</v>
      </c>
      <c r="D78" t="s">
        <v>586</v>
      </c>
      <c r="E78" t="s">
        <v>154</v>
      </c>
      <c r="G78" t="s">
        <v>68</v>
      </c>
      <c r="H78" t="s">
        <v>69</v>
      </c>
      <c r="I78" t="s">
        <v>41</v>
      </c>
      <c r="J78" t="s">
        <v>70</v>
      </c>
      <c r="K78" t="s">
        <v>40</v>
      </c>
      <c r="L78" t="s">
        <v>587</v>
      </c>
      <c r="M78" t="s">
        <v>588</v>
      </c>
      <c r="N78" t="s">
        <v>156</v>
      </c>
      <c r="O78" t="s">
        <v>113</v>
      </c>
      <c r="P78" t="s">
        <v>589</v>
      </c>
      <c r="Q78" t="s">
        <v>50</v>
      </c>
      <c r="R78" t="s">
        <v>590</v>
      </c>
      <c r="S78">
        <v>2.04</v>
      </c>
      <c r="T78">
        <v>5435</v>
      </c>
      <c r="U78">
        <v>0</v>
      </c>
      <c r="V78">
        <v>5435</v>
      </c>
    </row>
    <row r="79" spans="1:22" x14ac:dyDescent="0.3">
      <c r="A79">
        <v>15741</v>
      </c>
      <c r="B79">
        <v>139998472</v>
      </c>
      <c r="C79" t="s">
        <v>591</v>
      </c>
      <c r="D79" t="s">
        <v>592</v>
      </c>
      <c r="E79" t="s">
        <v>154</v>
      </c>
      <c r="G79" t="s">
        <v>68</v>
      </c>
      <c r="H79" t="s">
        <v>69</v>
      </c>
      <c r="I79" t="s">
        <v>41</v>
      </c>
      <c r="J79" t="s">
        <v>70</v>
      </c>
      <c r="K79" t="s">
        <v>40</v>
      </c>
      <c r="L79" t="s">
        <v>593</v>
      </c>
      <c r="M79" t="s">
        <v>594</v>
      </c>
      <c r="N79" t="s">
        <v>156</v>
      </c>
      <c r="O79" t="s">
        <v>113</v>
      </c>
      <c r="P79" t="s">
        <v>595</v>
      </c>
      <c r="Q79" t="s">
        <v>82</v>
      </c>
      <c r="R79" t="s">
        <v>596</v>
      </c>
      <c r="S79">
        <v>2</v>
      </c>
      <c r="T79">
        <v>5143</v>
      </c>
      <c r="U79">
        <v>0</v>
      </c>
      <c r="V79">
        <v>5143</v>
      </c>
    </row>
    <row r="80" spans="1:22" x14ac:dyDescent="0.3">
      <c r="A80">
        <v>15741</v>
      </c>
      <c r="B80">
        <v>139998025</v>
      </c>
      <c r="C80" t="s">
        <v>597</v>
      </c>
      <c r="D80" t="s">
        <v>598</v>
      </c>
      <c r="E80" t="s">
        <v>154</v>
      </c>
      <c r="G80" t="s">
        <v>68</v>
      </c>
      <c r="H80" t="s">
        <v>69</v>
      </c>
      <c r="I80" t="s">
        <v>41</v>
      </c>
      <c r="J80" t="s">
        <v>70</v>
      </c>
      <c r="K80" t="s">
        <v>40</v>
      </c>
      <c r="L80" t="s">
        <v>599</v>
      </c>
      <c r="M80" t="s">
        <v>600</v>
      </c>
      <c r="N80" t="s">
        <v>156</v>
      </c>
      <c r="O80" t="s">
        <v>113</v>
      </c>
      <c r="P80" t="s">
        <v>601</v>
      </c>
      <c r="Q80" t="s">
        <v>47</v>
      </c>
      <c r="R80" t="s">
        <v>602</v>
      </c>
      <c r="S80">
        <v>2.0699999999999998</v>
      </c>
      <c r="T80">
        <v>5435</v>
      </c>
      <c r="U80">
        <v>0</v>
      </c>
      <c r="V80">
        <v>5435</v>
      </c>
    </row>
    <row r="81" spans="1:22" x14ac:dyDescent="0.3">
      <c r="A81">
        <v>15741</v>
      </c>
      <c r="B81">
        <v>140039338</v>
      </c>
      <c r="C81" t="s">
        <v>603</v>
      </c>
      <c r="D81" t="s">
        <v>604</v>
      </c>
      <c r="E81" t="s">
        <v>154</v>
      </c>
      <c r="G81" t="s">
        <v>68</v>
      </c>
      <c r="H81" t="s">
        <v>69</v>
      </c>
      <c r="I81" t="s">
        <v>41</v>
      </c>
      <c r="J81" t="s">
        <v>70</v>
      </c>
      <c r="K81" t="s">
        <v>40</v>
      </c>
      <c r="L81" t="s">
        <v>605</v>
      </c>
      <c r="M81" t="s">
        <v>606</v>
      </c>
      <c r="N81" t="s">
        <v>156</v>
      </c>
      <c r="O81" t="s">
        <v>113</v>
      </c>
      <c r="P81" t="s">
        <v>607</v>
      </c>
      <c r="Q81" t="s">
        <v>129</v>
      </c>
      <c r="R81" t="s">
        <v>608</v>
      </c>
      <c r="S81">
        <v>1</v>
      </c>
      <c r="T81">
        <v>4895</v>
      </c>
      <c r="U81">
        <v>0</v>
      </c>
      <c r="V81">
        <v>4895</v>
      </c>
    </row>
    <row r="82" spans="1:22" x14ac:dyDescent="0.3">
      <c r="A82">
        <v>15741</v>
      </c>
      <c r="B82">
        <v>139997697</v>
      </c>
      <c r="C82" t="s">
        <v>609</v>
      </c>
      <c r="D82" t="s">
        <v>610</v>
      </c>
      <c r="E82" t="s">
        <v>154</v>
      </c>
      <c r="G82" t="s">
        <v>68</v>
      </c>
      <c r="H82" t="s">
        <v>69</v>
      </c>
      <c r="I82" t="s">
        <v>41</v>
      </c>
      <c r="J82" t="s">
        <v>70</v>
      </c>
      <c r="K82" t="s">
        <v>40</v>
      </c>
      <c r="L82" t="s">
        <v>611</v>
      </c>
      <c r="M82" t="s">
        <v>612</v>
      </c>
      <c r="N82" t="s">
        <v>156</v>
      </c>
      <c r="O82" t="s">
        <v>113</v>
      </c>
      <c r="P82" t="s">
        <v>613</v>
      </c>
      <c r="Q82" t="s">
        <v>42</v>
      </c>
      <c r="R82" t="s">
        <v>614</v>
      </c>
      <c r="S82">
        <v>2.1</v>
      </c>
      <c r="T82">
        <v>5435</v>
      </c>
      <c r="U82">
        <v>0</v>
      </c>
      <c r="V82">
        <v>5435</v>
      </c>
    </row>
    <row r="83" spans="1:22" x14ac:dyDescent="0.3">
      <c r="A83">
        <v>15741</v>
      </c>
      <c r="B83">
        <v>139997623</v>
      </c>
      <c r="C83" t="s">
        <v>615</v>
      </c>
      <c r="D83" t="s">
        <v>616</v>
      </c>
      <c r="E83" t="s">
        <v>154</v>
      </c>
      <c r="G83" t="s">
        <v>68</v>
      </c>
      <c r="H83" t="s">
        <v>69</v>
      </c>
      <c r="I83" t="s">
        <v>41</v>
      </c>
      <c r="J83" t="s">
        <v>70</v>
      </c>
      <c r="K83" t="s">
        <v>40</v>
      </c>
      <c r="L83" t="s">
        <v>617</v>
      </c>
      <c r="M83" t="s">
        <v>618</v>
      </c>
      <c r="N83" t="s">
        <v>156</v>
      </c>
      <c r="O83" t="s">
        <v>113</v>
      </c>
      <c r="P83" t="s">
        <v>619</v>
      </c>
      <c r="Q83" t="s">
        <v>50</v>
      </c>
      <c r="R83" t="s">
        <v>620</v>
      </c>
      <c r="S83">
        <v>2.0699999999999998</v>
      </c>
      <c r="T83">
        <v>5435</v>
      </c>
      <c r="U83">
        <v>0</v>
      </c>
      <c r="V83">
        <v>5435</v>
      </c>
    </row>
    <row r="84" spans="1:22" x14ac:dyDescent="0.3">
      <c r="A84">
        <v>15741</v>
      </c>
      <c r="B84">
        <v>139997536</v>
      </c>
      <c r="C84" t="s">
        <v>621</v>
      </c>
      <c r="D84" t="s">
        <v>622</v>
      </c>
      <c r="E84" t="s">
        <v>154</v>
      </c>
      <c r="G84" t="s">
        <v>68</v>
      </c>
      <c r="H84" t="s">
        <v>69</v>
      </c>
      <c r="I84" t="s">
        <v>41</v>
      </c>
      <c r="J84" t="s">
        <v>70</v>
      </c>
      <c r="K84" t="s">
        <v>40</v>
      </c>
      <c r="L84" t="s">
        <v>623</v>
      </c>
      <c r="M84" t="s">
        <v>624</v>
      </c>
      <c r="N84" t="s">
        <v>156</v>
      </c>
      <c r="O84" t="s">
        <v>113</v>
      </c>
      <c r="P84" t="s">
        <v>625</v>
      </c>
      <c r="Q84" t="s">
        <v>115</v>
      </c>
      <c r="R84" t="s">
        <v>143</v>
      </c>
      <c r="S84">
        <v>2.0299999999999998</v>
      </c>
      <c r="T84">
        <v>5435</v>
      </c>
      <c r="U84">
        <v>0</v>
      </c>
      <c r="V84">
        <v>5435</v>
      </c>
    </row>
    <row r="85" spans="1:22" x14ac:dyDescent="0.3">
      <c r="A85">
        <v>15741</v>
      </c>
      <c r="B85">
        <v>139997911</v>
      </c>
      <c r="C85" t="s">
        <v>626</v>
      </c>
      <c r="D85" t="s">
        <v>627</v>
      </c>
      <c r="E85" t="s">
        <v>154</v>
      </c>
      <c r="G85" t="s">
        <v>68</v>
      </c>
      <c r="H85" t="s">
        <v>69</v>
      </c>
      <c r="I85" t="s">
        <v>41</v>
      </c>
      <c r="J85" t="s">
        <v>70</v>
      </c>
      <c r="K85" t="s">
        <v>40</v>
      </c>
      <c r="L85" t="s">
        <v>628</v>
      </c>
      <c r="M85" t="s">
        <v>629</v>
      </c>
      <c r="N85" t="s">
        <v>156</v>
      </c>
      <c r="O85" t="s">
        <v>113</v>
      </c>
      <c r="P85" t="s">
        <v>630</v>
      </c>
      <c r="Q85" t="s">
        <v>110</v>
      </c>
      <c r="R85" t="s">
        <v>631</v>
      </c>
      <c r="S85">
        <v>2.0299999999999998</v>
      </c>
      <c r="T85">
        <v>5435</v>
      </c>
      <c r="U85">
        <v>0</v>
      </c>
      <c r="V85">
        <v>5435</v>
      </c>
    </row>
    <row r="86" spans="1:22" x14ac:dyDescent="0.3">
      <c r="A86">
        <v>15741</v>
      </c>
      <c r="B86">
        <v>139998296</v>
      </c>
      <c r="C86" t="s">
        <v>632</v>
      </c>
      <c r="D86" t="s">
        <v>633</v>
      </c>
      <c r="E86" t="s">
        <v>154</v>
      </c>
      <c r="G86" t="s">
        <v>68</v>
      </c>
      <c r="H86" t="s">
        <v>69</v>
      </c>
      <c r="I86" t="s">
        <v>41</v>
      </c>
      <c r="J86" t="s">
        <v>70</v>
      </c>
      <c r="K86" t="s">
        <v>40</v>
      </c>
      <c r="L86" t="s">
        <v>634</v>
      </c>
      <c r="M86" t="s">
        <v>635</v>
      </c>
      <c r="N86" t="s">
        <v>156</v>
      </c>
      <c r="O86" t="s">
        <v>113</v>
      </c>
      <c r="P86" t="s">
        <v>636</v>
      </c>
      <c r="Q86" t="s">
        <v>112</v>
      </c>
      <c r="R86" t="s">
        <v>637</v>
      </c>
      <c r="S86">
        <v>2.06</v>
      </c>
      <c r="T86">
        <v>5435</v>
      </c>
      <c r="U86">
        <v>0</v>
      </c>
      <c r="V86">
        <v>5435</v>
      </c>
    </row>
    <row r="87" spans="1:22" x14ac:dyDescent="0.3">
      <c r="A87">
        <v>15741</v>
      </c>
      <c r="B87">
        <v>140039662</v>
      </c>
      <c r="C87" t="s">
        <v>638</v>
      </c>
      <c r="D87" t="s">
        <v>639</v>
      </c>
      <c r="E87" t="s">
        <v>154</v>
      </c>
      <c r="G87" t="s">
        <v>68</v>
      </c>
      <c r="H87" t="s">
        <v>69</v>
      </c>
      <c r="I87" t="s">
        <v>41</v>
      </c>
      <c r="J87" t="s">
        <v>70</v>
      </c>
      <c r="K87" t="s">
        <v>40</v>
      </c>
      <c r="L87" t="s">
        <v>640</v>
      </c>
      <c r="M87" t="s">
        <v>641</v>
      </c>
      <c r="N87" t="s">
        <v>156</v>
      </c>
      <c r="O87" t="s">
        <v>113</v>
      </c>
      <c r="P87" t="s">
        <v>642</v>
      </c>
      <c r="Q87" t="s">
        <v>49</v>
      </c>
      <c r="R87" t="s">
        <v>643</v>
      </c>
      <c r="S87">
        <v>12.95</v>
      </c>
      <c r="T87">
        <v>10242</v>
      </c>
      <c r="U87">
        <v>0</v>
      </c>
      <c r="V87">
        <v>10242</v>
      </c>
    </row>
    <row r="88" spans="1:22" x14ac:dyDescent="0.3">
      <c r="A88">
        <v>15741</v>
      </c>
      <c r="B88">
        <v>140025330</v>
      </c>
      <c r="C88" t="s">
        <v>644</v>
      </c>
      <c r="D88" t="s">
        <v>645</v>
      </c>
      <c r="E88" t="s">
        <v>154</v>
      </c>
      <c r="G88" t="s">
        <v>68</v>
      </c>
      <c r="H88" t="s">
        <v>69</v>
      </c>
      <c r="I88" t="s">
        <v>41</v>
      </c>
      <c r="J88" t="s">
        <v>70</v>
      </c>
      <c r="K88" t="s">
        <v>40</v>
      </c>
      <c r="L88" t="s">
        <v>646</v>
      </c>
      <c r="M88" t="s">
        <v>647</v>
      </c>
      <c r="N88" t="s">
        <v>156</v>
      </c>
      <c r="O88" t="s">
        <v>113</v>
      </c>
      <c r="P88" t="s">
        <v>648</v>
      </c>
      <c r="Q88" t="s">
        <v>78</v>
      </c>
      <c r="R88" t="s">
        <v>649</v>
      </c>
      <c r="S88">
        <v>121.84</v>
      </c>
      <c r="T88">
        <v>34859</v>
      </c>
      <c r="U88">
        <v>0</v>
      </c>
      <c r="V88">
        <v>34859</v>
      </c>
    </row>
    <row r="89" spans="1:22" x14ac:dyDescent="0.3">
      <c r="A89">
        <v>15741</v>
      </c>
      <c r="B89">
        <v>140040454</v>
      </c>
      <c r="C89" t="s">
        <v>650</v>
      </c>
      <c r="D89" t="s">
        <v>651</v>
      </c>
      <c r="E89" t="s">
        <v>154</v>
      </c>
      <c r="G89" t="s">
        <v>68</v>
      </c>
      <c r="H89" t="s">
        <v>69</v>
      </c>
      <c r="I89" t="s">
        <v>41</v>
      </c>
      <c r="J89" t="s">
        <v>70</v>
      </c>
      <c r="K89" t="s">
        <v>52</v>
      </c>
      <c r="L89" t="s">
        <v>71</v>
      </c>
      <c r="M89" t="s">
        <v>652</v>
      </c>
      <c r="N89" t="s">
        <v>156</v>
      </c>
      <c r="O89" t="s">
        <v>113</v>
      </c>
      <c r="P89" t="s">
        <v>653</v>
      </c>
      <c r="Q89" t="s">
        <v>82</v>
      </c>
      <c r="R89" t="s">
        <v>150</v>
      </c>
      <c r="S89">
        <v>2</v>
      </c>
      <c r="T89">
        <v>5143</v>
      </c>
      <c r="U89">
        <v>0</v>
      </c>
      <c r="V89">
        <v>5143</v>
      </c>
    </row>
    <row r="90" spans="1:22" x14ac:dyDescent="0.3">
      <c r="A90">
        <v>15741</v>
      </c>
      <c r="B90">
        <v>139971105</v>
      </c>
      <c r="C90" t="s">
        <v>654</v>
      </c>
      <c r="D90" t="s">
        <v>655</v>
      </c>
      <c r="E90" t="s">
        <v>154</v>
      </c>
      <c r="G90" t="s">
        <v>68</v>
      </c>
      <c r="H90" t="s">
        <v>69</v>
      </c>
      <c r="I90" t="s">
        <v>41</v>
      </c>
      <c r="J90" t="s">
        <v>70</v>
      </c>
      <c r="K90" t="s">
        <v>40</v>
      </c>
      <c r="L90" t="s">
        <v>656</v>
      </c>
      <c r="M90" t="s">
        <v>657</v>
      </c>
      <c r="N90" t="s">
        <v>156</v>
      </c>
      <c r="O90" t="s">
        <v>113</v>
      </c>
      <c r="P90" t="s">
        <v>658</v>
      </c>
      <c r="Q90" t="s">
        <v>100</v>
      </c>
      <c r="R90" t="s">
        <v>659</v>
      </c>
      <c r="S90">
        <v>20</v>
      </c>
      <c r="T90">
        <v>12112</v>
      </c>
      <c r="U90">
        <v>0</v>
      </c>
      <c r="V90">
        <v>12112</v>
      </c>
    </row>
    <row r="91" spans="1:22" x14ac:dyDescent="0.3">
      <c r="A91">
        <v>15741</v>
      </c>
      <c r="B91">
        <v>139998164</v>
      </c>
      <c r="C91" t="s">
        <v>660</v>
      </c>
      <c r="D91" t="s">
        <v>661</v>
      </c>
      <c r="E91" t="s">
        <v>154</v>
      </c>
      <c r="G91" t="s">
        <v>68</v>
      </c>
      <c r="H91" t="s">
        <v>69</v>
      </c>
      <c r="I91" t="s">
        <v>41</v>
      </c>
      <c r="J91" t="s">
        <v>70</v>
      </c>
      <c r="K91" t="s">
        <v>40</v>
      </c>
      <c r="L91" t="s">
        <v>662</v>
      </c>
      <c r="M91" t="s">
        <v>663</v>
      </c>
      <c r="N91" t="s">
        <v>156</v>
      </c>
      <c r="O91" t="s">
        <v>113</v>
      </c>
      <c r="P91" t="s">
        <v>664</v>
      </c>
      <c r="Q91" t="s">
        <v>50</v>
      </c>
      <c r="R91" t="s">
        <v>665</v>
      </c>
      <c r="S91">
        <v>2</v>
      </c>
      <c r="T91">
        <v>5143</v>
      </c>
      <c r="U91">
        <v>0</v>
      </c>
      <c r="V91">
        <v>5143</v>
      </c>
    </row>
    <row r="92" spans="1:22" x14ac:dyDescent="0.3">
      <c r="A92">
        <v>15741</v>
      </c>
      <c r="B92">
        <v>139980577</v>
      </c>
      <c r="C92" t="s">
        <v>666</v>
      </c>
      <c r="D92" t="s">
        <v>667</v>
      </c>
      <c r="E92" t="s">
        <v>154</v>
      </c>
      <c r="G92" t="s">
        <v>68</v>
      </c>
      <c r="H92" t="s">
        <v>69</v>
      </c>
      <c r="I92" t="s">
        <v>41</v>
      </c>
      <c r="J92" t="s">
        <v>70</v>
      </c>
      <c r="K92" t="s">
        <v>40</v>
      </c>
      <c r="L92" t="s">
        <v>668</v>
      </c>
      <c r="M92" t="s">
        <v>669</v>
      </c>
      <c r="N92" t="s">
        <v>156</v>
      </c>
      <c r="O92" t="s">
        <v>113</v>
      </c>
      <c r="P92" t="s">
        <v>670</v>
      </c>
      <c r="Q92" t="s">
        <v>88</v>
      </c>
      <c r="R92" t="s">
        <v>671</v>
      </c>
      <c r="S92">
        <v>70</v>
      </c>
      <c r="T92">
        <v>30845</v>
      </c>
      <c r="U92">
        <v>14417.88</v>
      </c>
      <c r="V92">
        <v>45262.879999999997</v>
      </c>
    </row>
    <row r="93" spans="1:22" x14ac:dyDescent="0.3">
      <c r="A93">
        <v>15741</v>
      </c>
      <c r="B93">
        <v>139982075</v>
      </c>
      <c r="C93" t="s">
        <v>672</v>
      </c>
      <c r="D93" t="s">
        <v>673</v>
      </c>
      <c r="E93" t="s">
        <v>154</v>
      </c>
      <c r="G93" t="s">
        <v>68</v>
      </c>
      <c r="H93" t="s">
        <v>69</v>
      </c>
      <c r="I93" t="s">
        <v>41</v>
      </c>
      <c r="J93" t="s">
        <v>70</v>
      </c>
      <c r="K93" t="s">
        <v>40</v>
      </c>
      <c r="L93" t="s">
        <v>674</v>
      </c>
      <c r="M93" t="s">
        <v>675</v>
      </c>
      <c r="N93" t="s">
        <v>156</v>
      </c>
      <c r="O93" t="s">
        <v>113</v>
      </c>
      <c r="P93" t="s">
        <v>676</v>
      </c>
      <c r="Q93" t="s">
        <v>113</v>
      </c>
      <c r="R93" t="s">
        <v>677</v>
      </c>
      <c r="S93">
        <v>21</v>
      </c>
      <c r="T93">
        <v>10095</v>
      </c>
      <c r="U93">
        <v>0</v>
      </c>
      <c r="V93">
        <v>10095</v>
      </c>
    </row>
    <row r="94" spans="1:22" x14ac:dyDescent="0.3">
      <c r="A94">
        <v>15741</v>
      </c>
      <c r="B94">
        <v>139970596</v>
      </c>
      <c r="C94" t="s">
        <v>678</v>
      </c>
      <c r="D94" t="s">
        <v>679</v>
      </c>
      <c r="E94" t="s">
        <v>154</v>
      </c>
      <c r="G94" t="s">
        <v>68</v>
      </c>
      <c r="H94" t="s">
        <v>69</v>
      </c>
      <c r="I94" t="s">
        <v>41</v>
      </c>
      <c r="J94" t="s">
        <v>70</v>
      </c>
      <c r="K94" t="s">
        <v>40</v>
      </c>
      <c r="L94" t="s">
        <v>680</v>
      </c>
      <c r="M94" t="s">
        <v>681</v>
      </c>
      <c r="N94" t="s">
        <v>156</v>
      </c>
      <c r="O94" t="s">
        <v>113</v>
      </c>
      <c r="P94" t="s">
        <v>682</v>
      </c>
      <c r="Q94" t="s">
        <v>50</v>
      </c>
      <c r="R94" t="s">
        <v>125</v>
      </c>
      <c r="S94">
        <v>15</v>
      </c>
      <c r="T94">
        <v>8998</v>
      </c>
      <c r="U94">
        <v>0</v>
      </c>
      <c r="V94">
        <v>8998</v>
      </c>
    </row>
    <row r="95" spans="1:22" x14ac:dyDescent="0.3">
      <c r="A95">
        <v>15741</v>
      </c>
      <c r="B95">
        <v>139808877</v>
      </c>
      <c r="C95" t="s">
        <v>683</v>
      </c>
      <c r="D95" t="s">
        <v>684</v>
      </c>
      <c r="E95" t="s">
        <v>154</v>
      </c>
      <c r="G95" t="s">
        <v>68</v>
      </c>
      <c r="H95" t="s">
        <v>69</v>
      </c>
      <c r="I95" t="s">
        <v>41</v>
      </c>
      <c r="J95" t="s">
        <v>70</v>
      </c>
      <c r="K95" t="s">
        <v>40</v>
      </c>
      <c r="L95" t="s">
        <v>685</v>
      </c>
      <c r="M95" t="s">
        <v>686</v>
      </c>
      <c r="N95" t="s">
        <v>156</v>
      </c>
      <c r="O95" t="s">
        <v>113</v>
      </c>
      <c r="P95" t="s">
        <v>687</v>
      </c>
      <c r="Q95" t="s">
        <v>59</v>
      </c>
      <c r="R95" t="s">
        <v>688</v>
      </c>
      <c r="S95">
        <v>79.11</v>
      </c>
      <c r="T95">
        <v>37717</v>
      </c>
      <c r="U95">
        <v>0</v>
      </c>
      <c r="V95">
        <v>37717</v>
      </c>
    </row>
    <row r="96" spans="1:22" x14ac:dyDescent="0.3">
      <c r="A96">
        <v>15741</v>
      </c>
      <c r="B96">
        <v>139883372</v>
      </c>
      <c r="C96" t="s">
        <v>689</v>
      </c>
      <c r="D96" t="s">
        <v>690</v>
      </c>
      <c r="E96" t="s">
        <v>154</v>
      </c>
      <c r="G96" t="s">
        <v>68</v>
      </c>
      <c r="H96" t="s">
        <v>69</v>
      </c>
      <c r="I96" t="s">
        <v>41</v>
      </c>
      <c r="J96" t="s">
        <v>70</v>
      </c>
      <c r="K96" t="s">
        <v>40</v>
      </c>
      <c r="L96" t="s">
        <v>691</v>
      </c>
      <c r="M96" t="s">
        <v>692</v>
      </c>
      <c r="N96" t="s">
        <v>156</v>
      </c>
      <c r="O96" t="s">
        <v>113</v>
      </c>
      <c r="P96" t="s">
        <v>693</v>
      </c>
      <c r="Q96" t="s">
        <v>55</v>
      </c>
      <c r="R96" t="s">
        <v>694</v>
      </c>
      <c r="S96">
        <v>55.3</v>
      </c>
      <c r="T96">
        <v>20930</v>
      </c>
      <c r="U96">
        <v>0</v>
      </c>
      <c r="V96">
        <v>20930</v>
      </c>
    </row>
    <row r="97" spans="1:22" x14ac:dyDescent="0.3">
      <c r="A97">
        <v>15741</v>
      </c>
      <c r="B97">
        <v>139877342</v>
      </c>
      <c r="C97" t="s">
        <v>695</v>
      </c>
      <c r="D97" t="s">
        <v>696</v>
      </c>
      <c r="E97" t="s">
        <v>154</v>
      </c>
      <c r="G97" t="s">
        <v>68</v>
      </c>
      <c r="H97" t="s">
        <v>69</v>
      </c>
      <c r="I97" t="s">
        <v>41</v>
      </c>
      <c r="J97" t="s">
        <v>70</v>
      </c>
      <c r="K97" t="s">
        <v>40</v>
      </c>
      <c r="L97" t="s">
        <v>697</v>
      </c>
      <c r="M97" t="s">
        <v>698</v>
      </c>
      <c r="N97" t="s">
        <v>156</v>
      </c>
      <c r="O97" t="s">
        <v>113</v>
      </c>
      <c r="P97" t="s">
        <v>699</v>
      </c>
      <c r="Q97" t="s">
        <v>86</v>
      </c>
      <c r="R97" t="s">
        <v>700</v>
      </c>
      <c r="S97">
        <v>4.42</v>
      </c>
      <c r="T97">
        <v>6028</v>
      </c>
      <c r="U97">
        <v>0</v>
      </c>
      <c r="V97">
        <v>6028</v>
      </c>
    </row>
    <row r="98" spans="1:22" x14ac:dyDescent="0.3">
      <c r="A98">
        <v>15741</v>
      </c>
      <c r="B98">
        <v>139878218</v>
      </c>
      <c r="C98" t="s">
        <v>701</v>
      </c>
      <c r="D98" t="s">
        <v>702</v>
      </c>
      <c r="E98" t="s">
        <v>154</v>
      </c>
      <c r="G98" t="s">
        <v>68</v>
      </c>
      <c r="H98" t="s">
        <v>69</v>
      </c>
      <c r="I98" t="s">
        <v>41</v>
      </c>
      <c r="J98" t="s">
        <v>70</v>
      </c>
      <c r="K98" t="s">
        <v>40</v>
      </c>
      <c r="L98" t="s">
        <v>703</v>
      </c>
      <c r="M98" t="s">
        <v>704</v>
      </c>
      <c r="N98" t="s">
        <v>156</v>
      </c>
      <c r="O98" t="s">
        <v>113</v>
      </c>
      <c r="P98" t="s">
        <v>705</v>
      </c>
      <c r="Q98" t="s">
        <v>50</v>
      </c>
      <c r="R98" t="s">
        <v>706</v>
      </c>
      <c r="S98">
        <v>39.99</v>
      </c>
      <c r="T98">
        <v>14917</v>
      </c>
      <c r="U98">
        <v>0</v>
      </c>
      <c r="V98">
        <v>14917</v>
      </c>
    </row>
    <row r="99" spans="1:22" x14ac:dyDescent="0.3">
      <c r="A99">
        <v>15741</v>
      </c>
      <c r="B99">
        <v>139878564</v>
      </c>
      <c r="C99" t="s">
        <v>707</v>
      </c>
      <c r="D99" t="s">
        <v>708</v>
      </c>
      <c r="E99" t="s">
        <v>154</v>
      </c>
      <c r="G99" t="s">
        <v>68</v>
      </c>
      <c r="H99" t="s">
        <v>69</v>
      </c>
      <c r="I99" t="s">
        <v>41</v>
      </c>
      <c r="J99" t="s">
        <v>70</v>
      </c>
      <c r="K99" t="s">
        <v>40</v>
      </c>
      <c r="L99" t="s">
        <v>709</v>
      </c>
      <c r="M99" t="s">
        <v>710</v>
      </c>
      <c r="N99" t="s">
        <v>156</v>
      </c>
      <c r="O99" t="s">
        <v>113</v>
      </c>
      <c r="P99" t="s">
        <v>711</v>
      </c>
      <c r="Q99" t="s">
        <v>56</v>
      </c>
      <c r="R99" t="s">
        <v>712</v>
      </c>
      <c r="S99">
        <v>76.39</v>
      </c>
      <c r="T99">
        <v>26139</v>
      </c>
      <c r="U99">
        <v>7499.94</v>
      </c>
      <c r="V99">
        <v>33638.94</v>
      </c>
    </row>
    <row r="100" spans="1:22" x14ac:dyDescent="0.3">
      <c r="A100">
        <v>15741</v>
      </c>
      <c r="B100">
        <v>139877295</v>
      </c>
      <c r="C100" t="s">
        <v>713</v>
      </c>
      <c r="D100" t="s">
        <v>714</v>
      </c>
      <c r="E100" t="s">
        <v>154</v>
      </c>
      <c r="G100" t="s">
        <v>68</v>
      </c>
      <c r="H100" t="s">
        <v>69</v>
      </c>
      <c r="I100" t="s">
        <v>41</v>
      </c>
      <c r="J100" t="s">
        <v>70</v>
      </c>
      <c r="K100" t="s">
        <v>40</v>
      </c>
      <c r="L100" t="s">
        <v>715</v>
      </c>
      <c r="M100" t="s">
        <v>716</v>
      </c>
      <c r="N100" t="s">
        <v>156</v>
      </c>
      <c r="O100" t="s">
        <v>113</v>
      </c>
      <c r="P100" t="s">
        <v>717</v>
      </c>
      <c r="Q100" t="s">
        <v>79</v>
      </c>
      <c r="R100" t="s">
        <v>718</v>
      </c>
      <c r="S100">
        <v>1.88</v>
      </c>
      <c r="T100">
        <v>5143</v>
      </c>
      <c r="U100">
        <v>0</v>
      </c>
      <c r="V100">
        <v>5143</v>
      </c>
    </row>
    <row r="101" spans="1:22" x14ac:dyDescent="0.3">
      <c r="A101">
        <v>15741</v>
      </c>
      <c r="B101">
        <v>139847859</v>
      </c>
      <c r="C101" t="s">
        <v>719</v>
      </c>
      <c r="D101" t="s">
        <v>720</v>
      </c>
      <c r="E101" t="s">
        <v>154</v>
      </c>
      <c r="G101" t="s">
        <v>68</v>
      </c>
      <c r="H101" t="s">
        <v>69</v>
      </c>
      <c r="I101" t="s">
        <v>41</v>
      </c>
      <c r="J101" t="s">
        <v>70</v>
      </c>
      <c r="K101" t="s">
        <v>40</v>
      </c>
      <c r="L101" t="s">
        <v>581</v>
      </c>
      <c r="M101" t="s">
        <v>721</v>
      </c>
      <c r="N101" t="s">
        <v>156</v>
      </c>
      <c r="O101" t="s">
        <v>113</v>
      </c>
      <c r="P101" t="s">
        <v>722</v>
      </c>
      <c r="Q101" t="s">
        <v>42</v>
      </c>
      <c r="R101" t="s">
        <v>723</v>
      </c>
      <c r="S101">
        <v>2.75</v>
      </c>
      <c r="T101">
        <v>5435</v>
      </c>
      <c r="U101">
        <v>0</v>
      </c>
      <c r="V101">
        <v>5435</v>
      </c>
    </row>
    <row r="102" spans="1:22" x14ac:dyDescent="0.3">
      <c r="A102">
        <v>15741</v>
      </c>
      <c r="B102">
        <v>139807012</v>
      </c>
      <c r="C102" t="s">
        <v>683</v>
      </c>
      <c r="D102" t="s">
        <v>724</v>
      </c>
      <c r="E102" t="s">
        <v>154</v>
      </c>
      <c r="G102" t="s">
        <v>68</v>
      </c>
      <c r="H102" t="s">
        <v>69</v>
      </c>
      <c r="I102" t="s">
        <v>41</v>
      </c>
      <c r="J102" t="s">
        <v>70</v>
      </c>
      <c r="K102" t="s">
        <v>40</v>
      </c>
      <c r="L102" t="s">
        <v>725</v>
      </c>
      <c r="M102" t="s">
        <v>726</v>
      </c>
      <c r="N102" t="s">
        <v>156</v>
      </c>
      <c r="O102" t="s">
        <v>113</v>
      </c>
      <c r="P102" t="s">
        <v>727</v>
      </c>
      <c r="Q102" t="s">
        <v>45</v>
      </c>
      <c r="R102" t="s">
        <v>728</v>
      </c>
      <c r="S102">
        <v>57.3</v>
      </c>
      <c r="T102">
        <v>18655</v>
      </c>
      <c r="U102">
        <v>0</v>
      </c>
      <c r="V102">
        <v>18655</v>
      </c>
    </row>
    <row r="103" spans="1:22" x14ac:dyDescent="0.3">
      <c r="A103">
        <v>15741</v>
      </c>
      <c r="B103">
        <v>139779220</v>
      </c>
      <c r="C103" t="s">
        <v>729</v>
      </c>
      <c r="D103" t="s">
        <v>730</v>
      </c>
      <c r="E103" t="s">
        <v>154</v>
      </c>
      <c r="G103" t="s">
        <v>68</v>
      </c>
      <c r="H103" t="s">
        <v>69</v>
      </c>
      <c r="I103" t="s">
        <v>41</v>
      </c>
      <c r="J103" t="s">
        <v>70</v>
      </c>
      <c r="K103" t="s">
        <v>40</v>
      </c>
      <c r="L103" t="s">
        <v>731</v>
      </c>
      <c r="M103" t="s">
        <v>732</v>
      </c>
      <c r="N103" t="s">
        <v>156</v>
      </c>
      <c r="O103" t="s">
        <v>113</v>
      </c>
      <c r="P103" t="s">
        <v>733</v>
      </c>
      <c r="Q103" t="s">
        <v>80</v>
      </c>
      <c r="R103" t="s">
        <v>734</v>
      </c>
      <c r="S103">
        <v>37.32</v>
      </c>
      <c r="T103">
        <v>31251</v>
      </c>
      <c r="U103">
        <v>0</v>
      </c>
      <c r="V103">
        <v>31251</v>
      </c>
    </row>
    <row r="104" spans="1:22" x14ac:dyDescent="0.3">
      <c r="A104">
        <v>15741</v>
      </c>
      <c r="B104">
        <v>139780025</v>
      </c>
      <c r="C104" t="s">
        <v>735</v>
      </c>
      <c r="D104" t="s">
        <v>736</v>
      </c>
      <c r="E104" t="s">
        <v>154</v>
      </c>
      <c r="G104" t="s">
        <v>68</v>
      </c>
      <c r="H104" t="s">
        <v>69</v>
      </c>
      <c r="I104" t="s">
        <v>41</v>
      </c>
      <c r="J104" t="s">
        <v>70</v>
      </c>
      <c r="K104" t="s">
        <v>40</v>
      </c>
      <c r="L104" t="s">
        <v>737</v>
      </c>
      <c r="M104" t="s">
        <v>738</v>
      </c>
      <c r="N104" t="s">
        <v>156</v>
      </c>
      <c r="O104" t="s">
        <v>113</v>
      </c>
      <c r="P104" t="s">
        <v>739</v>
      </c>
      <c r="Q104" t="s">
        <v>50</v>
      </c>
      <c r="R104" t="s">
        <v>740</v>
      </c>
      <c r="S104">
        <v>8.1999999999999993</v>
      </c>
      <c r="T104">
        <v>7216</v>
      </c>
      <c r="U104">
        <v>0</v>
      </c>
      <c r="V104">
        <v>7216</v>
      </c>
    </row>
    <row r="105" spans="1:22" x14ac:dyDescent="0.3">
      <c r="A105">
        <v>15741</v>
      </c>
      <c r="B105">
        <v>140716037</v>
      </c>
      <c r="C105" t="s">
        <v>741</v>
      </c>
      <c r="D105" t="s">
        <v>742</v>
      </c>
      <c r="E105" t="s">
        <v>154</v>
      </c>
      <c r="G105" t="s">
        <v>105</v>
      </c>
      <c r="H105" t="s">
        <v>106</v>
      </c>
      <c r="I105" t="s">
        <v>41</v>
      </c>
      <c r="J105" t="s">
        <v>107</v>
      </c>
      <c r="K105" t="s">
        <v>40</v>
      </c>
      <c r="L105" t="s">
        <v>108</v>
      </c>
      <c r="M105" t="s">
        <v>743</v>
      </c>
      <c r="N105" t="s">
        <v>156</v>
      </c>
      <c r="O105" t="s">
        <v>113</v>
      </c>
      <c r="P105" t="s">
        <v>744</v>
      </c>
      <c r="Q105" t="s">
        <v>65</v>
      </c>
      <c r="R105" t="s">
        <v>745</v>
      </c>
      <c r="S105">
        <v>10.92</v>
      </c>
      <c r="T105">
        <v>12046</v>
      </c>
      <c r="U105">
        <v>626.94000000000005</v>
      </c>
      <c r="V105">
        <v>12672.94</v>
      </c>
    </row>
    <row r="106" spans="1:22" x14ac:dyDescent="0.3">
      <c r="A106">
        <v>15741</v>
      </c>
      <c r="B106">
        <v>140690272</v>
      </c>
      <c r="C106" t="s">
        <v>746</v>
      </c>
      <c r="D106" t="s">
        <v>747</v>
      </c>
      <c r="E106" t="s">
        <v>154</v>
      </c>
      <c r="G106" t="s">
        <v>105</v>
      </c>
      <c r="H106" t="s">
        <v>106</v>
      </c>
      <c r="I106" t="s">
        <v>41</v>
      </c>
      <c r="J106" t="s">
        <v>107</v>
      </c>
      <c r="K106" t="s">
        <v>40</v>
      </c>
      <c r="L106" t="s">
        <v>108</v>
      </c>
      <c r="M106" t="s">
        <v>748</v>
      </c>
      <c r="N106" t="s">
        <v>156</v>
      </c>
      <c r="O106" t="s">
        <v>113</v>
      </c>
      <c r="P106" t="s">
        <v>749</v>
      </c>
      <c r="Q106" t="s">
        <v>42</v>
      </c>
      <c r="R106" t="s">
        <v>750</v>
      </c>
      <c r="S106">
        <v>8.3800000000000008</v>
      </c>
      <c r="T106">
        <v>5465</v>
      </c>
      <c r="U106">
        <v>539.94000000000005</v>
      </c>
      <c r="V106">
        <v>6004.9400000000005</v>
      </c>
    </row>
    <row r="107" spans="1:22" x14ac:dyDescent="0.3">
      <c r="A107">
        <v>15741</v>
      </c>
      <c r="B107">
        <v>140674203</v>
      </c>
      <c r="C107" t="s">
        <v>751</v>
      </c>
      <c r="D107" t="s">
        <v>752</v>
      </c>
      <c r="E107" t="s">
        <v>154</v>
      </c>
      <c r="G107" t="s">
        <v>105</v>
      </c>
      <c r="H107" t="s">
        <v>106</v>
      </c>
      <c r="I107" t="s">
        <v>41</v>
      </c>
      <c r="J107" t="s">
        <v>107</v>
      </c>
      <c r="K107" t="s">
        <v>40</v>
      </c>
      <c r="L107" t="s">
        <v>108</v>
      </c>
      <c r="M107" t="s">
        <v>753</v>
      </c>
      <c r="N107" t="s">
        <v>156</v>
      </c>
      <c r="O107" t="s">
        <v>113</v>
      </c>
      <c r="P107" t="s">
        <v>754</v>
      </c>
      <c r="Q107" t="s">
        <v>42</v>
      </c>
      <c r="R107" t="s">
        <v>755</v>
      </c>
      <c r="S107">
        <v>0.1</v>
      </c>
      <c r="T107">
        <v>3927</v>
      </c>
      <c r="U107">
        <v>1079.94</v>
      </c>
      <c r="V107">
        <v>5006.9400000000005</v>
      </c>
    </row>
    <row r="108" spans="1:22" x14ac:dyDescent="0.3">
      <c r="A108">
        <v>15741</v>
      </c>
      <c r="B108">
        <v>140672433</v>
      </c>
      <c r="C108" t="s">
        <v>756</v>
      </c>
      <c r="D108" t="s">
        <v>757</v>
      </c>
      <c r="E108" t="s">
        <v>154</v>
      </c>
      <c r="G108" t="s">
        <v>105</v>
      </c>
      <c r="H108" t="s">
        <v>106</v>
      </c>
      <c r="I108" t="s">
        <v>41</v>
      </c>
      <c r="J108" t="s">
        <v>107</v>
      </c>
      <c r="K108" t="s">
        <v>40</v>
      </c>
      <c r="L108" t="s">
        <v>108</v>
      </c>
      <c r="M108" t="s">
        <v>758</v>
      </c>
      <c r="N108" t="s">
        <v>156</v>
      </c>
      <c r="O108" t="s">
        <v>113</v>
      </c>
      <c r="P108" t="s">
        <v>759</v>
      </c>
      <c r="Q108" t="s">
        <v>54</v>
      </c>
      <c r="R108" t="s">
        <v>760</v>
      </c>
      <c r="S108">
        <v>15.45</v>
      </c>
      <c r="T108">
        <v>10408</v>
      </c>
      <c r="U108">
        <v>1079.94</v>
      </c>
      <c r="V108">
        <v>11487.94</v>
      </c>
    </row>
    <row r="109" spans="1:22" x14ac:dyDescent="0.3">
      <c r="A109">
        <v>15741</v>
      </c>
      <c r="B109">
        <v>140667591</v>
      </c>
      <c r="C109" t="s">
        <v>761</v>
      </c>
      <c r="D109" t="s">
        <v>762</v>
      </c>
      <c r="E109" t="s">
        <v>154</v>
      </c>
      <c r="G109" t="s">
        <v>105</v>
      </c>
      <c r="H109" t="s">
        <v>106</v>
      </c>
      <c r="I109" t="s">
        <v>41</v>
      </c>
      <c r="J109" t="s">
        <v>107</v>
      </c>
      <c r="K109" t="s">
        <v>40</v>
      </c>
      <c r="L109" t="s">
        <v>108</v>
      </c>
      <c r="M109" t="s">
        <v>763</v>
      </c>
      <c r="N109" t="s">
        <v>156</v>
      </c>
      <c r="O109" t="s">
        <v>113</v>
      </c>
      <c r="P109" t="s">
        <v>764</v>
      </c>
      <c r="Q109" t="s">
        <v>49</v>
      </c>
      <c r="R109" t="s">
        <v>765</v>
      </c>
      <c r="S109">
        <v>12.34</v>
      </c>
      <c r="T109">
        <v>5943</v>
      </c>
      <c r="U109">
        <v>1019.94</v>
      </c>
      <c r="V109">
        <v>6962.9400000000005</v>
      </c>
    </row>
    <row r="110" spans="1:22" x14ac:dyDescent="0.3">
      <c r="A110">
        <v>15741</v>
      </c>
      <c r="B110">
        <v>140682326</v>
      </c>
      <c r="C110" t="s">
        <v>766</v>
      </c>
      <c r="D110" t="s">
        <v>767</v>
      </c>
      <c r="E110" t="s">
        <v>154</v>
      </c>
      <c r="G110" t="s">
        <v>105</v>
      </c>
      <c r="H110" t="s">
        <v>106</v>
      </c>
      <c r="I110" t="s">
        <v>41</v>
      </c>
      <c r="J110" t="s">
        <v>107</v>
      </c>
      <c r="K110" t="s">
        <v>40</v>
      </c>
      <c r="L110" t="s">
        <v>108</v>
      </c>
      <c r="M110" t="s">
        <v>768</v>
      </c>
      <c r="N110" t="s">
        <v>156</v>
      </c>
      <c r="O110" t="s">
        <v>113</v>
      </c>
      <c r="P110" t="s">
        <v>769</v>
      </c>
      <c r="Q110" t="s">
        <v>47</v>
      </c>
      <c r="R110" t="s">
        <v>770</v>
      </c>
      <c r="S110">
        <v>9.43</v>
      </c>
      <c r="T110">
        <v>5465</v>
      </c>
      <c r="U110">
        <v>0</v>
      </c>
      <c r="V110">
        <v>5465</v>
      </c>
    </row>
    <row r="111" spans="1:22" x14ac:dyDescent="0.3">
      <c r="A111">
        <v>15741</v>
      </c>
      <c r="B111">
        <v>140667642</v>
      </c>
      <c r="C111" t="s">
        <v>771</v>
      </c>
      <c r="D111" t="s">
        <v>772</v>
      </c>
      <c r="E111" t="s">
        <v>154</v>
      </c>
      <c r="G111" t="s">
        <v>105</v>
      </c>
      <c r="H111" t="s">
        <v>106</v>
      </c>
      <c r="I111" t="s">
        <v>41</v>
      </c>
      <c r="J111" t="s">
        <v>107</v>
      </c>
      <c r="K111" t="s">
        <v>40</v>
      </c>
      <c r="L111" t="s">
        <v>108</v>
      </c>
      <c r="M111" t="s">
        <v>773</v>
      </c>
      <c r="N111" t="s">
        <v>156</v>
      </c>
      <c r="O111" t="s">
        <v>113</v>
      </c>
      <c r="P111" t="s">
        <v>774</v>
      </c>
      <c r="Q111" t="s">
        <v>50</v>
      </c>
      <c r="R111" t="s">
        <v>775</v>
      </c>
      <c r="S111">
        <v>8.59</v>
      </c>
      <c r="T111">
        <v>5465</v>
      </c>
      <c r="U111">
        <v>539.94000000000005</v>
      </c>
      <c r="V111">
        <v>6004.9400000000005</v>
      </c>
    </row>
    <row r="112" spans="1:22" x14ac:dyDescent="0.3">
      <c r="A112">
        <v>15741</v>
      </c>
      <c r="B112">
        <v>140667096</v>
      </c>
      <c r="C112" t="s">
        <v>776</v>
      </c>
      <c r="D112" t="s">
        <v>777</v>
      </c>
      <c r="E112" t="s">
        <v>154</v>
      </c>
      <c r="G112" t="s">
        <v>105</v>
      </c>
      <c r="H112" t="s">
        <v>106</v>
      </c>
      <c r="I112" t="s">
        <v>41</v>
      </c>
      <c r="J112" t="s">
        <v>107</v>
      </c>
      <c r="K112" t="s">
        <v>40</v>
      </c>
      <c r="L112" t="s">
        <v>108</v>
      </c>
      <c r="M112" t="s">
        <v>778</v>
      </c>
      <c r="N112" t="s">
        <v>156</v>
      </c>
      <c r="O112" t="s">
        <v>113</v>
      </c>
      <c r="P112" t="s">
        <v>779</v>
      </c>
      <c r="Q112" t="s">
        <v>76</v>
      </c>
      <c r="R112" t="s">
        <v>780</v>
      </c>
      <c r="S112">
        <v>11.29</v>
      </c>
      <c r="T112">
        <v>12809</v>
      </c>
      <c r="U112">
        <v>599.94000000000005</v>
      </c>
      <c r="V112">
        <v>13408.94</v>
      </c>
    </row>
    <row r="113" spans="1:22" x14ac:dyDescent="0.3">
      <c r="A113">
        <v>15741</v>
      </c>
      <c r="B113">
        <v>140675228</v>
      </c>
      <c r="C113" t="s">
        <v>781</v>
      </c>
      <c r="D113" t="s">
        <v>782</v>
      </c>
      <c r="E113" t="s">
        <v>154</v>
      </c>
      <c r="G113" t="s">
        <v>105</v>
      </c>
      <c r="H113" t="s">
        <v>106</v>
      </c>
      <c r="I113" t="s">
        <v>41</v>
      </c>
      <c r="J113" t="s">
        <v>107</v>
      </c>
      <c r="K113" t="s">
        <v>40</v>
      </c>
      <c r="L113" t="s">
        <v>108</v>
      </c>
      <c r="M113" t="s">
        <v>783</v>
      </c>
      <c r="N113" t="s">
        <v>156</v>
      </c>
      <c r="O113" t="s">
        <v>113</v>
      </c>
      <c r="P113" t="s">
        <v>784</v>
      </c>
      <c r="Q113" t="s">
        <v>77</v>
      </c>
      <c r="R113" t="s">
        <v>785</v>
      </c>
      <c r="S113">
        <v>35.880000000000003</v>
      </c>
      <c r="T113">
        <v>27928</v>
      </c>
      <c r="U113">
        <v>2039.76</v>
      </c>
      <c r="V113">
        <v>29967.759999999998</v>
      </c>
    </row>
    <row r="114" spans="1:22" x14ac:dyDescent="0.3">
      <c r="A114">
        <v>15741</v>
      </c>
      <c r="B114">
        <v>140666961</v>
      </c>
      <c r="C114" t="s">
        <v>786</v>
      </c>
      <c r="D114" t="s">
        <v>787</v>
      </c>
      <c r="E114" t="s">
        <v>154</v>
      </c>
      <c r="G114" t="s">
        <v>105</v>
      </c>
      <c r="H114" t="s">
        <v>106</v>
      </c>
      <c r="I114" t="s">
        <v>41</v>
      </c>
      <c r="J114" t="s">
        <v>107</v>
      </c>
      <c r="K114" t="s">
        <v>40</v>
      </c>
      <c r="L114" t="s">
        <v>108</v>
      </c>
      <c r="M114" t="s">
        <v>788</v>
      </c>
      <c r="N114" t="s">
        <v>156</v>
      </c>
      <c r="O114" t="s">
        <v>113</v>
      </c>
      <c r="P114" t="s">
        <v>789</v>
      </c>
      <c r="Q114" t="s">
        <v>790</v>
      </c>
      <c r="R114" t="s">
        <v>791</v>
      </c>
      <c r="S114">
        <v>8.66</v>
      </c>
      <c r="T114">
        <v>10173</v>
      </c>
      <c r="U114">
        <v>539.94000000000005</v>
      </c>
      <c r="V114">
        <v>10712.94</v>
      </c>
    </row>
    <row r="115" spans="1:22" x14ac:dyDescent="0.3">
      <c r="A115">
        <v>15741</v>
      </c>
      <c r="B115">
        <v>140638805</v>
      </c>
      <c r="C115" t="s">
        <v>792</v>
      </c>
      <c r="D115" t="s">
        <v>793</v>
      </c>
      <c r="E115" t="s">
        <v>154</v>
      </c>
      <c r="G115" t="s">
        <v>105</v>
      </c>
      <c r="H115" t="s">
        <v>106</v>
      </c>
      <c r="I115" t="s">
        <v>41</v>
      </c>
      <c r="J115" t="s">
        <v>107</v>
      </c>
      <c r="K115" t="s">
        <v>40</v>
      </c>
      <c r="L115" t="s">
        <v>108</v>
      </c>
      <c r="M115" t="s">
        <v>794</v>
      </c>
      <c r="N115" t="s">
        <v>156</v>
      </c>
      <c r="O115" t="s">
        <v>113</v>
      </c>
      <c r="P115" t="s">
        <v>795</v>
      </c>
      <c r="Q115" t="s">
        <v>82</v>
      </c>
      <c r="R115" t="s">
        <v>796</v>
      </c>
      <c r="S115">
        <v>9.4600000000000009</v>
      </c>
      <c r="T115">
        <v>5465</v>
      </c>
      <c r="U115">
        <v>0</v>
      </c>
      <c r="V115">
        <v>5465</v>
      </c>
    </row>
    <row r="116" spans="1:22" x14ac:dyDescent="0.3">
      <c r="A116">
        <v>15741</v>
      </c>
      <c r="B116">
        <v>140725951</v>
      </c>
      <c r="C116" t="s">
        <v>797</v>
      </c>
      <c r="D116" t="s">
        <v>798</v>
      </c>
      <c r="E116" t="s">
        <v>154</v>
      </c>
      <c r="G116" t="s">
        <v>105</v>
      </c>
      <c r="H116" t="s">
        <v>106</v>
      </c>
      <c r="I116" t="s">
        <v>41</v>
      </c>
      <c r="J116" t="s">
        <v>107</v>
      </c>
      <c r="K116" t="s">
        <v>40</v>
      </c>
      <c r="L116" t="s">
        <v>108</v>
      </c>
      <c r="M116" t="s">
        <v>799</v>
      </c>
      <c r="N116" t="s">
        <v>156</v>
      </c>
      <c r="O116" t="s">
        <v>113</v>
      </c>
      <c r="P116" t="s">
        <v>800</v>
      </c>
      <c r="Q116" t="s">
        <v>76</v>
      </c>
      <c r="R116" t="s">
        <v>801</v>
      </c>
      <c r="S116">
        <v>1.1399999999999999</v>
      </c>
      <c r="T116">
        <v>7854</v>
      </c>
      <c r="U116">
        <v>600</v>
      </c>
      <c r="V116">
        <v>8454</v>
      </c>
    </row>
    <row r="117" spans="1:22" x14ac:dyDescent="0.3">
      <c r="A117">
        <v>15741</v>
      </c>
      <c r="B117">
        <v>140667158</v>
      </c>
      <c r="C117" t="s">
        <v>802</v>
      </c>
      <c r="D117" t="s">
        <v>803</v>
      </c>
      <c r="E117" t="s">
        <v>154</v>
      </c>
      <c r="G117" t="s">
        <v>105</v>
      </c>
      <c r="H117" t="s">
        <v>106</v>
      </c>
      <c r="I117" t="s">
        <v>41</v>
      </c>
      <c r="J117" t="s">
        <v>107</v>
      </c>
      <c r="K117" t="s">
        <v>40</v>
      </c>
      <c r="L117" t="s">
        <v>108</v>
      </c>
      <c r="M117" t="s">
        <v>804</v>
      </c>
      <c r="N117" t="s">
        <v>156</v>
      </c>
      <c r="O117" t="s">
        <v>113</v>
      </c>
      <c r="P117" t="s">
        <v>805</v>
      </c>
      <c r="Q117" t="s">
        <v>83</v>
      </c>
      <c r="R117" t="s">
        <v>806</v>
      </c>
      <c r="S117">
        <v>20.49</v>
      </c>
      <c r="T117">
        <v>15903</v>
      </c>
      <c r="U117">
        <v>1439.94</v>
      </c>
      <c r="V117">
        <v>17342.939999999999</v>
      </c>
    </row>
    <row r="118" spans="1:22" x14ac:dyDescent="0.3">
      <c r="A118">
        <v>15741</v>
      </c>
      <c r="B118">
        <v>140646371</v>
      </c>
      <c r="C118" t="s">
        <v>807</v>
      </c>
      <c r="D118" t="s">
        <v>808</v>
      </c>
      <c r="E118" t="s">
        <v>154</v>
      </c>
      <c r="G118" t="s">
        <v>105</v>
      </c>
      <c r="H118" t="s">
        <v>106</v>
      </c>
      <c r="I118" t="s">
        <v>41</v>
      </c>
      <c r="J118" t="s">
        <v>107</v>
      </c>
      <c r="K118" t="s">
        <v>40</v>
      </c>
      <c r="L118" t="s">
        <v>108</v>
      </c>
      <c r="M118" t="s">
        <v>809</v>
      </c>
      <c r="N118" t="s">
        <v>156</v>
      </c>
      <c r="O118" t="s">
        <v>113</v>
      </c>
      <c r="P118" t="s">
        <v>810</v>
      </c>
      <c r="Q118" t="s">
        <v>102</v>
      </c>
      <c r="R118" t="s">
        <v>811</v>
      </c>
      <c r="S118">
        <v>8.81</v>
      </c>
      <c r="T118">
        <v>9287</v>
      </c>
      <c r="U118">
        <v>0</v>
      </c>
      <c r="V118">
        <v>9287</v>
      </c>
    </row>
    <row r="119" spans="1:22" x14ac:dyDescent="0.3">
      <c r="A119">
        <v>15741</v>
      </c>
      <c r="B119">
        <v>140666447</v>
      </c>
      <c r="C119" t="s">
        <v>812</v>
      </c>
      <c r="D119" t="s">
        <v>813</v>
      </c>
      <c r="E119" t="s">
        <v>154</v>
      </c>
      <c r="G119" t="s">
        <v>105</v>
      </c>
      <c r="H119" t="s">
        <v>106</v>
      </c>
      <c r="I119" t="s">
        <v>41</v>
      </c>
      <c r="J119" t="s">
        <v>107</v>
      </c>
      <c r="K119" t="s">
        <v>40</v>
      </c>
      <c r="L119" t="s">
        <v>108</v>
      </c>
      <c r="M119" t="s">
        <v>814</v>
      </c>
      <c r="N119" t="s">
        <v>156</v>
      </c>
      <c r="O119" t="s">
        <v>113</v>
      </c>
      <c r="P119" t="s">
        <v>815</v>
      </c>
      <c r="Q119" t="s">
        <v>75</v>
      </c>
      <c r="R119" t="s">
        <v>816</v>
      </c>
      <c r="S119">
        <v>19.04</v>
      </c>
      <c r="T119">
        <v>7831</v>
      </c>
      <c r="U119">
        <v>1079.8800000000001</v>
      </c>
      <c r="V119">
        <v>8910.880000000001</v>
      </c>
    </row>
    <row r="120" spans="1:22" x14ac:dyDescent="0.3">
      <c r="A120">
        <v>15741</v>
      </c>
      <c r="B120">
        <v>140667478</v>
      </c>
      <c r="C120" t="s">
        <v>817</v>
      </c>
      <c r="D120" t="s">
        <v>818</v>
      </c>
      <c r="E120" t="s">
        <v>154</v>
      </c>
      <c r="G120" t="s">
        <v>105</v>
      </c>
      <c r="H120" t="s">
        <v>106</v>
      </c>
      <c r="I120" t="s">
        <v>41</v>
      </c>
      <c r="J120" t="s">
        <v>107</v>
      </c>
      <c r="K120" t="s">
        <v>40</v>
      </c>
      <c r="L120" t="s">
        <v>108</v>
      </c>
      <c r="M120" t="s">
        <v>819</v>
      </c>
      <c r="N120" t="s">
        <v>156</v>
      </c>
      <c r="O120" t="s">
        <v>113</v>
      </c>
      <c r="P120" t="s">
        <v>820</v>
      </c>
      <c r="Q120" t="s">
        <v>78</v>
      </c>
      <c r="R120" t="s">
        <v>821</v>
      </c>
      <c r="S120">
        <v>36.86</v>
      </c>
      <c r="T120">
        <v>24334</v>
      </c>
      <c r="U120">
        <v>1799.88</v>
      </c>
      <c r="V120">
        <v>26133.88</v>
      </c>
    </row>
    <row r="121" spans="1:22" x14ac:dyDescent="0.3">
      <c r="A121">
        <v>15741</v>
      </c>
      <c r="B121">
        <v>140673327</v>
      </c>
      <c r="C121" t="s">
        <v>822</v>
      </c>
      <c r="D121" t="s">
        <v>823</v>
      </c>
      <c r="E121" t="s">
        <v>154</v>
      </c>
      <c r="G121" t="s">
        <v>105</v>
      </c>
      <c r="H121" t="s">
        <v>106</v>
      </c>
      <c r="I121" t="s">
        <v>41</v>
      </c>
      <c r="J121" t="s">
        <v>107</v>
      </c>
      <c r="K121" t="s">
        <v>40</v>
      </c>
      <c r="L121" t="s">
        <v>108</v>
      </c>
      <c r="M121" t="s">
        <v>824</v>
      </c>
      <c r="N121" t="s">
        <v>156</v>
      </c>
      <c r="O121" t="s">
        <v>113</v>
      </c>
      <c r="P121" t="s">
        <v>825</v>
      </c>
      <c r="Q121" t="s">
        <v>91</v>
      </c>
      <c r="R121" t="s">
        <v>826</v>
      </c>
      <c r="S121">
        <v>63.21</v>
      </c>
      <c r="T121">
        <v>50186</v>
      </c>
      <c r="U121">
        <v>1139.94</v>
      </c>
      <c r="V121">
        <v>51325.94</v>
      </c>
    </row>
    <row r="122" spans="1:22" x14ac:dyDescent="0.3">
      <c r="A122">
        <v>15741</v>
      </c>
      <c r="B122">
        <v>140673595</v>
      </c>
      <c r="C122" t="s">
        <v>827</v>
      </c>
      <c r="D122" t="s">
        <v>828</v>
      </c>
      <c r="E122" t="s">
        <v>154</v>
      </c>
      <c r="G122" t="s">
        <v>105</v>
      </c>
      <c r="H122" t="s">
        <v>106</v>
      </c>
      <c r="I122" t="s">
        <v>41</v>
      </c>
      <c r="J122" t="s">
        <v>107</v>
      </c>
      <c r="K122" t="s">
        <v>40</v>
      </c>
      <c r="L122" t="s">
        <v>108</v>
      </c>
      <c r="M122" t="s">
        <v>829</v>
      </c>
      <c r="N122" t="s">
        <v>156</v>
      </c>
      <c r="O122" t="s">
        <v>113</v>
      </c>
      <c r="P122" t="s">
        <v>830</v>
      </c>
      <c r="Q122" t="s">
        <v>116</v>
      </c>
      <c r="R122" t="s">
        <v>831</v>
      </c>
      <c r="S122">
        <v>17.09</v>
      </c>
      <c r="T122">
        <v>6887</v>
      </c>
      <c r="U122">
        <v>1199.8800000000001</v>
      </c>
      <c r="V122">
        <v>8086.88</v>
      </c>
    </row>
    <row r="123" spans="1:22" x14ac:dyDescent="0.3">
      <c r="A123">
        <v>15741</v>
      </c>
      <c r="B123">
        <v>140666787</v>
      </c>
      <c r="C123" t="s">
        <v>832</v>
      </c>
      <c r="D123" t="s">
        <v>833</v>
      </c>
      <c r="E123" t="s">
        <v>154</v>
      </c>
      <c r="G123" t="s">
        <v>105</v>
      </c>
      <c r="H123" t="s">
        <v>106</v>
      </c>
      <c r="I123" t="s">
        <v>41</v>
      </c>
      <c r="J123" t="s">
        <v>107</v>
      </c>
      <c r="K123" t="s">
        <v>40</v>
      </c>
      <c r="L123" t="s">
        <v>108</v>
      </c>
      <c r="M123" t="s">
        <v>834</v>
      </c>
      <c r="N123" t="s">
        <v>156</v>
      </c>
      <c r="O123" t="s">
        <v>113</v>
      </c>
      <c r="P123" t="s">
        <v>835</v>
      </c>
      <c r="Q123" t="s">
        <v>115</v>
      </c>
      <c r="R123" t="s">
        <v>836</v>
      </c>
      <c r="S123">
        <v>10.71</v>
      </c>
      <c r="T123">
        <v>5943</v>
      </c>
      <c r="U123">
        <v>599.94000000000005</v>
      </c>
      <c r="V123">
        <v>6542.9400000000005</v>
      </c>
    </row>
    <row r="124" spans="1:22" x14ac:dyDescent="0.3">
      <c r="A124">
        <v>15741</v>
      </c>
      <c r="B124">
        <v>140715481</v>
      </c>
      <c r="C124" t="s">
        <v>837</v>
      </c>
      <c r="D124" t="s">
        <v>838</v>
      </c>
      <c r="E124" t="s">
        <v>154</v>
      </c>
      <c r="G124" t="s">
        <v>105</v>
      </c>
      <c r="H124" t="s">
        <v>106</v>
      </c>
      <c r="I124" t="s">
        <v>41</v>
      </c>
      <c r="J124" t="s">
        <v>107</v>
      </c>
      <c r="K124" t="s">
        <v>40</v>
      </c>
      <c r="L124" t="s">
        <v>108</v>
      </c>
      <c r="M124" t="s">
        <v>839</v>
      </c>
      <c r="N124" t="s">
        <v>156</v>
      </c>
      <c r="O124" t="s">
        <v>113</v>
      </c>
      <c r="P124" t="s">
        <v>840</v>
      </c>
      <c r="Q124" t="s">
        <v>82</v>
      </c>
      <c r="R124" t="s">
        <v>841</v>
      </c>
      <c r="S124">
        <v>10.88</v>
      </c>
      <c r="T124">
        <v>5943</v>
      </c>
      <c r="U124">
        <v>626.94000000000005</v>
      </c>
      <c r="V124">
        <v>6569.9400000000005</v>
      </c>
    </row>
    <row r="125" spans="1:22" x14ac:dyDescent="0.3">
      <c r="A125">
        <v>15741</v>
      </c>
      <c r="B125">
        <v>140711433</v>
      </c>
      <c r="C125" t="s">
        <v>842</v>
      </c>
      <c r="D125" t="s">
        <v>843</v>
      </c>
      <c r="E125" t="s">
        <v>154</v>
      </c>
      <c r="G125" t="s">
        <v>105</v>
      </c>
      <c r="H125" t="s">
        <v>106</v>
      </c>
      <c r="I125" t="s">
        <v>41</v>
      </c>
      <c r="J125" t="s">
        <v>107</v>
      </c>
      <c r="K125" t="s">
        <v>40</v>
      </c>
      <c r="L125" t="s">
        <v>108</v>
      </c>
      <c r="M125" t="s">
        <v>844</v>
      </c>
      <c r="N125" t="s">
        <v>156</v>
      </c>
      <c r="O125" t="s">
        <v>113</v>
      </c>
      <c r="P125" t="s">
        <v>845</v>
      </c>
      <c r="Q125" t="s">
        <v>47</v>
      </c>
      <c r="R125" t="s">
        <v>846</v>
      </c>
      <c r="S125">
        <v>8.5500000000000007</v>
      </c>
      <c r="T125">
        <v>5465</v>
      </c>
      <c r="U125">
        <v>539.94000000000005</v>
      </c>
      <c r="V125">
        <v>6004.9400000000005</v>
      </c>
    </row>
    <row r="126" spans="1:22" x14ac:dyDescent="0.3">
      <c r="A126">
        <v>15741</v>
      </c>
      <c r="B126">
        <v>140666241</v>
      </c>
      <c r="C126" t="s">
        <v>847</v>
      </c>
      <c r="D126" t="s">
        <v>848</v>
      </c>
      <c r="E126" t="s">
        <v>154</v>
      </c>
      <c r="G126" t="s">
        <v>105</v>
      </c>
      <c r="H126" t="s">
        <v>106</v>
      </c>
      <c r="I126" t="s">
        <v>41</v>
      </c>
      <c r="J126" t="s">
        <v>107</v>
      </c>
      <c r="K126" t="s">
        <v>40</v>
      </c>
      <c r="L126" t="s">
        <v>108</v>
      </c>
      <c r="M126" t="s">
        <v>849</v>
      </c>
      <c r="N126" t="s">
        <v>156</v>
      </c>
      <c r="O126" t="s">
        <v>113</v>
      </c>
      <c r="P126" t="s">
        <v>850</v>
      </c>
      <c r="Q126" t="s">
        <v>117</v>
      </c>
      <c r="R126" t="s">
        <v>111</v>
      </c>
      <c r="S126">
        <v>18.62</v>
      </c>
      <c r="T126">
        <v>7358</v>
      </c>
      <c r="U126">
        <v>899.94</v>
      </c>
      <c r="V126">
        <v>8257.94</v>
      </c>
    </row>
    <row r="127" spans="1:22" x14ac:dyDescent="0.3">
      <c r="A127">
        <v>15741</v>
      </c>
      <c r="B127">
        <v>140667900</v>
      </c>
      <c r="C127" t="s">
        <v>851</v>
      </c>
      <c r="D127" t="s">
        <v>852</v>
      </c>
      <c r="E127" t="s">
        <v>154</v>
      </c>
      <c r="G127" t="s">
        <v>105</v>
      </c>
      <c r="H127" t="s">
        <v>106</v>
      </c>
      <c r="I127" t="s">
        <v>41</v>
      </c>
      <c r="J127" t="s">
        <v>107</v>
      </c>
      <c r="K127" t="s">
        <v>40</v>
      </c>
      <c r="L127" t="s">
        <v>108</v>
      </c>
      <c r="M127" t="s">
        <v>853</v>
      </c>
      <c r="N127" t="s">
        <v>156</v>
      </c>
      <c r="O127" t="s">
        <v>113</v>
      </c>
      <c r="P127" t="s">
        <v>854</v>
      </c>
      <c r="Q127" t="s">
        <v>50</v>
      </c>
      <c r="R127" t="s">
        <v>855</v>
      </c>
      <c r="S127">
        <v>33.090000000000003</v>
      </c>
      <c r="T127">
        <v>14444</v>
      </c>
      <c r="U127">
        <v>1979.76</v>
      </c>
      <c r="V127">
        <v>16423.759999999998</v>
      </c>
    </row>
    <row r="128" spans="1:22" x14ac:dyDescent="0.3">
      <c r="A128">
        <v>15741</v>
      </c>
      <c r="B128">
        <v>140557522</v>
      </c>
      <c r="C128" t="s">
        <v>856</v>
      </c>
      <c r="D128" t="s">
        <v>857</v>
      </c>
      <c r="E128" t="s">
        <v>154</v>
      </c>
      <c r="G128" t="s">
        <v>105</v>
      </c>
      <c r="H128" t="s">
        <v>106</v>
      </c>
      <c r="I128" t="s">
        <v>41</v>
      </c>
      <c r="J128" t="s">
        <v>107</v>
      </c>
      <c r="K128" t="s">
        <v>40</v>
      </c>
      <c r="L128" t="s">
        <v>108</v>
      </c>
      <c r="M128" t="s">
        <v>858</v>
      </c>
      <c r="N128" t="s">
        <v>156</v>
      </c>
      <c r="O128" t="s">
        <v>113</v>
      </c>
      <c r="P128" t="s">
        <v>859</v>
      </c>
      <c r="Q128" t="s">
        <v>98</v>
      </c>
      <c r="R128" t="s">
        <v>147</v>
      </c>
      <c r="S128">
        <v>4.84</v>
      </c>
      <c r="T128">
        <v>8777</v>
      </c>
      <c r="U128">
        <v>0</v>
      </c>
      <c r="V128">
        <v>8777</v>
      </c>
    </row>
    <row r="129" spans="1:22" x14ac:dyDescent="0.3">
      <c r="A129">
        <v>15741</v>
      </c>
      <c r="B129">
        <v>140595937</v>
      </c>
      <c r="C129" t="s">
        <v>860</v>
      </c>
      <c r="D129" t="s">
        <v>861</v>
      </c>
      <c r="E129" t="s">
        <v>154</v>
      </c>
      <c r="G129" t="s">
        <v>105</v>
      </c>
      <c r="H129" t="s">
        <v>106</v>
      </c>
      <c r="I129" t="s">
        <v>41</v>
      </c>
      <c r="J129" t="s">
        <v>107</v>
      </c>
      <c r="K129" t="s">
        <v>40</v>
      </c>
      <c r="L129" t="s">
        <v>108</v>
      </c>
      <c r="M129" t="s">
        <v>862</v>
      </c>
      <c r="N129" t="s">
        <v>156</v>
      </c>
      <c r="O129" t="s">
        <v>113</v>
      </c>
      <c r="P129" t="s">
        <v>863</v>
      </c>
      <c r="Q129" t="s">
        <v>56</v>
      </c>
      <c r="R129" t="s">
        <v>864</v>
      </c>
      <c r="S129">
        <v>11.4</v>
      </c>
      <c r="T129">
        <v>11761</v>
      </c>
      <c r="U129">
        <v>599.94000000000005</v>
      </c>
      <c r="V129">
        <v>12360.94</v>
      </c>
    </row>
    <row r="130" spans="1:22" x14ac:dyDescent="0.3">
      <c r="A130">
        <v>15741</v>
      </c>
      <c r="B130">
        <v>140561280</v>
      </c>
      <c r="C130" t="s">
        <v>865</v>
      </c>
      <c r="D130" t="s">
        <v>866</v>
      </c>
      <c r="E130" t="s">
        <v>154</v>
      </c>
      <c r="G130" t="s">
        <v>105</v>
      </c>
      <c r="H130" t="s">
        <v>106</v>
      </c>
      <c r="I130" t="s">
        <v>41</v>
      </c>
      <c r="J130" t="s">
        <v>107</v>
      </c>
      <c r="K130" t="s">
        <v>40</v>
      </c>
      <c r="L130" t="s">
        <v>108</v>
      </c>
      <c r="M130" t="s">
        <v>867</v>
      </c>
      <c r="N130" t="s">
        <v>156</v>
      </c>
      <c r="O130" t="s">
        <v>113</v>
      </c>
      <c r="P130" t="s">
        <v>868</v>
      </c>
      <c r="Q130" t="s">
        <v>89</v>
      </c>
      <c r="R130" t="s">
        <v>869</v>
      </c>
      <c r="S130">
        <v>8.67</v>
      </c>
      <c r="T130">
        <v>9209</v>
      </c>
      <c r="U130">
        <v>719.88</v>
      </c>
      <c r="V130">
        <v>9928.8799999999992</v>
      </c>
    </row>
    <row r="131" spans="1:22" x14ac:dyDescent="0.3">
      <c r="A131">
        <v>15741</v>
      </c>
      <c r="B131">
        <v>140342492</v>
      </c>
      <c r="C131" t="s">
        <v>870</v>
      </c>
      <c r="D131" t="s">
        <v>871</v>
      </c>
      <c r="E131" t="s">
        <v>154</v>
      </c>
      <c r="G131" t="s">
        <v>105</v>
      </c>
      <c r="H131" t="s">
        <v>106</v>
      </c>
      <c r="I131" t="s">
        <v>41</v>
      </c>
      <c r="J131" t="s">
        <v>107</v>
      </c>
      <c r="K131" t="s">
        <v>40</v>
      </c>
      <c r="L131" t="s">
        <v>108</v>
      </c>
      <c r="M131" t="s">
        <v>872</v>
      </c>
      <c r="N131" t="s">
        <v>156</v>
      </c>
      <c r="O131" t="s">
        <v>113</v>
      </c>
      <c r="P131" t="s">
        <v>873</v>
      </c>
      <c r="Q131" t="s">
        <v>42</v>
      </c>
      <c r="R131" t="s">
        <v>874</v>
      </c>
      <c r="S131">
        <v>34.67</v>
      </c>
      <c r="T131">
        <v>14916</v>
      </c>
      <c r="U131">
        <v>4799.9399999999996</v>
      </c>
      <c r="V131">
        <v>19715.939999999999</v>
      </c>
    </row>
    <row r="132" spans="1:22" x14ac:dyDescent="0.3">
      <c r="A132">
        <v>15741</v>
      </c>
      <c r="B132">
        <v>140372860</v>
      </c>
      <c r="C132" t="s">
        <v>875</v>
      </c>
      <c r="D132" t="s">
        <v>876</v>
      </c>
      <c r="E132" t="s">
        <v>154</v>
      </c>
      <c r="G132" t="s">
        <v>105</v>
      </c>
      <c r="H132" t="s">
        <v>106</v>
      </c>
      <c r="I132" t="s">
        <v>41</v>
      </c>
      <c r="J132" t="s">
        <v>107</v>
      </c>
      <c r="K132" t="s">
        <v>40</v>
      </c>
      <c r="L132" t="s">
        <v>108</v>
      </c>
      <c r="M132" t="s">
        <v>877</v>
      </c>
      <c r="N132" t="s">
        <v>156</v>
      </c>
      <c r="O132" t="s">
        <v>113</v>
      </c>
      <c r="P132" t="s">
        <v>878</v>
      </c>
      <c r="Q132" t="s">
        <v>136</v>
      </c>
      <c r="R132" t="s">
        <v>879</v>
      </c>
      <c r="S132">
        <v>24.45</v>
      </c>
      <c r="T132">
        <v>25210</v>
      </c>
      <c r="U132">
        <v>2159.7600000000002</v>
      </c>
      <c r="V132">
        <v>27369.760000000002</v>
      </c>
    </row>
    <row r="133" spans="1:22" x14ac:dyDescent="0.3">
      <c r="A133">
        <v>15741</v>
      </c>
      <c r="B133">
        <v>140347734</v>
      </c>
      <c r="C133" t="s">
        <v>880</v>
      </c>
      <c r="D133" t="s">
        <v>881</v>
      </c>
      <c r="E133" t="s">
        <v>154</v>
      </c>
      <c r="G133" t="s">
        <v>105</v>
      </c>
      <c r="H133" t="s">
        <v>106</v>
      </c>
      <c r="I133" t="s">
        <v>41</v>
      </c>
      <c r="J133" t="s">
        <v>107</v>
      </c>
      <c r="K133" t="s">
        <v>57</v>
      </c>
      <c r="L133" t="s">
        <v>133</v>
      </c>
      <c r="M133" t="s">
        <v>234</v>
      </c>
      <c r="N133" t="s">
        <v>156</v>
      </c>
      <c r="O133" t="s">
        <v>113</v>
      </c>
      <c r="P133" t="s">
        <v>882</v>
      </c>
      <c r="Q133" t="s">
        <v>89</v>
      </c>
      <c r="R133" t="s">
        <v>883</v>
      </c>
      <c r="S133">
        <v>569.24</v>
      </c>
      <c r="T133">
        <v>259098</v>
      </c>
      <c r="U133">
        <v>23603.88</v>
      </c>
      <c r="V133">
        <v>282701.88</v>
      </c>
    </row>
    <row r="134" spans="1:22" x14ac:dyDescent="0.3">
      <c r="A134">
        <v>15741</v>
      </c>
      <c r="B134">
        <v>140332143</v>
      </c>
      <c r="C134" t="s">
        <v>884</v>
      </c>
      <c r="D134" t="s">
        <v>885</v>
      </c>
      <c r="E134" t="s">
        <v>154</v>
      </c>
      <c r="G134" t="s">
        <v>105</v>
      </c>
      <c r="H134" t="s">
        <v>106</v>
      </c>
      <c r="I134" t="s">
        <v>41</v>
      </c>
      <c r="J134" t="s">
        <v>107</v>
      </c>
      <c r="K134" t="s">
        <v>40</v>
      </c>
      <c r="L134" t="s">
        <v>108</v>
      </c>
      <c r="M134" t="s">
        <v>886</v>
      </c>
      <c r="N134" t="s">
        <v>156</v>
      </c>
      <c r="O134" t="s">
        <v>113</v>
      </c>
      <c r="P134" t="s">
        <v>887</v>
      </c>
      <c r="Q134" t="s">
        <v>115</v>
      </c>
      <c r="R134" t="s">
        <v>888</v>
      </c>
      <c r="S134">
        <v>6.73</v>
      </c>
      <c r="T134">
        <v>5465</v>
      </c>
      <c r="U134">
        <v>779.58</v>
      </c>
      <c r="V134">
        <v>6244.58</v>
      </c>
    </row>
    <row r="135" spans="1:22" x14ac:dyDescent="0.3">
      <c r="A135">
        <v>15741</v>
      </c>
      <c r="B135">
        <v>140356963</v>
      </c>
      <c r="C135" t="s">
        <v>889</v>
      </c>
      <c r="D135" t="s">
        <v>890</v>
      </c>
      <c r="E135" t="s">
        <v>154</v>
      </c>
      <c r="G135" t="s">
        <v>105</v>
      </c>
      <c r="H135" t="s">
        <v>106</v>
      </c>
      <c r="I135" t="s">
        <v>41</v>
      </c>
      <c r="J135" t="s">
        <v>107</v>
      </c>
      <c r="K135" t="s">
        <v>40</v>
      </c>
      <c r="L135" t="s">
        <v>108</v>
      </c>
      <c r="M135" t="s">
        <v>891</v>
      </c>
      <c r="N135" t="s">
        <v>156</v>
      </c>
      <c r="O135" t="s">
        <v>113</v>
      </c>
      <c r="P135" t="s">
        <v>892</v>
      </c>
      <c r="Q135" t="s">
        <v>893</v>
      </c>
      <c r="R135" t="s">
        <v>894</v>
      </c>
      <c r="S135">
        <v>0.91</v>
      </c>
      <c r="T135">
        <v>6232</v>
      </c>
      <c r="U135">
        <v>0</v>
      </c>
      <c r="V135">
        <v>6232</v>
      </c>
    </row>
    <row r="136" spans="1:22" x14ac:dyDescent="0.3">
      <c r="A136">
        <v>15741</v>
      </c>
      <c r="B136">
        <v>140334681</v>
      </c>
      <c r="C136" t="s">
        <v>895</v>
      </c>
      <c r="D136" t="s">
        <v>896</v>
      </c>
      <c r="E136" t="s">
        <v>154</v>
      </c>
      <c r="G136" t="s">
        <v>105</v>
      </c>
      <c r="H136" t="s">
        <v>106</v>
      </c>
      <c r="I136" t="s">
        <v>41</v>
      </c>
      <c r="J136" t="s">
        <v>107</v>
      </c>
      <c r="K136" t="s">
        <v>40</v>
      </c>
      <c r="L136" t="s">
        <v>108</v>
      </c>
      <c r="M136" t="s">
        <v>897</v>
      </c>
      <c r="N136" t="s">
        <v>156</v>
      </c>
      <c r="O136" t="s">
        <v>113</v>
      </c>
      <c r="P136" t="s">
        <v>898</v>
      </c>
      <c r="Q136" t="s">
        <v>113</v>
      </c>
      <c r="R136" t="s">
        <v>899</v>
      </c>
      <c r="S136">
        <v>1.8</v>
      </c>
      <c r="T136">
        <v>4335</v>
      </c>
      <c r="U136">
        <v>0</v>
      </c>
      <c r="V136">
        <v>4335</v>
      </c>
    </row>
    <row r="137" spans="1:22" x14ac:dyDescent="0.3">
      <c r="A137">
        <v>15741</v>
      </c>
      <c r="B137">
        <v>140666597</v>
      </c>
      <c r="C137" t="s">
        <v>900</v>
      </c>
      <c r="D137" t="s">
        <v>901</v>
      </c>
      <c r="E137" t="s">
        <v>154</v>
      </c>
      <c r="G137" t="s">
        <v>105</v>
      </c>
      <c r="H137" t="s">
        <v>106</v>
      </c>
      <c r="I137" t="s">
        <v>41</v>
      </c>
      <c r="J137" t="s">
        <v>107</v>
      </c>
      <c r="K137" t="s">
        <v>40</v>
      </c>
      <c r="L137" t="s">
        <v>108</v>
      </c>
      <c r="M137" t="s">
        <v>902</v>
      </c>
      <c r="N137" t="s">
        <v>156</v>
      </c>
      <c r="O137" t="s">
        <v>113</v>
      </c>
      <c r="P137" t="s">
        <v>903</v>
      </c>
      <c r="Q137" t="s">
        <v>65</v>
      </c>
      <c r="R137" t="s">
        <v>904</v>
      </c>
      <c r="S137">
        <v>6.01</v>
      </c>
      <c r="T137">
        <v>10173</v>
      </c>
      <c r="U137">
        <v>0</v>
      </c>
      <c r="V137">
        <v>10173</v>
      </c>
    </row>
    <row r="138" spans="1:22" x14ac:dyDescent="0.3">
      <c r="A138">
        <v>15741</v>
      </c>
      <c r="B138">
        <v>140717421</v>
      </c>
      <c r="C138" t="s">
        <v>905</v>
      </c>
      <c r="D138" t="s">
        <v>906</v>
      </c>
      <c r="E138" t="s">
        <v>154</v>
      </c>
      <c r="G138" t="s">
        <v>105</v>
      </c>
      <c r="H138" t="s">
        <v>106</v>
      </c>
      <c r="I138" t="s">
        <v>41</v>
      </c>
      <c r="J138" t="s">
        <v>107</v>
      </c>
      <c r="K138" t="s">
        <v>40</v>
      </c>
      <c r="L138" t="s">
        <v>108</v>
      </c>
      <c r="M138" t="s">
        <v>907</v>
      </c>
      <c r="N138" t="s">
        <v>156</v>
      </c>
      <c r="O138" t="s">
        <v>113</v>
      </c>
      <c r="P138" t="s">
        <v>908</v>
      </c>
      <c r="Q138" t="s">
        <v>117</v>
      </c>
      <c r="R138" t="s">
        <v>909</v>
      </c>
      <c r="S138">
        <v>10.78</v>
      </c>
      <c r="T138">
        <v>5943</v>
      </c>
      <c r="U138">
        <v>626.94000000000005</v>
      </c>
      <c r="V138">
        <v>6569.9400000000005</v>
      </c>
    </row>
    <row r="139" spans="1:22" x14ac:dyDescent="0.3">
      <c r="A139">
        <v>15741</v>
      </c>
      <c r="B139">
        <v>140602752</v>
      </c>
      <c r="C139" t="s">
        <v>910</v>
      </c>
      <c r="D139" t="s">
        <v>911</v>
      </c>
      <c r="E139" t="s">
        <v>154</v>
      </c>
      <c r="G139" t="s">
        <v>105</v>
      </c>
      <c r="H139" t="s">
        <v>106</v>
      </c>
      <c r="I139" t="s">
        <v>41</v>
      </c>
      <c r="J139" t="s">
        <v>107</v>
      </c>
      <c r="K139" t="s">
        <v>40</v>
      </c>
      <c r="L139" t="s">
        <v>108</v>
      </c>
      <c r="M139" t="s">
        <v>912</v>
      </c>
      <c r="N139" t="s">
        <v>156</v>
      </c>
      <c r="O139" t="s">
        <v>113</v>
      </c>
      <c r="P139" t="s">
        <v>913</v>
      </c>
      <c r="Q139" t="s">
        <v>90</v>
      </c>
      <c r="R139" t="s">
        <v>914</v>
      </c>
      <c r="S139">
        <v>143.72999999999999</v>
      </c>
      <c r="T139">
        <v>57714</v>
      </c>
      <c r="U139">
        <v>5219.88</v>
      </c>
      <c r="V139">
        <v>62933.88</v>
      </c>
    </row>
    <row r="140" spans="1:22" x14ac:dyDescent="0.3">
      <c r="A140">
        <v>15741</v>
      </c>
      <c r="B140">
        <v>140667749</v>
      </c>
      <c r="C140" t="s">
        <v>915</v>
      </c>
      <c r="D140" t="s">
        <v>916</v>
      </c>
      <c r="E140" t="s">
        <v>154</v>
      </c>
      <c r="G140" t="s">
        <v>105</v>
      </c>
      <c r="H140" t="s">
        <v>106</v>
      </c>
      <c r="I140" t="s">
        <v>41</v>
      </c>
      <c r="J140" t="s">
        <v>107</v>
      </c>
      <c r="K140" t="s">
        <v>40</v>
      </c>
      <c r="L140" t="s">
        <v>108</v>
      </c>
      <c r="M140" t="s">
        <v>917</v>
      </c>
      <c r="N140" t="s">
        <v>156</v>
      </c>
      <c r="O140" t="s">
        <v>113</v>
      </c>
      <c r="P140" t="s">
        <v>918</v>
      </c>
      <c r="Q140" t="s">
        <v>42</v>
      </c>
      <c r="R140" t="s">
        <v>919</v>
      </c>
      <c r="S140">
        <v>4.78</v>
      </c>
      <c r="T140">
        <v>4718</v>
      </c>
      <c r="U140">
        <v>0</v>
      </c>
      <c r="V140">
        <v>4718</v>
      </c>
    </row>
    <row r="141" spans="1:22" x14ac:dyDescent="0.3">
      <c r="A141">
        <v>15741</v>
      </c>
      <c r="B141">
        <v>140672633</v>
      </c>
      <c r="C141" t="s">
        <v>920</v>
      </c>
      <c r="D141" t="s">
        <v>921</v>
      </c>
      <c r="E141" t="s">
        <v>154</v>
      </c>
      <c r="G141" t="s">
        <v>105</v>
      </c>
      <c r="H141" t="s">
        <v>106</v>
      </c>
      <c r="I141" t="s">
        <v>41</v>
      </c>
      <c r="J141" t="s">
        <v>107</v>
      </c>
      <c r="K141" t="s">
        <v>40</v>
      </c>
      <c r="L141" t="s">
        <v>108</v>
      </c>
      <c r="M141" t="s">
        <v>922</v>
      </c>
      <c r="N141" t="s">
        <v>156</v>
      </c>
      <c r="O141" t="s">
        <v>113</v>
      </c>
      <c r="P141" t="s">
        <v>923</v>
      </c>
      <c r="Q141" t="s">
        <v>56</v>
      </c>
      <c r="R141" t="s">
        <v>924</v>
      </c>
      <c r="S141">
        <v>55.72</v>
      </c>
      <c r="T141">
        <v>37025</v>
      </c>
      <c r="U141">
        <v>1019.94</v>
      </c>
      <c r="V141">
        <v>38044.94</v>
      </c>
    </row>
    <row r="142" spans="1:22" x14ac:dyDescent="0.3">
      <c r="A142">
        <v>15741</v>
      </c>
      <c r="B142">
        <v>140682197</v>
      </c>
      <c r="C142" t="s">
        <v>925</v>
      </c>
      <c r="D142" t="s">
        <v>926</v>
      </c>
      <c r="E142" t="s">
        <v>154</v>
      </c>
      <c r="G142" t="s">
        <v>105</v>
      </c>
      <c r="H142" t="s">
        <v>106</v>
      </c>
      <c r="I142" t="s">
        <v>41</v>
      </c>
      <c r="J142" t="s">
        <v>107</v>
      </c>
      <c r="K142" t="s">
        <v>40</v>
      </c>
      <c r="L142" t="s">
        <v>108</v>
      </c>
      <c r="M142" t="s">
        <v>927</v>
      </c>
      <c r="N142" t="s">
        <v>156</v>
      </c>
      <c r="O142" t="s">
        <v>113</v>
      </c>
      <c r="P142" t="s">
        <v>928</v>
      </c>
      <c r="Q142" t="s">
        <v>49</v>
      </c>
      <c r="R142" t="s">
        <v>929</v>
      </c>
      <c r="S142">
        <v>73.25</v>
      </c>
      <c r="T142">
        <v>31814</v>
      </c>
      <c r="U142">
        <v>1259.94</v>
      </c>
      <c r="V142">
        <v>33073.94</v>
      </c>
    </row>
    <row r="143" spans="1:22" x14ac:dyDescent="0.3">
      <c r="A143">
        <v>15741</v>
      </c>
      <c r="B143">
        <v>140666698</v>
      </c>
      <c r="C143" t="s">
        <v>930</v>
      </c>
      <c r="D143" t="s">
        <v>931</v>
      </c>
      <c r="E143" t="s">
        <v>154</v>
      </c>
      <c r="G143" t="s">
        <v>105</v>
      </c>
      <c r="H143" t="s">
        <v>106</v>
      </c>
      <c r="I143" t="s">
        <v>41</v>
      </c>
      <c r="J143" t="s">
        <v>107</v>
      </c>
      <c r="K143" t="s">
        <v>40</v>
      </c>
      <c r="L143" t="s">
        <v>108</v>
      </c>
      <c r="M143" t="s">
        <v>932</v>
      </c>
      <c r="N143" t="s">
        <v>156</v>
      </c>
      <c r="O143" t="s">
        <v>113</v>
      </c>
      <c r="P143" t="s">
        <v>933</v>
      </c>
      <c r="Q143" t="s">
        <v>76</v>
      </c>
      <c r="R143" t="s">
        <v>207</v>
      </c>
      <c r="S143">
        <v>17.07</v>
      </c>
      <c r="T143">
        <v>14364</v>
      </c>
      <c r="U143">
        <v>1019.88</v>
      </c>
      <c r="V143">
        <v>15383.88</v>
      </c>
    </row>
    <row r="144" spans="1:22" x14ac:dyDescent="0.3">
      <c r="A144">
        <v>15741</v>
      </c>
      <c r="B144">
        <v>140323646</v>
      </c>
      <c r="C144" t="s">
        <v>934</v>
      </c>
      <c r="D144" t="s">
        <v>935</v>
      </c>
      <c r="E144" t="s">
        <v>154</v>
      </c>
      <c r="G144" t="s">
        <v>105</v>
      </c>
      <c r="H144" t="s">
        <v>106</v>
      </c>
      <c r="I144" t="s">
        <v>41</v>
      </c>
      <c r="J144" t="s">
        <v>107</v>
      </c>
      <c r="K144" t="s">
        <v>40</v>
      </c>
      <c r="L144" t="s">
        <v>108</v>
      </c>
      <c r="M144" t="s">
        <v>936</v>
      </c>
      <c r="N144" t="s">
        <v>156</v>
      </c>
      <c r="O144" t="s">
        <v>113</v>
      </c>
      <c r="P144" t="s">
        <v>937</v>
      </c>
      <c r="Q144" t="s">
        <v>47</v>
      </c>
      <c r="R144" t="s">
        <v>938</v>
      </c>
      <c r="S144">
        <v>11.66</v>
      </c>
      <c r="T144">
        <v>5943</v>
      </c>
      <c r="U144">
        <v>539.94000000000005</v>
      </c>
      <c r="V144">
        <v>6482.9400000000005</v>
      </c>
    </row>
    <row r="145" spans="1:22" x14ac:dyDescent="0.3">
      <c r="A145">
        <v>15741</v>
      </c>
      <c r="B145">
        <v>140339022</v>
      </c>
      <c r="C145" t="s">
        <v>939</v>
      </c>
      <c r="D145" t="s">
        <v>940</v>
      </c>
      <c r="E145" t="s">
        <v>154</v>
      </c>
      <c r="G145" t="s">
        <v>105</v>
      </c>
      <c r="H145" t="s">
        <v>106</v>
      </c>
      <c r="I145" t="s">
        <v>41</v>
      </c>
      <c r="J145" t="s">
        <v>107</v>
      </c>
      <c r="K145" t="s">
        <v>40</v>
      </c>
      <c r="L145" t="s">
        <v>108</v>
      </c>
      <c r="M145" t="s">
        <v>941</v>
      </c>
      <c r="N145" t="s">
        <v>156</v>
      </c>
      <c r="O145" t="s">
        <v>113</v>
      </c>
      <c r="P145" t="s">
        <v>942</v>
      </c>
      <c r="Q145" t="s">
        <v>119</v>
      </c>
      <c r="R145" t="s">
        <v>118</v>
      </c>
      <c r="S145">
        <v>26.46</v>
      </c>
      <c r="T145">
        <v>11136</v>
      </c>
      <c r="U145">
        <v>0</v>
      </c>
      <c r="V145">
        <v>11136</v>
      </c>
    </row>
    <row r="146" spans="1:22" x14ac:dyDescent="0.3">
      <c r="A146">
        <v>15741</v>
      </c>
      <c r="B146">
        <v>140342255</v>
      </c>
      <c r="C146" t="s">
        <v>943</v>
      </c>
      <c r="D146" t="s">
        <v>944</v>
      </c>
      <c r="E146" t="s">
        <v>154</v>
      </c>
      <c r="G146" t="s">
        <v>105</v>
      </c>
      <c r="H146" t="s">
        <v>106</v>
      </c>
      <c r="I146" t="s">
        <v>41</v>
      </c>
      <c r="J146" t="s">
        <v>107</v>
      </c>
      <c r="K146" t="s">
        <v>40</v>
      </c>
      <c r="L146" t="s">
        <v>108</v>
      </c>
      <c r="M146" t="s">
        <v>945</v>
      </c>
      <c r="N146" t="s">
        <v>156</v>
      </c>
      <c r="O146" t="s">
        <v>113</v>
      </c>
      <c r="P146" t="s">
        <v>946</v>
      </c>
      <c r="Q146" t="s">
        <v>82</v>
      </c>
      <c r="R146" t="s">
        <v>947</v>
      </c>
      <c r="S146">
        <v>21.77</v>
      </c>
      <c r="T146">
        <v>8777</v>
      </c>
      <c r="U146">
        <v>1799.82</v>
      </c>
      <c r="V146">
        <v>10576.82</v>
      </c>
    </row>
    <row r="147" spans="1:22" x14ac:dyDescent="0.3">
      <c r="A147">
        <v>15741</v>
      </c>
      <c r="B147">
        <v>140316391</v>
      </c>
      <c r="C147" t="s">
        <v>948</v>
      </c>
      <c r="D147" t="s">
        <v>949</v>
      </c>
      <c r="E147" t="s">
        <v>154</v>
      </c>
      <c r="G147" t="s">
        <v>105</v>
      </c>
      <c r="H147" t="s">
        <v>106</v>
      </c>
      <c r="I147" t="s">
        <v>41</v>
      </c>
      <c r="J147" t="s">
        <v>107</v>
      </c>
      <c r="K147" t="s">
        <v>40</v>
      </c>
      <c r="L147" t="s">
        <v>108</v>
      </c>
      <c r="M147" t="s">
        <v>950</v>
      </c>
      <c r="N147" t="s">
        <v>156</v>
      </c>
      <c r="O147" t="s">
        <v>113</v>
      </c>
      <c r="P147" t="s">
        <v>951</v>
      </c>
      <c r="Q147" t="s">
        <v>66</v>
      </c>
      <c r="R147" t="s">
        <v>952</v>
      </c>
      <c r="S147">
        <v>2.5</v>
      </c>
      <c r="T147">
        <v>8263</v>
      </c>
      <c r="U147">
        <v>600</v>
      </c>
      <c r="V147">
        <v>8863</v>
      </c>
    </row>
    <row r="148" spans="1:22" x14ac:dyDescent="0.3">
      <c r="A148">
        <v>15741</v>
      </c>
      <c r="B148">
        <v>140352846</v>
      </c>
      <c r="C148" t="s">
        <v>953</v>
      </c>
      <c r="D148" t="s">
        <v>954</v>
      </c>
      <c r="E148" t="s">
        <v>154</v>
      </c>
      <c r="G148" t="s">
        <v>105</v>
      </c>
      <c r="H148" t="s">
        <v>106</v>
      </c>
      <c r="I148" t="s">
        <v>41</v>
      </c>
      <c r="J148" t="s">
        <v>107</v>
      </c>
      <c r="K148" t="s">
        <v>40</v>
      </c>
      <c r="L148" t="s">
        <v>108</v>
      </c>
      <c r="M148" t="s">
        <v>955</v>
      </c>
      <c r="N148" t="s">
        <v>156</v>
      </c>
      <c r="O148" t="s">
        <v>113</v>
      </c>
      <c r="P148" t="s">
        <v>956</v>
      </c>
      <c r="Q148" t="s">
        <v>87</v>
      </c>
      <c r="R148" t="s">
        <v>957</v>
      </c>
      <c r="S148">
        <v>83.03</v>
      </c>
      <c r="T148">
        <v>60834</v>
      </c>
      <c r="U148">
        <v>1019.94</v>
      </c>
      <c r="V148">
        <v>61853.94</v>
      </c>
    </row>
    <row r="149" spans="1:22" x14ac:dyDescent="0.3">
      <c r="A149">
        <v>15741</v>
      </c>
      <c r="B149">
        <v>140342195</v>
      </c>
      <c r="C149" t="s">
        <v>958</v>
      </c>
      <c r="D149" t="s">
        <v>959</v>
      </c>
      <c r="E149" t="s">
        <v>154</v>
      </c>
      <c r="G149" t="s">
        <v>105</v>
      </c>
      <c r="H149" t="s">
        <v>106</v>
      </c>
      <c r="I149" t="s">
        <v>41</v>
      </c>
      <c r="J149" t="s">
        <v>107</v>
      </c>
      <c r="K149" t="s">
        <v>40</v>
      </c>
      <c r="L149" t="s">
        <v>108</v>
      </c>
      <c r="M149" t="s">
        <v>960</v>
      </c>
      <c r="N149" t="s">
        <v>156</v>
      </c>
      <c r="O149" t="s">
        <v>113</v>
      </c>
      <c r="P149" t="s">
        <v>961</v>
      </c>
      <c r="Q149" t="s">
        <v>95</v>
      </c>
      <c r="R149" t="s">
        <v>962</v>
      </c>
      <c r="S149">
        <v>39.56</v>
      </c>
      <c r="T149">
        <v>17278</v>
      </c>
      <c r="U149">
        <v>539.82000000000005</v>
      </c>
      <c r="V149">
        <v>17817.82</v>
      </c>
    </row>
    <row r="150" spans="1:22" x14ac:dyDescent="0.3">
      <c r="A150">
        <v>15741</v>
      </c>
      <c r="B150">
        <v>140285464</v>
      </c>
      <c r="C150" t="s">
        <v>963</v>
      </c>
      <c r="D150" t="s">
        <v>964</v>
      </c>
      <c r="E150" t="s">
        <v>154</v>
      </c>
      <c r="G150" t="s">
        <v>105</v>
      </c>
      <c r="H150" t="s">
        <v>106</v>
      </c>
      <c r="I150" t="s">
        <v>41</v>
      </c>
      <c r="J150" t="s">
        <v>107</v>
      </c>
      <c r="K150" t="s">
        <v>40</v>
      </c>
      <c r="L150" t="s">
        <v>108</v>
      </c>
      <c r="M150" t="s">
        <v>965</v>
      </c>
      <c r="N150" t="s">
        <v>156</v>
      </c>
      <c r="O150" t="s">
        <v>113</v>
      </c>
      <c r="P150" t="s">
        <v>966</v>
      </c>
      <c r="Q150" t="s">
        <v>82</v>
      </c>
      <c r="R150" t="s">
        <v>967</v>
      </c>
      <c r="S150">
        <v>6.09</v>
      </c>
      <c r="T150">
        <v>5465</v>
      </c>
      <c r="U150">
        <v>0</v>
      </c>
      <c r="V150">
        <v>5465</v>
      </c>
    </row>
    <row r="151" spans="1:22" x14ac:dyDescent="0.3">
      <c r="A151">
        <v>15741</v>
      </c>
      <c r="B151">
        <v>140482018</v>
      </c>
      <c r="C151" t="s">
        <v>968</v>
      </c>
      <c r="D151" t="s">
        <v>969</v>
      </c>
      <c r="E151" t="s">
        <v>154</v>
      </c>
      <c r="G151" t="s">
        <v>105</v>
      </c>
      <c r="H151" t="s">
        <v>106</v>
      </c>
      <c r="I151" t="s">
        <v>41</v>
      </c>
      <c r="J151" t="s">
        <v>107</v>
      </c>
      <c r="K151" t="s">
        <v>40</v>
      </c>
      <c r="L151" t="s">
        <v>108</v>
      </c>
      <c r="M151" t="s">
        <v>970</v>
      </c>
      <c r="N151" t="s">
        <v>156</v>
      </c>
      <c r="O151" t="s">
        <v>113</v>
      </c>
      <c r="P151" t="s">
        <v>971</v>
      </c>
      <c r="Q151" t="s">
        <v>47</v>
      </c>
      <c r="R151" t="s">
        <v>972</v>
      </c>
      <c r="S151">
        <v>3.98</v>
      </c>
      <c r="T151">
        <v>4718</v>
      </c>
      <c r="U151">
        <v>629.58000000000004</v>
      </c>
      <c r="V151">
        <v>5347.58</v>
      </c>
    </row>
    <row r="152" spans="1:22" x14ac:dyDescent="0.3">
      <c r="A152">
        <v>15741</v>
      </c>
      <c r="B152">
        <v>140523196</v>
      </c>
      <c r="C152" t="s">
        <v>973</v>
      </c>
      <c r="D152" t="s">
        <v>974</v>
      </c>
      <c r="E152" t="s">
        <v>154</v>
      </c>
      <c r="G152" t="s">
        <v>105</v>
      </c>
      <c r="H152" t="s">
        <v>106</v>
      </c>
      <c r="I152" t="s">
        <v>41</v>
      </c>
      <c r="J152" t="s">
        <v>107</v>
      </c>
      <c r="K152" t="s">
        <v>40</v>
      </c>
      <c r="L152" t="s">
        <v>108</v>
      </c>
      <c r="M152" t="s">
        <v>975</v>
      </c>
      <c r="N152" t="s">
        <v>156</v>
      </c>
      <c r="O152" t="s">
        <v>113</v>
      </c>
      <c r="P152" t="s">
        <v>976</v>
      </c>
      <c r="Q152" t="s">
        <v>128</v>
      </c>
      <c r="R152" t="s">
        <v>977</v>
      </c>
      <c r="S152">
        <v>5.99</v>
      </c>
      <c r="T152">
        <v>8777</v>
      </c>
      <c r="U152">
        <v>0</v>
      </c>
      <c r="V152">
        <v>8777</v>
      </c>
    </row>
    <row r="153" spans="1:22" x14ac:dyDescent="0.3">
      <c r="A153">
        <v>15741</v>
      </c>
      <c r="B153">
        <v>140462531</v>
      </c>
      <c r="C153" t="s">
        <v>978</v>
      </c>
      <c r="D153" t="s">
        <v>979</v>
      </c>
      <c r="E153" t="s">
        <v>154</v>
      </c>
      <c r="G153" t="s">
        <v>105</v>
      </c>
      <c r="H153" t="s">
        <v>106</v>
      </c>
      <c r="I153" t="s">
        <v>41</v>
      </c>
      <c r="J153" t="s">
        <v>107</v>
      </c>
      <c r="K153" t="s">
        <v>40</v>
      </c>
      <c r="L153" t="s">
        <v>108</v>
      </c>
      <c r="M153" t="s">
        <v>980</v>
      </c>
      <c r="N153" t="s">
        <v>156</v>
      </c>
      <c r="O153" t="s">
        <v>113</v>
      </c>
      <c r="P153" t="s">
        <v>981</v>
      </c>
      <c r="Q153" t="s">
        <v>43</v>
      </c>
      <c r="R153" t="s">
        <v>982</v>
      </c>
      <c r="S153">
        <v>12.1</v>
      </c>
      <c r="T153">
        <v>5943</v>
      </c>
      <c r="U153">
        <v>0</v>
      </c>
      <c r="V153">
        <v>5943</v>
      </c>
    </row>
    <row r="154" spans="1:22" x14ac:dyDescent="0.3">
      <c r="A154">
        <v>15741</v>
      </c>
      <c r="B154">
        <v>140496610</v>
      </c>
      <c r="C154" t="s">
        <v>983</v>
      </c>
      <c r="D154" t="s">
        <v>984</v>
      </c>
      <c r="E154" t="s">
        <v>154</v>
      </c>
      <c r="G154" t="s">
        <v>105</v>
      </c>
      <c r="H154" t="s">
        <v>106</v>
      </c>
      <c r="I154" t="s">
        <v>41</v>
      </c>
      <c r="J154" t="s">
        <v>107</v>
      </c>
      <c r="K154" t="s">
        <v>40</v>
      </c>
      <c r="L154" t="s">
        <v>108</v>
      </c>
      <c r="M154" t="s">
        <v>985</v>
      </c>
      <c r="N154" t="s">
        <v>156</v>
      </c>
      <c r="O154" t="s">
        <v>113</v>
      </c>
      <c r="P154" t="s">
        <v>986</v>
      </c>
      <c r="Q154" t="s">
        <v>104</v>
      </c>
      <c r="R154" t="s">
        <v>987</v>
      </c>
      <c r="S154">
        <v>13.7</v>
      </c>
      <c r="T154">
        <v>13253</v>
      </c>
      <c r="U154">
        <v>779.94</v>
      </c>
      <c r="V154">
        <v>14032.94</v>
      </c>
    </row>
    <row r="155" spans="1:22" x14ac:dyDescent="0.3">
      <c r="A155">
        <v>15741</v>
      </c>
      <c r="B155">
        <v>140507473</v>
      </c>
      <c r="C155" t="s">
        <v>988</v>
      </c>
      <c r="D155" t="s">
        <v>989</v>
      </c>
      <c r="E155" t="s">
        <v>154</v>
      </c>
      <c r="G155" t="s">
        <v>105</v>
      </c>
      <c r="H155" t="s">
        <v>106</v>
      </c>
      <c r="I155" t="s">
        <v>41</v>
      </c>
      <c r="J155" t="s">
        <v>107</v>
      </c>
      <c r="K155" t="s">
        <v>40</v>
      </c>
      <c r="L155" t="s">
        <v>108</v>
      </c>
      <c r="M155" t="s">
        <v>990</v>
      </c>
      <c r="N155" t="s">
        <v>156</v>
      </c>
      <c r="O155" t="s">
        <v>113</v>
      </c>
      <c r="P155" t="s">
        <v>991</v>
      </c>
      <c r="Q155" t="s">
        <v>49</v>
      </c>
      <c r="R155" t="s">
        <v>992</v>
      </c>
      <c r="S155">
        <v>9.32</v>
      </c>
      <c r="T155">
        <v>5465</v>
      </c>
      <c r="U155">
        <v>0</v>
      </c>
      <c r="V155">
        <v>5465</v>
      </c>
    </row>
    <row r="156" spans="1:22" x14ac:dyDescent="0.3">
      <c r="A156">
        <v>15741</v>
      </c>
      <c r="B156">
        <v>140378157</v>
      </c>
      <c r="C156" t="s">
        <v>993</v>
      </c>
      <c r="D156" t="s">
        <v>994</v>
      </c>
      <c r="E156" t="s">
        <v>154</v>
      </c>
      <c r="G156" t="s">
        <v>105</v>
      </c>
      <c r="H156" t="s">
        <v>106</v>
      </c>
      <c r="I156" t="s">
        <v>41</v>
      </c>
      <c r="J156" t="s">
        <v>107</v>
      </c>
      <c r="K156" t="s">
        <v>40</v>
      </c>
      <c r="L156" t="s">
        <v>108</v>
      </c>
      <c r="M156" t="s">
        <v>995</v>
      </c>
      <c r="N156" t="s">
        <v>156</v>
      </c>
      <c r="O156" t="s">
        <v>113</v>
      </c>
      <c r="P156" t="s">
        <v>996</v>
      </c>
      <c r="Q156" t="s">
        <v>74</v>
      </c>
      <c r="R156" t="s">
        <v>997</v>
      </c>
      <c r="S156">
        <v>9.2799999999999994</v>
      </c>
      <c r="T156">
        <v>5465</v>
      </c>
      <c r="U156">
        <v>0</v>
      </c>
      <c r="V156">
        <v>5465</v>
      </c>
    </row>
    <row r="157" spans="1:22" x14ac:dyDescent="0.3">
      <c r="A157">
        <v>15741</v>
      </c>
      <c r="B157">
        <v>140440519</v>
      </c>
      <c r="C157" t="s">
        <v>998</v>
      </c>
      <c r="D157" t="s">
        <v>999</v>
      </c>
      <c r="E157" t="s">
        <v>154</v>
      </c>
      <c r="G157" t="s">
        <v>105</v>
      </c>
      <c r="H157" t="s">
        <v>106</v>
      </c>
      <c r="I157" t="s">
        <v>41</v>
      </c>
      <c r="J157" t="s">
        <v>107</v>
      </c>
      <c r="K157" t="s">
        <v>40</v>
      </c>
      <c r="L157" t="s">
        <v>108</v>
      </c>
      <c r="M157" t="s">
        <v>1000</v>
      </c>
      <c r="N157" t="s">
        <v>156</v>
      </c>
      <c r="O157" t="s">
        <v>113</v>
      </c>
      <c r="P157" t="s">
        <v>1001</v>
      </c>
      <c r="Q157" t="s">
        <v>81</v>
      </c>
      <c r="R157" t="s">
        <v>1002</v>
      </c>
      <c r="S157">
        <v>8.5399999999999991</v>
      </c>
      <c r="T157">
        <v>11856</v>
      </c>
      <c r="U157">
        <v>599.94000000000005</v>
      </c>
      <c r="V157">
        <v>12455.94</v>
      </c>
    </row>
    <row r="158" spans="1:22" x14ac:dyDescent="0.3">
      <c r="A158">
        <v>15741</v>
      </c>
      <c r="B158">
        <v>140439106</v>
      </c>
      <c r="C158" t="s">
        <v>1003</v>
      </c>
      <c r="D158" t="s">
        <v>1004</v>
      </c>
      <c r="E158" t="s">
        <v>154</v>
      </c>
      <c r="G158" t="s">
        <v>105</v>
      </c>
      <c r="H158" t="s">
        <v>106</v>
      </c>
      <c r="I158" t="s">
        <v>41</v>
      </c>
      <c r="J158" t="s">
        <v>107</v>
      </c>
      <c r="K158" t="s">
        <v>40</v>
      </c>
      <c r="L158" t="s">
        <v>108</v>
      </c>
      <c r="M158" t="s">
        <v>1005</v>
      </c>
      <c r="N158" t="s">
        <v>156</v>
      </c>
      <c r="O158" t="s">
        <v>113</v>
      </c>
      <c r="P158" t="s">
        <v>1006</v>
      </c>
      <c r="Q158" t="s">
        <v>92</v>
      </c>
      <c r="R158" t="s">
        <v>1007</v>
      </c>
      <c r="S158">
        <v>20.350000000000001</v>
      </c>
      <c r="T158">
        <v>17482</v>
      </c>
      <c r="U158">
        <v>1439.94</v>
      </c>
      <c r="V158">
        <v>18921.939999999999</v>
      </c>
    </row>
    <row r="159" spans="1:22" x14ac:dyDescent="0.3">
      <c r="A159">
        <v>15741</v>
      </c>
      <c r="B159">
        <v>140383002</v>
      </c>
      <c r="C159" t="s">
        <v>1008</v>
      </c>
      <c r="D159" t="s">
        <v>1009</v>
      </c>
      <c r="E159" t="s">
        <v>154</v>
      </c>
      <c r="G159" t="s">
        <v>105</v>
      </c>
      <c r="H159" t="s">
        <v>106</v>
      </c>
      <c r="I159" t="s">
        <v>41</v>
      </c>
      <c r="J159" t="s">
        <v>107</v>
      </c>
      <c r="K159" t="s">
        <v>40</v>
      </c>
      <c r="L159" t="s">
        <v>108</v>
      </c>
      <c r="M159" t="s">
        <v>1010</v>
      </c>
      <c r="N159" t="s">
        <v>156</v>
      </c>
      <c r="O159" t="s">
        <v>113</v>
      </c>
      <c r="P159" t="s">
        <v>1011</v>
      </c>
      <c r="Q159" t="s">
        <v>50</v>
      </c>
      <c r="R159" t="s">
        <v>1012</v>
      </c>
      <c r="S159">
        <v>8.86</v>
      </c>
      <c r="T159">
        <v>5465</v>
      </c>
      <c r="U159">
        <v>0</v>
      </c>
      <c r="V159">
        <v>5465</v>
      </c>
    </row>
    <row r="160" spans="1:22" x14ac:dyDescent="0.3">
      <c r="A160">
        <v>15741</v>
      </c>
      <c r="B160">
        <v>140440703</v>
      </c>
      <c r="C160" t="s">
        <v>1013</v>
      </c>
      <c r="D160" t="s">
        <v>1014</v>
      </c>
      <c r="E160" t="s">
        <v>154</v>
      </c>
      <c r="G160" t="s">
        <v>105</v>
      </c>
      <c r="H160" t="s">
        <v>106</v>
      </c>
      <c r="I160" t="s">
        <v>41</v>
      </c>
      <c r="J160" t="s">
        <v>107</v>
      </c>
      <c r="K160" t="s">
        <v>40</v>
      </c>
      <c r="L160" t="s">
        <v>108</v>
      </c>
      <c r="M160" t="s">
        <v>1000</v>
      </c>
      <c r="N160" t="s">
        <v>156</v>
      </c>
      <c r="O160" t="s">
        <v>113</v>
      </c>
      <c r="P160" t="s">
        <v>1001</v>
      </c>
      <c r="Q160" t="s">
        <v>81</v>
      </c>
      <c r="R160" t="s">
        <v>1015</v>
      </c>
      <c r="S160">
        <v>18.010000000000002</v>
      </c>
      <c r="T160">
        <v>15901</v>
      </c>
      <c r="U160">
        <v>1739.82</v>
      </c>
      <c r="V160">
        <v>17640.82</v>
      </c>
    </row>
    <row r="161" spans="1:22" x14ac:dyDescent="0.3">
      <c r="A161">
        <v>15741</v>
      </c>
      <c r="B161">
        <v>140303211</v>
      </c>
      <c r="C161" t="s">
        <v>1016</v>
      </c>
      <c r="D161" t="s">
        <v>1017</v>
      </c>
      <c r="E161" t="s">
        <v>154</v>
      </c>
      <c r="G161" t="s">
        <v>105</v>
      </c>
      <c r="H161" t="s">
        <v>106</v>
      </c>
      <c r="I161" t="s">
        <v>41</v>
      </c>
      <c r="J161" t="s">
        <v>107</v>
      </c>
      <c r="K161" t="s">
        <v>40</v>
      </c>
      <c r="L161" t="s">
        <v>108</v>
      </c>
      <c r="M161" t="s">
        <v>1018</v>
      </c>
      <c r="N161" t="s">
        <v>156</v>
      </c>
      <c r="O161" t="s">
        <v>113</v>
      </c>
      <c r="P161" t="s">
        <v>1019</v>
      </c>
      <c r="Q161" t="s">
        <v>82</v>
      </c>
      <c r="R161" t="s">
        <v>1020</v>
      </c>
      <c r="S161">
        <v>11.47</v>
      </c>
      <c r="T161">
        <v>5943</v>
      </c>
      <c r="U161">
        <v>659.94</v>
      </c>
      <c r="V161">
        <v>6602.9400000000005</v>
      </c>
    </row>
    <row r="162" spans="1:22" x14ac:dyDescent="0.3">
      <c r="A162">
        <v>15741</v>
      </c>
      <c r="B162">
        <v>140258626</v>
      </c>
      <c r="C162" t="s">
        <v>1021</v>
      </c>
      <c r="D162" t="s">
        <v>1022</v>
      </c>
      <c r="E162" t="s">
        <v>154</v>
      </c>
      <c r="G162" t="s">
        <v>105</v>
      </c>
      <c r="H162" t="s">
        <v>106</v>
      </c>
      <c r="I162" t="s">
        <v>41</v>
      </c>
      <c r="J162" t="s">
        <v>107</v>
      </c>
      <c r="K162" t="s">
        <v>40</v>
      </c>
      <c r="L162" t="s">
        <v>108</v>
      </c>
      <c r="M162" t="s">
        <v>1023</v>
      </c>
      <c r="N162" t="s">
        <v>156</v>
      </c>
      <c r="O162" t="s">
        <v>113</v>
      </c>
      <c r="P162" t="s">
        <v>1024</v>
      </c>
      <c r="Q162" t="s">
        <v>84</v>
      </c>
      <c r="R162" t="s">
        <v>1025</v>
      </c>
      <c r="S162">
        <v>8.92</v>
      </c>
      <c r="T162">
        <v>10262</v>
      </c>
      <c r="U162">
        <v>0</v>
      </c>
      <c r="V162">
        <v>10262</v>
      </c>
    </row>
    <row r="163" spans="1:22" x14ac:dyDescent="0.3">
      <c r="A163">
        <v>15741</v>
      </c>
      <c r="B163">
        <v>140243881</v>
      </c>
      <c r="C163" t="s">
        <v>1026</v>
      </c>
      <c r="D163" t="s">
        <v>1027</v>
      </c>
      <c r="E163" t="s">
        <v>154</v>
      </c>
      <c r="G163" t="s">
        <v>105</v>
      </c>
      <c r="H163" t="s">
        <v>106</v>
      </c>
      <c r="I163" t="s">
        <v>41</v>
      </c>
      <c r="J163" t="s">
        <v>107</v>
      </c>
      <c r="K163" t="s">
        <v>40</v>
      </c>
      <c r="L163" t="s">
        <v>108</v>
      </c>
      <c r="M163" t="s">
        <v>1028</v>
      </c>
      <c r="N163" t="s">
        <v>156</v>
      </c>
      <c r="O163" t="s">
        <v>113</v>
      </c>
      <c r="P163" t="s">
        <v>1029</v>
      </c>
      <c r="Q163" t="s">
        <v>96</v>
      </c>
      <c r="R163" t="s">
        <v>1030</v>
      </c>
      <c r="S163">
        <v>20.47</v>
      </c>
      <c r="T163">
        <v>15903</v>
      </c>
      <c r="U163">
        <v>1439.94</v>
      </c>
      <c r="V163">
        <v>17342.939999999999</v>
      </c>
    </row>
    <row r="164" spans="1:22" x14ac:dyDescent="0.3">
      <c r="A164">
        <v>15741</v>
      </c>
      <c r="B164">
        <v>140194153</v>
      </c>
      <c r="C164" t="s">
        <v>1031</v>
      </c>
      <c r="D164" t="s">
        <v>1032</v>
      </c>
      <c r="E164" t="s">
        <v>154</v>
      </c>
      <c r="G164" t="s">
        <v>105</v>
      </c>
      <c r="H164" t="s">
        <v>106</v>
      </c>
      <c r="I164" t="s">
        <v>41</v>
      </c>
      <c r="J164" t="s">
        <v>107</v>
      </c>
      <c r="K164" t="s">
        <v>40</v>
      </c>
      <c r="L164" t="s">
        <v>108</v>
      </c>
      <c r="M164" t="s">
        <v>1033</v>
      </c>
      <c r="N164" t="s">
        <v>156</v>
      </c>
      <c r="O164" t="s">
        <v>113</v>
      </c>
      <c r="P164" t="s">
        <v>1034</v>
      </c>
      <c r="Q164" t="s">
        <v>82</v>
      </c>
      <c r="R164" t="s">
        <v>1035</v>
      </c>
      <c r="S164">
        <v>17.940000000000001</v>
      </c>
      <c r="T164">
        <v>6887</v>
      </c>
      <c r="U164">
        <v>599.88</v>
      </c>
      <c r="V164">
        <v>7486.88</v>
      </c>
    </row>
    <row r="165" spans="1:22" x14ac:dyDescent="0.3">
      <c r="A165">
        <v>15741</v>
      </c>
      <c r="B165">
        <v>140303063</v>
      </c>
      <c r="C165" t="s">
        <v>1036</v>
      </c>
      <c r="D165" t="s">
        <v>1037</v>
      </c>
      <c r="E165" t="s">
        <v>154</v>
      </c>
      <c r="G165" t="s">
        <v>105</v>
      </c>
      <c r="H165" t="s">
        <v>106</v>
      </c>
      <c r="I165" t="s">
        <v>41</v>
      </c>
      <c r="J165" t="s">
        <v>107</v>
      </c>
      <c r="K165" t="s">
        <v>40</v>
      </c>
      <c r="L165" t="s">
        <v>108</v>
      </c>
      <c r="M165" t="s">
        <v>1038</v>
      </c>
      <c r="N165" t="s">
        <v>156</v>
      </c>
      <c r="O165" t="s">
        <v>113</v>
      </c>
      <c r="P165" t="s">
        <v>1039</v>
      </c>
      <c r="Q165" t="s">
        <v>49</v>
      </c>
      <c r="R165" t="s">
        <v>1040</v>
      </c>
      <c r="S165">
        <v>204.12</v>
      </c>
      <c r="T165">
        <v>78881</v>
      </c>
      <c r="U165">
        <v>32999.94</v>
      </c>
      <c r="V165">
        <v>111880.94</v>
      </c>
    </row>
    <row r="166" spans="1:22" x14ac:dyDescent="0.3">
      <c r="A166">
        <v>15741</v>
      </c>
      <c r="B166">
        <v>140439854</v>
      </c>
      <c r="C166" t="s">
        <v>1041</v>
      </c>
      <c r="D166" t="s">
        <v>1042</v>
      </c>
      <c r="E166" t="s">
        <v>154</v>
      </c>
      <c r="G166" t="s">
        <v>105</v>
      </c>
      <c r="H166" t="s">
        <v>106</v>
      </c>
      <c r="I166" t="s">
        <v>41</v>
      </c>
      <c r="J166" t="s">
        <v>107</v>
      </c>
      <c r="K166" t="s">
        <v>40</v>
      </c>
      <c r="L166" t="s">
        <v>108</v>
      </c>
      <c r="M166" t="s">
        <v>1043</v>
      </c>
      <c r="N166" t="s">
        <v>156</v>
      </c>
      <c r="O166" t="s">
        <v>113</v>
      </c>
      <c r="P166" t="s">
        <v>1044</v>
      </c>
      <c r="Q166" t="s">
        <v>42</v>
      </c>
      <c r="R166" t="s">
        <v>440</v>
      </c>
      <c r="S166">
        <v>10.35</v>
      </c>
      <c r="T166">
        <v>5943</v>
      </c>
      <c r="U166">
        <v>0</v>
      </c>
      <c r="V166">
        <v>5943</v>
      </c>
    </row>
    <row r="167" spans="1:22" x14ac:dyDescent="0.3">
      <c r="A167">
        <v>15741</v>
      </c>
      <c r="B167">
        <v>140447593</v>
      </c>
      <c r="C167" t="s">
        <v>1045</v>
      </c>
      <c r="D167" t="s">
        <v>1046</v>
      </c>
      <c r="E167" t="s">
        <v>154</v>
      </c>
      <c r="G167" t="s">
        <v>105</v>
      </c>
      <c r="H167" t="s">
        <v>106</v>
      </c>
      <c r="I167" t="s">
        <v>41</v>
      </c>
      <c r="J167" t="s">
        <v>107</v>
      </c>
      <c r="K167" t="s">
        <v>40</v>
      </c>
      <c r="L167" t="s">
        <v>108</v>
      </c>
      <c r="M167" t="s">
        <v>1047</v>
      </c>
      <c r="N167" t="s">
        <v>156</v>
      </c>
      <c r="O167" t="s">
        <v>113</v>
      </c>
      <c r="P167" t="s">
        <v>1048</v>
      </c>
      <c r="Q167" t="s">
        <v>65</v>
      </c>
      <c r="R167" t="s">
        <v>149</v>
      </c>
      <c r="S167">
        <v>40.840000000000003</v>
      </c>
      <c r="T167">
        <v>31335</v>
      </c>
      <c r="U167">
        <v>3419.64</v>
      </c>
      <c r="V167">
        <v>34754.639999999999</v>
      </c>
    </row>
    <row r="168" spans="1:22" x14ac:dyDescent="0.3">
      <c r="A168">
        <v>15741</v>
      </c>
      <c r="B168">
        <v>140459716</v>
      </c>
      <c r="C168" t="s">
        <v>1049</v>
      </c>
      <c r="D168" t="s">
        <v>1050</v>
      </c>
      <c r="E168" t="s">
        <v>154</v>
      </c>
      <c r="G168" t="s">
        <v>105</v>
      </c>
      <c r="H168" t="s">
        <v>106</v>
      </c>
      <c r="I168" t="s">
        <v>41</v>
      </c>
      <c r="J168" t="s">
        <v>107</v>
      </c>
      <c r="K168" t="s">
        <v>40</v>
      </c>
      <c r="L168" t="s">
        <v>108</v>
      </c>
      <c r="M168" t="s">
        <v>1051</v>
      </c>
      <c r="N168" t="s">
        <v>156</v>
      </c>
      <c r="O168" t="s">
        <v>113</v>
      </c>
      <c r="P168" t="s">
        <v>1052</v>
      </c>
      <c r="Q168" t="s">
        <v>104</v>
      </c>
      <c r="R168" t="s">
        <v>1053</v>
      </c>
      <c r="S168">
        <v>1.2</v>
      </c>
      <c r="T168">
        <v>8391</v>
      </c>
      <c r="U168">
        <v>1200</v>
      </c>
      <c r="V168">
        <v>9591</v>
      </c>
    </row>
    <row r="169" spans="1:22" x14ac:dyDescent="0.3">
      <c r="A169">
        <v>15741</v>
      </c>
      <c r="B169">
        <v>140439975</v>
      </c>
      <c r="C169" t="s">
        <v>1054</v>
      </c>
      <c r="D169" t="s">
        <v>1055</v>
      </c>
      <c r="E169" t="s">
        <v>154</v>
      </c>
      <c r="G169" t="s">
        <v>105</v>
      </c>
      <c r="H169" t="s">
        <v>106</v>
      </c>
      <c r="I169" t="s">
        <v>41</v>
      </c>
      <c r="J169" t="s">
        <v>107</v>
      </c>
      <c r="K169" t="s">
        <v>40</v>
      </c>
      <c r="L169" t="s">
        <v>108</v>
      </c>
      <c r="M169" t="s">
        <v>1056</v>
      </c>
      <c r="N169" t="s">
        <v>156</v>
      </c>
      <c r="O169" t="s">
        <v>113</v>
      </c>
      <c r="P169" t="s">
        <v>1057</v>
      </c>
      <c r="Q169" t="s">
        <v>126</v>
      </c>
      <c r="R169" t="s">
        <v>121</v>
      </c>
      <c r="S169">
        <v>6.01</v>
      </c>
      <c r="T169">
        <v>10865</v>
      </c>
      <c r="U169">
        <v>539.94000000000005</v>
      </c>
      <c r="V169">
        <v>11404.94</v>
      </c>
    </row>
    <row r="170" spans="1:22" x14ac:dyDescent="0.3">
      <c r="A170">
        <v>15741</v>
      </c>
      <c r="B170">
        <v>140385744</v>
      </c>
      <c r="C170" t="s">
        <v>1058</v>
      </c>
      <c r="D170" t="s">
        <v>1059</v>
      </c>
      <c r="E170" t="s">
        <v>154</v>
      </c>
      <c r="G170" t="s">
        <v>105</v>
      </c>
      <c r="H170" t="s">
        <v>106</v>
      </c>
      <c r="I170" t="s">
        <v>41</v>
      </c>
      <c r="J170" t="s">
        <v>107</v>
      </c>
      <c r="K170" t="s">
        <v>40</v>
      </c>
      <c r="L170" t="s">
        <v>108</v>
      </c>
      <c r="M170" t="s">
        <v>1060</v>
      </c>
      <c r="N170" t="s">
        <v>156</v>
      </c>
      <c r="O170" t="s">
        <v>113</v>
      </c>
      <c r="P170" t="s">
        <v>1061</v>
      </c>
      <c r="Q170" t="s">
        <v>44</v>
      </c>
      <c r="R170" t="s">
        <v>1062</v>
      </c>
      <c r="S170">
        <v>10.41</v>
      </c>
      <c r="T170">
        <v>5943</v>
      </c>
      <c r="U170">
        <v>0</v>
      </c>
      <c r="V170">
        <v>5943</v>
      </c>
    </row>
    <row r="171" spans="1:22" x14ac:dyDescent="0.3">
      <c r="A171">
        <v>15741</v>
      </c>
      <c r="B171">
        <v>140383564</v>
      </c>
      <c r="C171" t="s">
        <v>1063</v>
      </c>
      <c r="D171" t="s">
        <v>1064</v>
      </c>
      <c r="E171" t="s">
        <v>154</v>
      </c>
      <c r="G171" t="s">
        <v>105</v>
      </c>
      <c r="H171" t="s">
        <v>106</v>
      </c>
      <c r="I171" t="s">
        <v>41</v>
      </c>
      <c r="J171" t="s">
        <v>107</v>
      </c>
      <c r="K171" t="s">
        <v>40</v>
      </c>
      <c r="L171" t="s">
        <v>108</v>
      </c>
      <c r="M171" t="s">
        <v>1065</v>
      </c>
      <c r="N171" t="s">
        <v>156</v>
      </c>
      <c r="O171" t="s">
        <v>113</v>
      </c>
      <c r="P171" t="s">
        <v>1066</v>
      </c>
      <c r="Q171" t="s">
        <v>53</v>
      </c>
      <c r="R171" t="s">
        <v>1067</v>
      </c>
      <c r="S171">
        <v>20.97</v>
      </c>
      <c r="T171">
        <v>15903</v>
      </c>
      <c r="U171">
        <v>0</v>
      </c>
      <c r="V171">
        <v>15903</v>
      </c>
    </row>
    <row r="172" spans="1:22" x14ac:dyDescent="0.3">
      <c r="A172">
        <v>15741</v>
      </c>
      <c r="B172">
        <v>140440161</v>
      </c>
      <c r="C172" t="s">
        <v>1068</v>
      </c>
      <c r="D172" t="s">
        <v>1069</v>
      </c>
      <c r="E172" t="s">
        <v>154</v>
      </c>
      <c r="G172" t="s">
        <v>105</v>
      </c>
      <c r="H172" t="s">
        <v>106</v>
      </c>
      <c r="I172" t="s">
        <v>41</v>
      </c>
      <c r="J172" t="s">
        <v>107</v>
      </c>
      <c r="K172" t="s">
        <v>40</v>
      </c>
      <c r="L172" t="s">
        <v>108</v>
      </c>
      <c r="M172" t="s">
        <v>1070</v>
      </c>
      <c r="N172" t="s">
        <v>156</v>
      </c>
      <c r="O172" t="s">
        <v>113</v>
      </c>
      <c r="P172" t="s">
        <v>1071</v>
      </c>
      <c r="Q172" t="s">
        <v>89</v>
      </c>
      <c r="R172" t="s">
        <v>122</v>
      </c>
      <c r="S172">
        <v>52.87</v>
      </c>
      <c r="T172">
        <v>31673</v>
      </c>
      <c r="U172">
        <v>3419.76</v>
      </c>
      <c r="V172">
        <v>35092.76</v>
      </c>
    </row>
    <row r="173" spans="1:22" x14ac:dyDescent="0.3">
      <c r="A173">
        <v>15741</v>
      </c>
      <c r="B173">
        <v>140383642</v>
      </c>
      <c r="C173" t="s">
        <v>1072</v>
      </c>
      <c r="D173" t="s">
        <v>1073</v>
      </c>
      <c r="E173" t="s">
        <v>154</v>
      </c>
      <c r="G173" t="s">
        <v>105</v>
      </c>
      <c r="H173" t="s">
        <v>106</v>
      </c>
      <c r="I173" t="s">
        <v>41</v>
      </c>
      <c r="J173" t="s">
        <v>107</v>
      </c>
      <c r="K173" t="s">
        <v>40</v>
      </c>
      <c r="L173" t="s">
        <v>108</v>
      </c>
      <c r="M173" t="s">
        <v>1074</v>
      </c>
      <c r="N173" t="s">
        <v>156</v>
      </c>
      <c r="O173" t="s">
        <v>113</v>
      </c>
      <c r="P173" t="s">
        <v>1075</v>
      </c>
      <c r="Q173" t="s">
        <v>47</v>
      </c>
      <c r="R173" t="s">
        <v>1076</v>
      </c>
      <c r="S173">
        <v>8.5299999999999994</v>
      </c>
      <c r="T173">
        <v>5465</v>
      </c>
      <c r="U173">
        <v>599.94000000000005</v>
      </c>
      <c r="V173">
        <v>6064.9400000000005</v>
      </c>
    </row>
    <row r="174" spans="1:22" x14ac:dyDescent="0.3">
      <c r="A174">
        <v>15741</v>
      </c>
      <c r="B174">
        <v>140440779</v>
      </c>
      <c r="C174" t="s">
        <v>1077</v>
      </c>
      <c r="D174" t="s">
        <v>1078</v>
      </c>
      <c r="E174" t="s">
        <v>154</v>
      </c>
      <c r="G174" t="s">
        <v>105</v>
      </c>
      <c r="H174" t="s">
        <v>106</v>
      </c>
      <c r="I174" t="s">
        <v>41</v>
      </c>
      <c r="J174" t="s">
        <v>107</v>
      </c>
      <c r="K174" t="s">
        <v>40</v>
      </c>
      <c r="L174" t="s">
        <v>108</v>
      </c>
      <c r="M174" t="s">
        <v>1079</v>
      </c>
      <c r="N174" t="s">
        <v>156</v>
      </c>
      <c r="O174" t="s">
        <v>113</v>
      </c>
      <c r="P174" t="s">
        <v>1080</v>
      </c>
      <c r="Q174" t="s">
        <v>63</v>
      </c>
      <c r="R174" t="s">
        <v>1081</v>
      </c>
      <c r="S174">
        <v>20.32</v>
      </c>
      <c r="T174">
        <v>20165</v>
      </c>
      <c r="U174">
        <v>1439.94</v>
      </c>
      <c r="V174">
        <v>21604.94</v>
      </c>
    </row>
    <row r="175" spans="1:22" x14ac:dyDescent="0.3">
      <c r="A175">
        <v>15741</v>
      </c>
      <c r="B175">
        <v>139969075</v>
      </c>
      <c r="C175" t="s">
        <v>1082</v>
      </c>
      <c r="D175" t="s">
        <v>1083</v>
      </c>
      <c r="E175" t="s">
        <v>154</v>
      </c>
      <c r="G175" t="s">
        <v>105</v>
      </c>
      <c r="H175" t="s">
        <v>106</v>
      </c>
      <c r="I175" t="s">
        <v>41</v>
      </c>
      <c r="J175" t="s">
        <v>107</v>
      </c>
      <c r="K175" t="s">
        <v>40</v>
      </c>
      <c r="L175" t="s">
        <v>108</v>
      </c>
      <c r="M175" t="s">
        <v>1084</v>
      </c>
      <c r="N175" t="s">
        <v>156</v>
      </c>
      <c r="O175" t="s">
        <v>113</v>
      </c>
      <c r="P175" t="s">
        <v>1085</v>
      </c>
      <c r="Q175" t="s">
        <v>43</v>
      </c>
      <c r="R175" t="s">
        <v>1086</v>
      </c>
      <c r="S175">
        <v>15.94</v>
      </c>
      <c r="T175">
        <v>5943</v>
      </c>
      <c r="U175">
        <v>839.94</v>
      </c>
      <c r="V175">
        <v>6782.9400000000005</v>
      </c>
    </row>
    <row r="176" spans="1:22" x14ac:dyDescent="0.3">
      <c r="A176">
        <v>15741</v>
      </c>
      <c r="B176">
        <v>139969195</v>
      </c>
      <c r="C176" t="s">
        <v>1087</v>
      </c>
      <c r="D176" t="s">
        <v>1088</v>
      </c>
      <c r="E176" t="s">
        <v>154</v>
      </c>
      <c r="G176" t="s">
        <v>105</v>
      </c>
      <c r="H176" t="s">
        <v>106</v>
      </c>
      <c r="I176" t="s">
        <v>41</v>
      </c>
      <c r="J176" t="s">
        <v>107</v>
      </c>
      <c r="K176" t="s">
        <v>40</v>
      </c>
      <c r="L176" t="s">
        <v>108</v>
      </c>
      <c r="M176" t="s">
        <v>1089</v>
      </c>
      <c r="N176" t="s">
        <v>156</v>
      </c>
      <c r="O176" t="s">
        <v>113</v>
      </c>
      <c r="P176" t="s">
        <v>1090</v>
      </c>
      <c r="Q176" t="s">
        <v>43</v>
      </c>
      <c r="R176" t="s">
        <v>1091</v>
      </c>
      <c r="S176">
        <v>20.69</v>
      </c>
      <c r="T176">
        <v>8303</v>
      </c>
      <c r="U176">
        <v>1079.94</v>
      </c>
      <c r="V176">
        <v>9382.94</v>
      </c>
    </row>
    <row r="177" spans="1:22" x14ac:dyDescent="0.3">
      <c r="A177">
        <v>15741</v>
      </c>
      <c r="B177">
        <v>140000280</v>
      </c>
      <c r="C177" t="s">
        <v>1092</v>
      </c>
      <c r="D177" t="s">
        <v>1093</v>
      </c>
      <c r="E177" t="s">
        <v>154</v>
      </c>
      <c r="G177" t="s">
        <v>105</v>
      </c>
      <c r="H177" t="s">
        <v>106</v>
      </c>
      <c r="I177" t="s">
        <v>41</v>
      </c>
      <c r="J177" t="s">
        <v>107</v>
      </c>
      <c r="K177" t="s">
        <v>40</v>
      </c>
      <c r="L177" t="s">
        <v>108</v>
      </c>
      <c r="M177" t="s">
        <v>1094</v>
      </c>
      <c r="N177" t="s">
        <v>156</v>
      </c>
      <c r="O177" t="s">
        <v>113</v>
      </c>
      <c r="P177" t="s">
        <v>1095</v>
      </c>
      <c r="Q177" t="s">
        <v>65</v>
      </c>
      <c r="R177" t="s">
        <v>1096</v>
      </c>
      <c r="S177">
        <v>13.46</v>
      </c>
      <c r="T177">
        <v>12046</v>
      </c>
      <c r="U177">
        <v>0</v>
      </c>
      <c r="V177">
        <v>12046</v>
      </c>
    </row>
    <row r="178" spans="1:22" x14ac:dyDescent="0.3">
      <c r="A178">
        <v>15741</v>
      </c>
      <c r="B178">
        <v>139897328</v>
      </c>
      <c r="C178" t="s">
        <v>1097</v>
      </c>
      <c r="D178" t="s">
        <v>1098</v>
      </c>
      <c r="E178" t="s">
        <v>154</v>
      </c>
      <c r="G178" t="s">
        <v>105</v>
      </c>
      <c r="H178" t="s">
        <v>106</v>
      </c>
      <c r="I178" t="s">
        <v>41</v>
      </c>
      <c r="J178" t="s">
        <v>107</v>
      </c>
      <c r="K178" t="s">
        <v>40</v>
      </c>
      <c r="L178" t="s">
        <v>108</v>
      </c>
      <c r="M178" t="s">
        <v>1099</v>
      </c>
      <c r="N178" t="s">
        <v>156</v>
      </c>
      <c r="O178" t="s">
        <v>113</v>
      </c>
      <c r="P178" t="s">
        <v>1100</v>
      </c>
      <c r="Q178" t="s">
        <v>77</v>
      </c>
      <c r="R178" t="s">
        <v>1101</v>
      </c>
      <c r="S178">
        <v>0.24</v>
      </c>
      <c r="T178">
        <v>7205</v>
      </c>
      <c r="U178">
        <v>600</v>
      </c>
      <c r="V178">
        <v>7805</v>
      </c>
    </row>
    <row r="179" spans="1:22" x14ac:dyDescent="0.3">
      <c r="A179">
        <v>15741</v>
      </c>
      <c r="B179">
        <v>139969158</v>
      </c>
      <c r="C179" t="s">
        <v>1102</v>
      </c>
      <c r="D179" t="s">
        <v>1103</v>
      </c>
      <c r="E179" t="s">
        <v>154</v>
      </c>
      <c r="G179" t="s">
        <v>105</v>
      </c>
      <c r="H179" t="s">
        <v>106</v>
      </c>
      <c r="I179" t="s">
        <v>41</v>
      </c>
      <c r="J179" t="s">
        <v>107</v>
      </c>
      <c r="K179" t="s">
        <v>40</v>
      </c>
      <c r="L179" t="s">
        <v>108</v>
      </c>
      <c r="M179" t="s">
        <v>1104</v>
      </c>
      <c r="N179" t="s">
        <v>156</v>
      </c>
      <c r="O179" t="s">
        <v>113</v>
      </c>
      <c r="P179" t="s">
        <v>1105</v>
      </c>
      <c r="Q179" t="s">
        <v>42</v>
      </c>
      <c r="R179" t="s">
        <v>1106</v>
      </c>
      <c r="S179">
        <v>5.92</v>
      </c>
      <c r="T179">
        <v>4718</v>
      </c>
      <c r="U179">
        <v>539.94000000000005</v>
      </c>
      <c r="V179">
        <v>5257.9400000000005</v>
      </c>
    </row>
    <row r="180" spans="1:22" x14ac:dyDescent="0.3">
      <c r="A180">
        <v>15741</v>
      </c>
      <c r="B180">
        <v>139878769</v>
      </c>
      <c r="C180" t="s">
        <v>1107</v>
      </c>
      <c r="D180" t="s">
        <v>1108</v>
      </c>
      <c r="E180" t="s">
        <v>154</v>
      </c>
      <c r="G180" t="s">
        <v>105</v>
      </c>
      <c r="H180" t="s">
        <v>106</v>
      </c>
      <c r="I180" t="s">
        <v>41</v>
      </c>
      <c r="J180" t="s">
        <v>107</v>
      </c>
      <c r="K180" t="s">
        <v>40</v>
      </c>
      <c r="L180" t="s">
        <v>108</v>
      </c>
      <c r="M180" t="s">
        <v>1109</v>
      </c>
      <c r="N180" t="s">
        <v>156</v>
      </c>
      <c r="O180" t="s">
        <v>113</v>
      </c>
      <c r="P180" t="s">
        <v>1110</v>
      </c>
      <c r="Q180" t="s">
        <v>75</v>
      </c>
      <c r="R180" t="s">
        <v>145</v>
      </c>
      <c r="S180">
        <v>10.48</v>
      </c>
      <c r="T180">
        <v>5943</v>
      </c>
      <c r="U180">
        <v>0</v>
      </c>
      <c r="V180">
        <v>5943</v>
      </c>
    </row>
    <row r="181" spans="1:22" x14ac:dyDescent="0.3">
      <c r="A181">
        <v>15741</v>
      </c>
      <c r="B181">
        <v>139878818</v>
      </c>
      <c r="C181" t="s">
        <v>1111</v>
      </c>
      <c r="D181" t="s">
        <v>1112</v>
      </c>
      <c r="E181" t="s">
        <v>154</v>
      </c>
      <c r="G181" t="s">
        <v>105</v>
      </c>
      <c r="H181" t="s">
        <v>106</v>
      </c>
      <c r="I181" t="s">
        <v>41</v>
      </c>
      <c r="J181" t="s">
        <v>107</v>
      </c>
      <c r="K181" t="s">
        <v>40</v>
      </c>
      <c r="L181" t="s">
        <v>108</v>
      </c>
      <c r="M181" t="s">
        <v>1113</v>
      </c>
      <c r="N181" t="s">
        <v>156</v>
      </c>
      <c r="O181" t="s">
        <v>113</v>
      </c>
      <c r="P181" t="s">
        <v>1114</v>
      </c>
      <c r="Q181" t="s">
        <v>46</v>
      </c>
      <c r="R181" t="s">
        <v>1115</v>
      </c>
      <c r="S181">
        <v>10.48</v>
      </c>
      <c r="T181">
        <v>5943</v>
      </c>
      <c r="U181">
        <v>0</v>
      </c>
      <c r="V181">
        <v>5943</v>
      </c>
    </row>
    <row r="182" spans="1:22" x14ac:dyDescent="0.3">
      <c r="A182">
        <v>15741</v>
      </c>
      <c r="B182">
        <v>139970289</v>
      </c>
      <c r="C182" t="s">
        <v>1116</v>
      </c>
      <c r="D182" t="s">
        <v>1117</v>
      </c>
      <c r="E182" t="s">
        <v>154</v>
      </c>
      <c r="G182" t="s">
        <v>105</v>
      </c>
      <c r="H182" t="s">
        <v>106</v>
      </c>
      <c r="I182" t="s">
        <v>41</v>
      </c>
      <c r="J182" t="s">
        <v>107</v>
      </c>
      <c r="K182" t="s">
        <v>40</v>
      </c>
      <c r="L182" t="s">
        <v>108</v>
      </c>
      <c r="M182" t="s">
        <v>1118</v>
      </c>
      <c r="N182" t="s">
        <v>156</v>
      </c>
      <c r="O182" t="s">
        <v>113</v>
      </c>
      <c r="P182" t="s">
        <v>1119</v>
      </c>
      <c r="Q182" t="s">
        <v>45</v>
      </c>
      <c r="R182" t="s">
        <v>1120</v>
      </c>
      <c r="S182">
        <v>10.53</v>
      </c>
      <c r="T182">
        <v>5943</v>
      </c>
      <c r="U182">
        <v>0</v>
      </c>
      <c r="V182">
        <v>5943</v>
      </c>
    </row>
    <row r="183" spans="1:22" x14ac:dyDescent="0.3">
      <c r="A183">
        <v>15741</v>
      </c>
      <c r="B183">
        <v>139887082</v>
      </c>
      <c r="C183" t="s">
        <v>1121</v>
      </c>
      <c r="D183" t="s">
        <v>1122</v>
      </c>
      <c r="E183" t="s">
        <v>154</v>
      </c>
      <c r="G183" t="s">
        <v>105</v>
      </c>
      <c r="H183" t="s">
        <v>106</v>
      </c>
      <c r="I183" t="s">
        <v>41</v>
      </c>
      <c r="J183" t="s">
        <v>107</v>
      </c>
      <c r="K183" t="s">
        <v>40</v>
      </c>
      <c r="L183" t="s">
        <v>108</v>
      </c>
      <c r="M183" t="s">
        <v>1123</v>
      </c>
      <c r="N183" t="s">
        <v>156</v>
      </c>
      <c r="O183" t="s">
        <v>113</v>
      </c>
      <c r="P183" t="s">
        <v>1124</v>
      </c>
      <c r="Q183" t="s">
        <v>77</v>
      </c>
      <c r="R183" t="s">
        <v>1125</v>
      </c>
      <c r="S183">
        <v>1.83</v>
      </c>
      <c r="T183">
        <v>8559</v>
      </c>
      <c r="U183">
        <v>600</v>
      </c>
      <c r="V183">
        <v>9159</v>
      </c>
    </row>
    <row r="184" spans="1:22" x14ac:dyDescent="0.3">
      <c r="A184">
        <v>15741</v>
      </c>
      <c r="B184">
        <v>139983501</v>
      </c>
      <c r="C184" t="s">
        <v>1126</v>
      </c>
      <c r="D184" t="s">
        <v>1127</v>
      </c>
      <c r="E184" t="s">
        <v>154</v>
      </c>
      <c r="G184" t="s">
        <v>105</v>
      </c>
      <c r="H184" t="s">
        <v>106</v>
      </c>
      <c r="I184" t="s">
        <v>41</v>
      </c>
      <c r="J184" t="s">
        <v>107</v>
      </c>
      <c r="K184" t="s">
        <v>40</v>
      </c>
      <c r="L184" t="s">
        <v>108</v>
      </c>
      <c r="M184" t="s">
        <v>1128</v>
      </c>
      <c r="N184" t="s">
        <v>156</v>
      </c>
      <c r="O184" t="s">
        <v>113</v>
      </c>
      <c r="P184" t="s">
        <v>1129</v>
      </c>
      <c r="Q184" t="s">
        <v>42</v>
      </c>
      <c r="R184" t="s">
        <v>1130</v>
      </c>
      <c r="S184">
        <v>16.559999999999999</v>
      </c>
      <c r="T184">
        <v>6414</v>
      </c>
      <c r="U184">
        <v>839.94</v>
      </c>
      <c r="V184">
        <v>7253.9400000000005</v>
      </c>
    </row>
    <row r="185" spans="1:22" x14ac:dyDescent="0.3">
      <c r="A185">
        <v>15741</v>
      </c>
      <c r="B185">
        <v>140071886</v>
      </c>
      <c r="C185" t="s">
        <v>1131</v>
      </c>
      <c r="D185" t="s">
        <v>1132</v>
      </c>
      <c r="E185" t="s">
        <v>154</v>
      </c>
      <c r="G185" t="s">
        <v>105</v>
      </c>
      <c r="H185" t="s">
        <v>106</v>
      </c>
      <c r="I185" t="s">
        <v>41</v>
      </c>
      <c r="J185" t="s">
        <v>107</v>
      </c>
      <c r="K185" t="s">
        <v>40</v>
      </c>
      <c r="L185" t="s">
        <v>108</v>
      </c>
      <c r="M185" t="s">
        <v>1133</v>
      </c>
      <c r="N185" t="s">
        <v>156</v>
      </c>
      <c r="O185" t="s">
        <v>113</v>
      </c>
      <c r="P185" t="s">
        <v>1134</v>
      </c>
      <c r="Q185" t="s">
        <v>101</v>
      </c>
      <c r="R185" t="s">
        <v>1135</v>
      </c>
      <c r="S185">
        <v>59.98</v>
      </c>
      <c r="T185">
        <v>39324</v>
      </c>
      <c r="U185">
        <v>2339.88</v>
      </c>
      <c r="V185">
        <v>41663.879999999997</v>
      </c>
    </row>
    <row r="186" spans="1:22" x14ac:dyDescent="0.3">
      <c r="A186">
        <v>15741</v>
      </c>
      <c r="B186">
        <v>140079761</v>
      </c>
      <c r="C186" t="s">
        <v>1136</v>
      </c>
      <c r="D186" t="s">
        <v>1137</v>
      </c>
      <c r="E186" t="s">
        <v>154</v>
      </c>
      <c r="G186" t="s">
        <v>105</v>
      </c>
      <c r="H186" t="s">
        <v>106</v>
      </c>
      <c r="I186" t="s">
        <v>41</v>
      </c>
      <c r="J186" t="s">
        <v>107</v>
      </c>
      <c r="K186" t="s">
        <v>40</v>
      </c>
      <c r="L186" t="s">
        <v>108</v>
      </c>
      <c r="M186" t="s">
        <v>1138</v>
      </c>
      <c r="N186" t="s">
        <v>156</v>
      </c>
      <c r="O186" t="s">
        <v>113</v>
      </c>
      <c r="P186" t="s">
        <v>1139</v>
      </c>
      <c r="Q186" t="s">
        <v>76</v>
      </c>
      <c r="R186" t="s">
        <v>1140</v>
      </c>
      <c r="S186">
        <v>9.59</v>
      </c>
      <c r="T186">
        <v>10865</v>
      </c>
      <c r="U186">
        <v>869.88</v>
      </c>
      <c r="V186">
        <v>11734.88</v>
      </c>
    </row>
    <row r="187" spans="1:22" x14ac:dyDescent="0.3">
      <c r="A187">
        <v>15741</v>
      </c>
      <c r="B187">
        <v>140006129</v>
      </c>
      <c r="C187" t="s">
        <v>1141</v>
      </c>
      <c r="D187" t="s">
        <v>1142</v>
      </c>
      <c r="E187" t="s">
        <v>154</v>
      </c>
      <c r="G187" t="s">
        <v>105</v>
      </c>
      <c r="H187" t="s">
        <v>106</v>
      </c>
      <c r="I187" t="s">
        <v>41</v>
      </c>
      <c r="J187" t="s">
        <v>107</v>
      </c>
      <c r="K187" t="s">
        <v>40</v>
      </c>
      <c r="L187" t="s">
        <v>108</v>
      </c>
      <c r="M187" t="s">
        <v>1143</v>
      </c>
      <c r="N187" t="s">
        <v>156</v>
      </c>
      <c r="O187" t="s">
        <v>113</v>
      </c>
      <c r="P187" t="s">
        <v>1144</v>
      </c>
      <c r="Q187" t="s">
        <v>92</v>
      </c>
      <c r="R187" t="s">
        <v>1145</v>
      </c>
      <c r="S187">
        <v>22.73</v>
      </c>
      <c r="T187">
        <v>19064</v>
      </c>
      <c r="U187">
        <v>1679.88</v>
      </c>
      <c r="V187">
        <v>20743.88</v>
      </c>
    </row>
    <row r="188" spans="1:22" x14ac:dyDescent="0.3">
      <c r="A188">
        <v>15741</v>
      </c>
      <c r="B188">
        <v>140067605</v>
      </c>
      <c r="C188" t="s">
        <v>1146</v>
      </c>
      <c r="D188" t="s">
        <v>1147</v>
      </c>
      <c r="E188" t="s">
        <v>154</v>
      </c>
      <c r="G188" t="s">
        <v>105</v>
      </c>
      <c r="H188" t="s">
        <v>106</v>
      </c>
      <c r="I188" t="s">
        <v>41</v>
      </c>
      <c r="J188" t="s">
        <v>107</v>
      </c>
      <c r="K188" t="s">
        <v>40</v>
      </c>
      <c r="L188" t="s">
        <v>108</v>
      </c>
      <c r="M188" t="s">
        <v>1148</v>
      </c>
      <c r="N188" t="s">
        <v>156</v>
      </c>
      <c r="O188" t="s">
        <v>113</v>
      </c>
      <c r="P188" t="s">
        <v>1149</v>
      </c>
      <c r="Q188" t="s">
        <v>51</v>
      </c>
      <c r="R188" t="s">
        <v>1150</v>
      </c>
      <c r="S188">
        <v>76.39</v>
      </c>
      <c r="T188">
        <v>33040</v>
      </c>
      <c r="U188">
        <v>1259.94</v>
      </c>
      <c r="V188">
        <v>34299.94</v>
      </c>
    </row>
    <row r="189" spans="1:22" x14ac:dyDescent="0.3">
      <c r="A189">
        <v>15741</v>
      </c>
      <c r="B189">
        <v>140068555</v>
      </c>
      <c r="C189" t="s">
        <v>1151</v>
      </c>
      <c r="D189" t="s">
        <v>1152</v>
      </c>
      <c r="E189" t="s">
        <v>154</v>
      </c>
      <c r="G189" t="s">
        <v>105</v>
      </c>
      <c r="H189" t="s">
        <v>106</v>
      </c>
      <c r="I189" t="s">
        <v>41</v>
      </c>
      <c r="J189" t="s">
        <v>107</v>
      </c>
      <c r="K189" t="s">
        <v>40</v>
      </c>
      <c r="L189" t="s">
        <v>108</v>
      </c>
      <c r="M189" t="s">
        <v>1153</v>
      </c>
      <c r="N189" t="s">
        <v>156</v>
      </c>
      <c r="O189" t="s">
        <v>113</v>
      </c>
      <c r="P189" t="s">
        <v>1154</v>
      </c>
      <c r="Q189" t="s">
        <v>55</v>
      </c>
      <c r="R189" t="s">
        <v>1155</v>
      </c>
      <c r="S189">
        <v>31.91</v>
      </c>
      <c r="T189">
        <v>22026</v>
      </c>
      <c r="U189">
        <v>1799.88</v>
      </c>
      <c r="V189">
        <v>23825.88</v>
      </c>
    </row>
    <row r="190" spans="1:22" x14ac:dyDescent="0.3">
      <c r="A190">
        <v>15741</v>
      </c>
      <c r="B190">
        <v>140119513</v>
      </c>
      <c r="C190" t="s">
        <v>1156</v>
      </c>
      <c r="D190" t="s">
        <v>1157</v>
      </c>
      <c r="E190" t="s">
        <v>154</v>
      </c>
      <c r="G190" t="s">
        <v>105</v>
      </c>
      <c r="H190" t="s">
        <v>106</v>
      </c>
      <c r="I190" t="s">
        <v>41</v>
      </c>
      <c r="J190" t="s">
        <v>107</v>
      </c>
      <c r="K190" t="s">
        <v>40</v>
      </c>
      <c r="L190" t="s">
        <v>108</v>
      </c>
      <c r="M190" t="s">
        <v>1158</v>
      </c>
      <c r="N190" t="s">
        <v>156</v>
      </c>
      <c r="O190" t="s">
        <v>113</v>
      </c>
      <c r="P190" t="s">
        <v>1159</v>
      </c>
      <c r="Q190" t="s">
        <v>42</v>
      </c>
      <c r="R190" t="s">
        <v>1160</v>
      </c>
      <c r="S190">
        <v>10.029999999999999</v>
      </c>
      <c r="T190">
        <v>5943</v>
      </c>
      <c r="U190">
        <v>1019.94</v>
      </c>
      <c r="V190">
        <v>6962.9400000000005</v>
      </c>
    </row>
    <row r="191" spans="1:22" x14ac:dyDescent="0.3">
      <c r="A191">
        <v>15741</v>
      </c>
      <c r="B191">
        <v>140112728</v>
      </c>
      <c r="C191" t="s">
        <v>1161</v>
      </c>
      <c r="D191" t="s">
        <v>1162</v>
      </c>
      <c r="E191" t="s">
        <v>154</v>
      </c>
      <c r="G191" t="s">
        <v>105</v>
      </c>
      <c r="H191" t="s">
        <v>106</v>
      </c>
      <c r="I191" t="s">
        <v>41</v>
      </c>
      <c r="J191" t="s">
        <v>107</v>
      </c>
      <c r="K191" t="s">
        <v>40</v>
      </c>
      <c r="L191" t="s">
        <v>108</v>
      </c>
      <c r="M191" t="s">
        <v>1163</v>
      </c>
      <c r="N191" t="s">
        <v>156</v>
      </c>
      <c r="O191" t="s">
        <v>113</v>
      </c>
      <c r="P191" t="s">
        <v>1164</v>
      </c>
      <c r="Q191" t="s">
        <v>58</v>
      </c>
      <c r="R191" t="s">
        <v>1165</v>
      </c>
      <c r="S191">
        <v>20.89</v>
      </c>
      <c r="T191">
        <v>13116</v>
      </c>
      <c r="U191">
        <v>1439.94</v>
      </c>
      <c r="V191">
        <v>14555.94</v>
      </c>
    </row>
    <row r="192" spans="1:22" x14ac:dyDescent="0.3">
      <c r="A192">
        <v>15741</v>
      </c>
      <c r="B192">
        <v>139835330</v>
      </c>
      <c r="C192" t="s">
        <v>1166</v>
      </c>
      <c r="D192" t="s">
        <v>1167</v>
      </c>
      <c r="E192" t="s">
        <v>154</v>
      </c>
      <c r="G192" t="s">
        <v>105</v>
      </c>
      <c r="H192" t="s">
        <v>106</v>
      </c>
      <c r="I192" t="s">
        <v>41</v>
      </c>
      <c r="J192" t="s">
        <v>107</v>
      </c>
      <c r="K192" t="s">
        <v>40</v>
      </c>
      <c r="L192" t="s">
        <v>108</v>
      </c>
      <c r="M192" t="s">
        <v>1168</v>
      </c>
      <c r="N192" t="s">
        <v>156</v>
      </c>
      <c r="O192" t="s">
        <v>113</v>
      </c>
      <c r="P192" t="s">
        <v>1169</v>
      </c>
      <c r="Q192" t="s">
        <v>66</v>
      </c>
      <c r="R192" t="s">
        <v>1170</v>
      </c>
      <c r="S192">
        <v>37.51</v>
      </c>
      <c r="T192">
        <v>29021</v>
      </c>
      <c r="U192">
        <v>3419.7</v>
      </c>
      <c r="V192">
        <v>32440.7</v>
      </c>
    </row>
    <row r="193" spans="1:22" x14ac:dyDescent="0.3">
      <c r="A193">
        <v>15741</v>
      </c>
      <c r="B193">
        <v>139725605</v>
      </c>
      <c r="C193" t="s">
        <v>1171</v>
      </c>
      <c r="D193" t="s">
        <v>1172</v>
      </c>
      <c r="E193" t="s">
        <v>154</v>
      </c>
      <c r="G193" t="s">
        <v>105</v>
      </c>
      <c r="H193" t="s">
        <v>106</v>
      </c>
      <c r="I193" t="s">
        <v>41</v>
      </c>
      <c r="J193" t="s">
        <v>107</v>
      </c>
      <c r="K193" t="s">
        <v>40</v>
      </c>
      <c r="L193" t="s">
        <v>108</v>
      </c>
      <c r="M193" t="s">
        <v>1173</v>
      </c>
      <c r="N193" t="s">
        <v>156</v>
      </c>
      <c r="O193" t="s">
        <v>113</v>
      </c>
      <c r="P193" t="s">
        <v>1174</v>
      </c>
      <c r="Q193" t="s">
        <v>62</v>
      </c>
      <c r="R193" t="s">
        <v>1175</v>
      </c>
      <c r="S193">
        <v>18.89</v>
      </c>
      <c r="T193">
        <v>14360</v>
      </c>
      <c r="U193">
        <v>1679.94</v>
      </c>
      <c r="V193">
        <v>16039.94</v>
      </c>
    </row>
    <row r="194" spans="1:22" x14ac:dyDescent="0.3">
      <c r="A194">
        <v>15741</v>
      </c>
      <c r="B194">
        <v>140160704</v>
      </c>
      <c r="C194" t="s">
        <v>1176</v>
      </c>
      <c r="D194" t="s">
        <v>1177</v>
      </c>
      <c r="E194" t="s">
        <v>154</v>
      </c>
      <c r="G194" t="s">
        <v>105</v>
      </c>
      <c r="H194" t="s">
        <v>106</v>
      </c>
      <c r="I194" t="s">
        <v>41</v>
      </c>
      <c r="J194" t="s">
        <v>107</v>
      </c>
      <c r="K194" t="s">
        <v>40</v>
      </c>
      <c r="L194" t="s">
        <v>108</v>
      </c>
      <c r="M194" t="s">
        <v>1178</v>
      </c>
      <c r="N194" t="s">
        <v>156</v>
      </c>
      <c r="O194" t="s">
        <v>113</v>
      </c>
      <c r="P194" t="s">
        <v>1179</v>
      </c>
      <c r="Q194" t="s">
        <v>104</v>
      </c>
      <c r="R194" t="s">
        <v>1180</v>
      </c>
      <c r="S194">
        <v>13.6</v>
      </c>
      <c r="T194">
        <v>13253</v>
      </c>
      <c r="U194">
        <v>659.94</v>
      </c>
      <c r="V194">
        <v>13912.94</v>
      </c>
    </row>
    <row r="195" spans="1:22" x14ac:dyDescent="0.3">
      <c r="A195">
        <v>15741</v>
      </c>
      <c r="B195">
        <v>140219253</v>
      </c>
      <c r="C195" t="s">
        <v>1181</v>
      </c>
      <c r="D195" t="s">
        <v>1182</v>
      </c>
      <c r="E195" t="s">
        <v>154</v>
      </c>
      <c r="G195" t="s">
        <v>105</v>
      </c>
      <c r="H195" t="s">
        <v>106</v>
      </c>
      <c r="I195" t="s">
        <v>41</v>
      </c>
      <c r="J195" t="s">
        <v>107</v>
      </c>
      <c r="K195" t="s">
        <v>40</v>
      </c>
      <c r="L195" t="s">
        <v>108</v>
      </c>
      <c r="M195" t="s">
        <v>1183</v>
      </c>
      <c r="N195" t="s">
        <v>156</v>
      </c>
      <c r="O195" t="s">
        <v>113</v>
      </c>
      <c r="P195" t="s">
        <v>1184</v>
      </c>
      <c r="Q195" t="s">
        <v>138</v>
      </c>
      <c r="R195" t="s">
        <v>1185</v>
      </c>
      <c r="S195">
        <v>14.49</v>
      </c>
      <c r="T195">
        <v>13529</v>
      </c>
      <c r="U195">
        <v>1079.8800000000001</v>
      </c>
      <c r="V195">
        <v>14608.880000000001</v>
      </c>
    </row>
    <row r="196" spans="1:22" x14ac:dyDescent="0.3">
      <c r="A196">
        <v>15741</v>
      </c>
      <c r="B196">
        <v>140220071</v>
      </c>
      <c r="C196" t="s">
        <v>1186</v>
      </c>
      <c r="D196" t="s">
        <v>1187</v>
      </c>
      <c r="E196" t="s">
        <v>154</v>
      </c>
      <c r="G196" t="s">
        <v>105</v>
      </c>
      <c r="H196" t="s">
        <v>106</v>
      </c>
      <c r="I196" t="s">
        <v>41</v>
      </c>
      <c r="J196" t="s">
        <v>107</v>
      </c>
      <c r="K196" t="s">
        <v>40</v>
      </c>
      <c r="L196" t="s">
        <v>108</v>
      </c>
      <c r="M196" t="s">
        <v>1188</v>
      </c>
      <c r="N196" t="s">
        <v>156</v>
      </c>
      <c r="O196" t="s">
        <v>113</v>
      </c>
      <c r="P196" t="s">
        <v>1189</v>
      </c>
      <c r="Q196" t="s">
        <v>99</v>
      </c>
      <c r="R196" t="s">
        <v>135</v>
      </c>
      <c r="S196">
        <v>12.91</v>
      </c>
      <c r="T196">
        <v>11273</v>
      </c>
      <c r="U196">
        <v>1019.94</v>
      </c>
      <c r="V196">
        <v>12292.94</v>
      </c>
    </row>
    <row r="197" spans="1:22" x14ac:dyDescent="0.3">
      <c r="A197">
        <v>15741</v>
      </c>
      <c r="B197">
        <v>140145044</v>
      </c>
      <c r="C197" t="s">
        <v>1190</v>
      </c>
      <c r="D197" t="s">
        <v>1191</v>
      </c>
      <c r="E197" t="s">
        <v>154</v>
      </c>
      <c r="G197" t="s">
        <v>105</v>
      </c>
      <c r="H197" t="s">
        <v>106</v>
      </c>
      <c r="I197" t="s">
        <v>41</v>
      </c>
      <c r="J197" t="s">
        <v>107</v>
      </c>
      <c r="K197" t="s">
        <v>40</v>
      </c>
      <c r="L197" t="s">
        <v>108</v>
      </c>
      <c r="M197" t="s">
        <v>1192</v>
      </c>
      <c r="N197" t="s">
        <v>156</v>
      </c>
      <c r="O197" t="s">
        <v>113</v>
      </c>
      <c r="P197" t="s">
        <v>1193</v>
      </c>
      <c r="Q197" t="s">
        <v>109</v>
      </c>
      <c r="R197" t="s">
        <v>1194</v>
      </c>
      <c r="S197">
        <v>35.9</v>
      </c>
      <c r="T197">
        <v>15389</v>
      </c>
      <c r="U197">
        <v>0</v>
      </c>
      <c r="V197">
        <v>15389</v>
      </c>
    </row>
    <row r="198" spans="1:22" x14ac:dyDescent="0.3">
      <c r="A198">
        <v>15741</v>
      </c>
      <c r="B198">
        <v>140277643</v>
      </c>
      <c r="C198" t="s">
        <v>1195</v>
      </c>
      <c r="D198" t="s">
        <v>1196</v>
      </c>
      <c r="E198" t="s">
        <v>154</v>
      </c>
      <c r="G198" t="s">
        <v>105</v>
      </c>
      <c r="H198" t="s">
        <v>106</v>
      </c>
      <c r="I198" t="s">
        <v>41</v>
      </c>
      <c r="J198" t="s">
        <v>107</v>
      </c>
      <c r="K198" t="s">
        <v>40</v>
      </c>
      <c r="L198" t="s">
        <v>108</v>
      </c>
      <c r="M198" t="s">
        <v>1197</v>
      </c>
      <c r="N198" t="s">
        <v>156</v>
      </c>
      <c r="O198" t="s">
        <v>113</v>
      </c>
      <c r="P198" t="s">
        <v>1198</v>
      </c>
      <c r="Q198" t="s">
        <v>100</v>
      </c>
      <c r="R198" t="s">
        <v>1199</v>
      </c>
      <c r="S198">
        <v>53.67</v>
      </c>
      <c r="T198">
        <v>41569</v>
      </c>
      <c r="U198">
        <v>2373.5500000000002</v>
      </c>
      <c r="V198">
        <v>43942.55</v>
      </c>
    </row>
    <row r="199" spans="1:22" x14ac:dyDescent="0.3">
      <c r="A199">
        <v>15741</v>
      </c>
      <c r="B199">
        <v>140220205</v>
      </c>
      <c r="C199" t="s">
        <v>1200</v>
      </c>
      <c r="D199" t="s">
        <v>1201</v>
      </c>
      <c r="E199" t="s">
        <v>154</v>
      </c>
      <c r="G199" t="s">
        <v>105</v>
      </c>
      <c r="H199" t="s">
        <v>106</v>
      </c>
      <c r="I199" t="s">
        <v>41</v>
      </c>
      <c r="J199" t="s">
        <v>107</v>
      </c>
      <c r="K199" t="s">
        <v>40</v>
      </c>
      <c r="L199" t="s">
        <v>108</v>
      </c>
      <c r="M199" t="s">
        <v>1202</v>
      </c>
      <c r="N199" t="s">
        <v>156</v>
      </c>
      <c r="O199" t="s">
        <v>113</v>
      </c>
      <c r="P199" t="s">
        <v>1203</v>
      </c>
      <c r="Q199" t="s">
        <v>89</v>
      </c>
      <c r="R199" t="s">
        <v>1204</v>
      </c>
      <c r="S199">
        <v>25.43</v>
      </c>
      <c r="T199">
        <v>10666</v>
      </c>
      <c r="U199">
        <v>1439.94</v>
      </c>
      <c r="V199">
        <v>12105.94</v>
      </c>
    </row>
    <row r="200" spans="1:22" x14ac:dyDescent="0.3">
      <c r="A200">
        <v>15741</v>
      </c>
      <c r="B200">
        <v>140219627</v>
      </c>
      <c r="C200" t="s">
        <v>1205</v>
      </c>
      <c r="D200" t="s">
        <v>1206</v>
      </c>
      <c r="E200" t="s">
        <v>154</v>
      </c>
      <c r="G200" t="s">
        <v>105</v>
      </c>
      <c r="H200" t="s">
        <v>106</v>
      </c>
      <c r="I200" t="s">
        <v>41</v>
      </c>
      <c r="J200" t="s">
        <v>107</v>
      </c>
      <c r="K200" t="s">
        <v>40</v>
      </c>
      <c r="L200" t="s">
        <v>108</v>
      </c>
      <c r="M200" t="s">
        <v>1207</v>
      </c>
      <c r="N200" t="s">
        <v>156</v>
      </c>
      <c r="O200" t="s">
        <v>113</v>
      </c>
      <c r="P200" t="s">
        <v>1208</v>
      </c>
      <c r="Q200" t="s">
        <v>44</v>
      </c>
      <c r="R200" t="s">
        <v>1209</v>
      </c>
      <c r="S200">
        <v>61.15</v>
      </c>
      <c r="T200">
        <v>26907</v>
      </c>
      <c r="U200">
        <v>1139.94</v>
      </c>
      <c r="V200">
        <v>28046.94</v>
      </c>
    </row>
    <row r="201" spans="1:22" x14ac:dyDescent="0.3">
      <c r="A201">
        <v>15741</v>
      </c>
      <c r="B201">
        <v>140220348</v>
      </c>
      <c r="C201" t="s">
        <v>1210</v>
      </c>
      <c r="D201" t="s">
        <v>1211</v>
      </c>
      <c r="E201" t="s">
        <v>154</v>
      </c>
      <c r="G201" t="s">
        <v>105</v>
      </c>
      <c r="H201" t="s">
        <v>106</v>
      </c>
      <c r="I201" t="s">
        <v>41</v>
      </c>
      <c r="J201" t="s">
        <v>107</v>
      </c>
      <c r="K201" t="s">
        <v>40</v>
      </c>
      <c r="L201" t="s">
        <v>108</v>
      </c>
      <c r="M201" t="s">
        <v>1212</v>
      </c>
      <c r="N201" t="s">
        <v>156</v>
      </c>
      <c r="O201" t="s">
        <v>113</v>
      </c>
      <c r="P201" t="s">
        <v>1213</v>
      </c>
      <c r="Q201" t="s">
        <v>85</v>
      </c>
      <c r="R201" t="s">
        <v>1214</v>
      </c>
      <c r="S201">
        <v>10.01</v>
      </c>
      <c r="T201">
        <v>13529</v>
      </c>
      <c r="U201">
        <v>599.94000000000005</v>
      </c>
      <c r="V201">
        <v>14128.94</v>
      </c>
    </row>
    <row r="202" spans="1:22" x14ac:dyDescent="0.3">
      <c r="A202">
        <v>15741</v>
      </c>
      <c r="B202">
        <v>140219960</v>
      </c>
      <c r="C202" t="s">
        <v>1215</v>
      </c>
      <c r="D202" t="s">
        <v>1216</v>
      </c>
      <c r="E202" t="s">
        <v>154</v>
      </c>
      <c r="G202" t="s">
        <v>105</v>
      </c>
      <c r="H202" t="s">
        <v>106</v>
      </c>
      <c r="I202" t="s">
        <v>41</v>
      </c>
      <c r="J202" t="s">
        <v>107</v>
      </c>
      <c r="K202" t="s">
        <v>40</v>
      </c>
      <c r="L202" t="s">
        <v>108</v>
      </c>
      <c r="M202" t="s">
        <v>1217</v>
      </c>
      <c r="N202" t="s">
        <v>156</v>
      </c>
      <c r="O202" t="s">
        <v>113</v>
      </c>
      <c r="P202" t="s">
        <v>1218</v>
      </c>
      <c r="Q202" t="s">
        <v>67</v>
      </c>
      <c r="R202" t="s">
        <v>151</v>
      </c>
      <c r="S202">
        <v>83.67</v>
      </c>
      <c r="T202">
        <v>47757</v>
      </c>
      <c r="U202">
        <v>1019.94</v>
      </c>
      <c r="V202">
        <v>48776.94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Smith</dc:creator>
  <cp:lastModifiedBy>Michael Estepa</cp:lastModifiedBy>
  <cp:lastPrinted>2023-05-10T17:03:30Z</cp:lastPrinted>
  <dcterms:created xsi:type="dcterms:W3CDTF">2015-10-14T18:59:17Z</dcterms:created>
  <dcterms:modified xsi:type="dcterms:W3CDTF">2026-04-10T23:16:20Z</dcterms:modified>
</cp:coreProperties>
</file>