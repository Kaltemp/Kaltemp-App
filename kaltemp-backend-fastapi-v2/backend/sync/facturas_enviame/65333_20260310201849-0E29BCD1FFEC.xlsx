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2 Febrero\Detalles\"/>
    </mc:Choice>
  </mc:AlternateContent>
  <xr:revisionPtr revIDLastSave="0" documentId="8_{57695096-E8DA-4898-B4F6-837804DDCEC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<sst xmlns="http://schemas.openxmlformats.org/spreadsheetml/2006/main" count="2797" uniqueCount="1119">
  <si>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</si>
  <si>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</si>
  <si>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</si>
  <si>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</si>
  <si>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</si>
  <si>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</si>
  <si>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</si>
  <si>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</si>
  <si>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</si>
  <si>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</si>
  <si>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</si>
  <si>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</si>
  <si>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</si>
  <si>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</si>
  <si>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</si>
  <si>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</si>
  <si>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</si>
  <si>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</si>
  <si>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</si>
  <si>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</si>
  <si>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</si>
  <si>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</si>
  <si>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</si>
  <si>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</si>
  <si>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</si>
  <si>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</si>
  <si>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</si>
  <si>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</si>
  <si>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</si>
  <si>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</si>
  <si>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</si>
  <si>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</si>
  <si>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</si>
  <si>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</si>
  <si>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</si>
  <si>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contract_type</t>
  </si>
  <si>
    <t>peso informado por carrier</t>
  </si>
  <si>
    <t>Flex</t>
  </si>
  <si>
    <t>mkp</t>
  </si>
  <si>
    <t>carrier_service_name</t>
  </si>
  <si>
    <t>seguro</t>
  </si>
  <si>
    <t>BLUEXPRESS</t>
  </si>
  <si>
    <t>BLX</t>
  </si>
  <si>
    <t>Entregado</t>
  </si>
  <si>
    <t>ENTREGADO</t>
  </si>
  <si>
    <t>Estación Central</t>
  </si>
  <si>
    <t>Valdivia</t>
  </si>
  <si>
    <t>La Serena</t>
  </si>
  <si>
    <t>Concepción</t>
  </si>
  <si>
    <t>Recoleta</t>
  </si>
  <si>
    <t>Los Ángeles</t>
  </si>
  <si>
    <t>Talagante</t>
  </si>
  <si>
    <t>Coronel</t>
  </si>
  <si>
    <t>Concón</t>
  </si>
  <si>
    <t>Las Condes</t>
  </si>
  <si>
    <t>Ñuñoa</t>
  </si>
  <si>
    <t>Parral</t>
  </si>
  <si>
    <t>Valparaíso</t>
  </si>
  <si>
    <t>Talca</t>
  </si>
  <si>
    <t>Villarrica</t>
  </si>
  <si>
    <t>Temuco</t>
  </si>
  <si>
    <t>Peñalolén</t>
  </si>
  <si>
    <t>Pudahuel</t>
  </si>
  <si>
    <t>Quilpué</t>
  </si>
  <si>
    <t>Talcahuano</t>
  </si>
  <si>
    <t>Viña del Mar</t>
  </si>
  <si>
    <t>La Florida</t>
  </si>
  <si>
    <t>Coquimbo</t>
  </si>
  <si>
    <t>Melipilla</t>
  </si>
  <si>
    <t>Santiago</t>
  </si>
  <si>
    <t>2026-01-28 10:38</t>
  </si>
  <si>
    <t>Devolucion entregada</t>
  </si>
  <si>
    <t>DEVOLUCION ENTREGADA</t>
  </si>
  <si>
    <t>Antofagasta</t>
  </si>
  <si>
    <t>Standard</t>
  </si>
  <si>
    <t>Limache</t>
  </si>
  <si>
    <t>Vallenar</t>
  </si>
  <si>
    <t>Puerto Varas</t>
  </si>
  <si>
    <t>Colina</t>
  </si>
  <si>
    <t>Maule</t>
  </si>
  <si>
    <t>Puerto Montt</t>
  </si>
  <si>
    <t>Copiapó</t>
  </si>
  <si>
    <t>Providencia</t>
  </si>
  <si>
    <t>Villa Alemana</t>
  </si>
  <si>
    <t>La Cisterna</t>
  </si>
  <si>
    <t>Padre Hurtado</t>
  </si>
  <si>
    <t>Los Vilos</t>
  </si>
  <si>
    <t>La Reina</t>
  </si>
  <si>
    <t>San Antonio</t>
  </si>
  <si>
    <t>STARKEN</t>
  </si>
  <si>
    <t>SKN</t>
  </si>
  <si>
    <t>Normal</t>
  </si>
  <si>
    <t>La Pintana</t>
  </si>
  <si>
    <t>2026-02-17 10:07</t>
  </si>
  <si>
    <t>Antonio Varas 609</t>
  </si>
  <si>
    <t>Osorno</t>
  </si>
  <si>
    <t>Pucón</t>
  </si>
  <si>
    <t>2026-02-09 09:21</t>
  </si>
  <si>
    <t>San Pedro de la Paz</t>
  </si>
  <si>
    <t>Curanilahue</t>
  </si>
  <si>
    <t>Iquique</t>
  </si>
  <si>
    <t>Curacautín</t>
  </si>
  <si>
    <t>San Felipe</t>
  </si>
  <si>
    <t>Quilicura</t>
  </si>
  <si>
    <t>Chiguayante</t>
  </si>
  <si>
    <t>En Reparto</t>
  </si>
  <si>
    <t>EN REPARTO</t>
  </si>
  <si>
    <t>O Higgins 910</t>
  </si>
  <si>
    <t>Zapallar</t>
  </si>
  <si>
    <t>Cauquenes</t>
  </si>
  <si>
    <t>Frutillar</t>
  </si>
  <si>
    <t>Cabrero</t>
  </si>
  <si>
    <t>2026-02-13 14:46</t>
  </si>
  <si>
    <t>Puchuncaví</t>
  </si>
  <si>
    <t>Renca</t>
  </si>
  <si>
    <t>Isla de Maipo</t>
  </si>
  <si>
    <t>Quinchao</t>
  </si>
  <si>
    <t>San José de Maipo</t>
  </si>
  <si>
    <t>Río Bueno</t>
  </si>
  <si>
    <t>Vitacura</t>
  </si>
  <si>
    <t>Algarrobo</t>
  </si>
  <si>
    <t>Lo Barnechea</t>
  </si>
  <si>
    <t>2026-02-18 16:32</t>
  </si>
  <si>
    <t>Huechuraba</t>
  </si>
  <si>
    <t>Puente Alto</t>
  </si>
  <si>
    <t>Camila Chaler</t>
  </si>
  <si>
    <t>Buin</t>
  </si>
  <si>
    <t>Quinta Normal</t>
  </si>
  <si>
    <t>Maipú</t>
  </si>
  <si>
    <t>2026-01-27 09:38</t>
  </si>
  <si>
    <t>La Cruz</t>
  </si>
  <si>
    <t>2026-02-06 10:40</t>
  </si>
  <si>
    <t>Felipe Quezada</t>
  </si>
  <si>
    <t>2026-02-17 10:24</t>
  </si>
  <si>
    <t>Balmaceda 1475</t>
  </si>
  <si>
    <t>Cerrillos</t>
  </si>
  <si>
    <t>Independencia</t>
  </si>
  <si>
    <t>2026-02-23 09:39</t>
  </si>
  <si>
    <t>2026-02-09 13:08</t>
  </si>
  <si>
    <t>2026-02-11 09:22</t>
  </si>
  <si>
    <t>Peñaflor</t>
  </si>
  <si>
    <t>Sameday</t>
  </si>
  <si>
    <t>Cancelado por seller</t>
  </si>
  <si>
    <t>2026-02-23 11:56</t>
  </si>
  <si>
    <t>Andres Martabid</t>
  </si>
  <si>
    <t>2026-02-05 10:39</t>
  </si>
  <si>
    <t>Penco</t>
  </si>
  <si>
    <t>Tocopilla</t>
  </si>
  <si>
    <t>Alcalde 538</t>
  </si>
  <si>
    <t>2026-02-17 09:36</t>
  </si>
  <si>
    <t>2026-02-10 09:44</t>
  </si>
  <si>
    <t>Del Salvador 1093</t>
  </si>
  <si>
    <t>2026-02-12 14:50</t>
  </si>
  <si>
    <t>2026-01-29 09:15</t>
  </si>
  <si>
    <t>2026-02-09 09:22</t>
  </si>
  <si>
    <t>2026-02-16 09:23</t>
  </si>
  <si>
    <t>2026-02-16 09:26</t>
  </si>
  <si>
    <t>2026-02-23 12:36</t>
  </si>
  <si>
    <t>Camila Ramos</t>
  </si>
  <si>
    <t>2026-02-08 15:44</t>
  </si>
  <si>
    <t>2026-02-23 09:33</t>
  </si>
  <si>
    <t>2026-01-30 10:46</t>
  </si>
  <si>
    <t>2026-02-17 09:37</t>
  </si>
  <si>
    <t>2026-02-10 10:53</t>
  </si>
  <si>
    <t>2026-02-04 09:18</t>
  </si>
  <si>
    <t>2026-02-04 09:42</t>
  </si>
  <si>
    <t>2026-02-04 10:09</t>
  </si>
  <si>
    <t>2026-02-10 11:02</t>
  </si>
  <si>
    <t>2026-02-12 10:34</t>
  </si>
  <si>
    <t>2026-02-12 11:14</t>
  </si>
  <si>
    <t>DEVUELTO</t>
  </si>
  <si>
    <t>2026-02-03 11:20</t>
  </si>
  <si>
    <t>2026-02-10 16:34</t>
  </si>
  <si>
    <t>2026-02-09 09:27</t>
  </si>
  <si>
    <t>2026-02-02 09:47</t>
  </si>
  <si>
    <t>2026-02-02 10:31</t>
  </si>
  <si>
    <t>2026-01-27 10:06</t>
  </si>
  <si>
    <t>2026-01-26 12:42</t>
  </si>
  <si>
    <t>19349</t>
  </si>
  <si>
    <t>2026-02-09 09:20</t>
  </si>
  <si>
    <t>Francisco Henriquez</t>
  </si>
  <si>
    <t>2026-01-27 09:46</t>
  </si>
  <si>
    <t>2026-01-27 09:45</t>
  </si>
  <si>
    <t>2026-02-09 10:13</t>
  </si>
  <si>
    <t>2026-02-05 11:29</t>
  </si>
  <si>
    <t>2026-02-05 11:30</t>
  </si>
  <si>
    <t>2026-02-04 12:28</t>
  </si>
  <si>
    <t>2026-02-09 13:39</t>
  </si>
  <si>
    <t>Francisco Moreno</t>
  </si>
  <si>
    <t>2026-02-20 11:09</t>
  </si>
  <si>
    <t>CALLE TORREMOLINOS 320,LOCAL 4</t>
  </si>
  <si>
    <t>2026-02-06 10:37</t>
  </si>
  <si>
    <t>2026-01-28 09:50</t>
  </si>
  <si>
    <t>Bajo Molle S.N KM 8</t>
  </si>
  <si>
    <t>2026-02-02 09:44</t>
  </si>
  <si>
    <t>2026-02-13 14:48</t>
  </si>
  <si>
    <t>2026-02-02 15:26</t>
  </si>
  <si>
    <t>2026-02-23 12:49</t>
  </si>
  <si>
    <t>2026-02-23 15:01</t>
  </si>
  <si>
    <t>2026-02-23 09:37</t>
  </si>
  <si>
    <t>2026-02-23 09:36</t>
  </si>
  <si>
    <t>2026-02-18 13:26</t>
  </si>
  <si>
    <t>2026-02-18 09:24</t>
  </si>
  <si>
    <t>Marcelo Fuentes</t>
  </si>
  <si>
    <t>Javiera Soto</t>
  </si>
  <si>
    <t>2026-02-10 10:38</t>
  </si>
  <si>
    <t>2026-02-10 10:39</t>
  </si>
  <si>
    <t>2026-02-02 18:19</t>
  </si>
  <si>
    <t>2026-02-02 09:33</t>
  </si>
  <si>
    <t>LOS CARRERA 1387</t>
  </si>
  <si>
    <t>2026-02-17 12:29</t>
  </si>
  <si>
    <t>Delicias del Sur # 562</t>
  </si>
  <si>
    <t>2026-02-12 10:31</t>
  </si>
  <si>
    <t>2026-02-17 10:10</t>
  </si>
  <si>
    <t>2026-02-05 11:08</t>
  </si>
  <si>
    <t>2026-02-24 10:09</t>
  </si>
  <si>
    <t>2026-02-17 10:26</t>
  </si>
  <si>
    <t>Paulina 8231</t>
  </si>
  <si>
    <t>Manuel Alvarez Rosales</t>
  </si>
  <si>
    <t>2026-02-09 09:33</t>
  </si>
  <si>
    <t>2026-02-02 09:28</t>
  </si>
  <si>
    <t>2026-02-18 09:28</t>
  </si>
  <si>
    <t>2026-02-23 12:30</t>
  </si>
  <si>
    <t>2026-02-02 14:45</t>
  </si>
  <si>
    <t>MATURANA 195</t>
  </si>
  <si>
    <t>2026-01-26 09:19</t>
  </si>
  <si>
    <t>2026-02-16 10:08</t>
  </si>
  <si>
    <t>2026-02-04 15:19</t>
  </si>
  <si>
    <t>Pichidegua</t>
  </si>
  <si>
    <t>2026-02-03 10:29</t>
  </si>
  <si>
    <t>2026-02-03 10:28</t>
  </si>
  <si>
    <t>2026-01-29 09:59</t>
  </si>
  <si>
    <t>2026-01-30 13:41</t>
  </si>
  <si>
    <t>2026-02-11 09:12</t>
  </si>
  <si>
    <t>2026-02-03 15:51</t>
  </si>
  <si>
    <t>2026-02-23 10:09</t>
  </si>
  <si>
    <t>2026-02-03 09:35</t>
  </si>
  <si>
    <t>2026-01-27 09:37</t>
  </si>
  <si>
    <t>2026-02-04 17:18</t>
  </si>
  <si>
    <t>2026-02-02 09:48</t>
  </si>
  <si>
    <t>2026-01-27 09:36</t>
  </si>
  <si>
    <t>Kaltemp</t>
  </si>
  <si>
    <t>NOMBRE RETIRA: SEBASTIAN ESPINOZA M RUT RETIRA: 15330618-4</t>
  </si>
  <si>
    <t>Manuel Easton</t>
  </si>
  <si>
    <t>Av. Américo Vespucio 400</t>
  </si>
  <si>
    <t>Camino La Palma 9 (Referencia: Porto metalico negro)</t>
  </si>
  <si>
    <t>20076</t>
  </si>
  <si>
    <t>264913514</t>
  </si>
  <si>
    <t>NOMBRE RETIRA: RODRIGO CISTERNAS . RUT RETIRA: 14093395-3</t>
  </si>
  <si>
    <t>Rodrigo Cisternas Castro</t>
  </si>
  <si>
    <t>El Parronal #07382</t>
  </si>
  <si>
    <t>2026-02-23 10:14</t>
  </si>
  <si>
    <t>38210</t>
  </si>
  <si>
    <t>264932354</t>
  </si>
  <si>
    <t>NOMBRE RETIRA: DIORI MURGA DIAZ RUT RETIRA: 12851147-4</t>
  </si>
  <si>
    <t>Diony Murga Díaz</t>
  </si>
  <si>
    <t>Pasaje tacora 0413</t>
  </si>
  <si>
    <t>20058</t>
  </si>
  <si>
    <t>264614370</t>
  </si>
  <si>
    <t>NOMBRE RETIRA: LUIS MONTIEL 0951494665 . RUT RETIRA: 11111111-1</t>
  </si>
  <si>
    <t>LUIS ARMANDO MONTIEL OCHOA</t>
  </si>
  <si>
    <t>Av. Laguna Grande 115, local 8 y 9, 4131942 Biobío, San Pedro de la Paz, Bío Bío, Chile</t>
  </si>
  <si>
    <t>2026-02-18 11:03</t>
  </si>
  <si>
    <t>20077</t>
  </si>
  <si>
    <t>264930939</t>
  </si>
  <si>
    <t>NOMBRE RETIRA: ELEAMAR VEREDETE SANCHEZ RUT RETIRA: 26771084-8</t>
  </si>
  <si>
    <t>LORENA ELGUETA</t>
  </si>
  <si>
    <t>Calle Las Quemas 1687</t>
  </si>
  <si>
    <t>53038</t>
  </si>
  <si>
    <t>264930242</t>
  </si>
  <si>
    <t>NOMBRE RETIRA: JESUS MATA C RUT RETIRA: 56025030-4</t>
  </si>
  <si>
    <t>Maria Alicia Madrid Barros</t>
  </si>
  <si>
    <t>Málaga, 950, depto 51</t>
  </si>
  <si>
    <t>53040</t>
  </si>
  <si>
    <t>264946371</t>
  </si>
  <si>
    <t>NOMBRE RETIRA: PAMELA RODRIGUE ... . RUT RETIRA: 10685106-9</t>
  </si>
  <si>
    <t>Santos Apostoles, 2496</t>
  </si>
  <si>
    <t>11105</t>
  </si>
  <si>
    <t>264928356</t>
  </si>
  <si>
    <t>NOMBRE RETIRA: BARBARA MONTECINOS Y H RUT RETIRA: 23303088-0</t>
  </si>
  <si>
    <t>Alejandro Fierro Jiménez</t>
  </si>
  <si>
    <t>ESPOZ 4150 -103</t>
  </si>
  <si>
    <t>38209</t>
  </si>
  <si>
    <t>264925097</t>
  </si>
  <si>
    <t>NOMBRE RETIRA: MARIA JOSE VALDES A RUT RETIRA: 18356540-0</t>
  </si>
  <si>
    <t>Rodrigo Salvatierra</t>
  </si>
  <si>
    <t>manuel barrios 4890</t>
  </si>
  <si>
    <t>20056</t>
  </si>
  <si>
    <t>264614974</t>
  </si>
  <si>
    <t>NOMBRE RETIRA: CHARLES ARANCIBIA . RUT RETIRA: 10223827-3</t>
  </si>
  <si>
    <t>Charles Arancibia rojas</t>
  </si>
  <si>
    <t>2026-02-18 11:08</t>
  </si>
  <si>
    <t>11098</t>
  </si>
  <si>
    <t>264612730</t>
  </si>
  <si>
    <t>NOMBRE RETIRA: ISMAEL VALENZUELA . RUT RETIRA: 16795985-7</t>
  </si>
  <si>
    <t>Maria José Neculman</t>
  </si>
  <si>
    <t>Hipódromo chile 1701 dep 1404</t>
  </si>
  <si>
    <t>53036</t>
  </si>
  <si>
    <t>264784343</t>
  </si>
  <si>
    <t>NOMBRE RETIRA: ROBINSON ALVAREZ C RUT RETIRA: 21619011-4</t>
  </si>
  <si>
    <t>Robinson Alvarez Sabando</t>
  </si>
  <si>
    <t>Pasaje del Arreo 276</t>
  </si>
  <si>
    <t>2026-02-20 15:23</t>
  </si>
  <si>
    <t>53026</t>
  </si>
  <si>
    <t>264749723</t>
  </si>
  <si>
    <t>NOMBRE RETIRA: RIGOBERTO ORTEGA U RUT RETIRA: 13885275-K</t>
  </si>
  <si>
    <t>Sebastian Salata</t>
  </si>
  <si>
    <t>Los Trigales, 7435, Floor 811A</t>
  </si>
  <si>
    <t>2026-02-20 09:33</t>
  </si>
  <si>
    <t>17824</t>
  </si>
  <si>
    <t>264719448</t>
  </si>
  <si>
    <t>NOMBRE RETIRA: JOCELYN MUNOZ . RUT RETIRA: 15188595-0</t>
  </si>
  <si>
    <t>Heraldo Inostroza torres</t>
  </si>
  <si>
    <t>Gonzalo rojas 3699, Villa costa verde</t>
  </si>
  <si>
    <t>38187</t>
  </si>
  <si>
    <t>264689007</t>
  </si>
  <si>
    <t>NOMBRE RETIRA: WILSON VALENZUELA . RUT RETIRA: 18776011-9</t>
  </si>
  <si>
    <t>WILSON VALENZUELA</t>
  </si>
  <si>
    <t>Lleu Lleu 106 Villa Los Álamos</t>
  </si>
  <si>
    <t>2026-02-19 10:54</t>
  </si>
  <si>
    <t>17822</t>
  </si>
  <si>
    <t>264620102</t>
  </si>
  <si>
    <t>NOMBRE RETIRA: DENISE BUGUEMOB B RUT RETIRA: 12244989-0</t>
  </si>
  <si>
    <t>Carmen Beckdorf von Loebenstein</t>
  </si>
  <si>
    <t>Phillipi 1250</t>
  </si>
  <si>
    <t>2026-02-18 09:26</t>
  </si>
  <si>
    <t>52992</t>
  </si>
  <si>
    <t>264627874</t>
  </si>
  <si>
    <t>NOMBRE RETIRA: JEANETTE CORREA N RUT RETIRA: 15708441-0</t>
  </si>
  <si>
    <t>Jeannette Correa</t>
  </si>
  <si>
    <t>La Rioja, 3424</t>
  </si>
  <si>
    <t>52990</t>
  </si>
  <si>
    <t>264627840</t>
  </si>
  <si>
    <t>NOMBRE RETIRA: MONICA CABALLEROS C RUT RETIRA: 19557063-9</t>
  </si>
  <si>
    <t>IDILIA CABALLERO</t>
  </si>
  <si>
    <t>Einstein, 1379</t>
  </si>
  <si>
    <t>2026-02-18 13:25</t>
  </si>
  <si>
    <t>52991</t>
  </si>
  <si>
    <t>264627846</t>
  </si>
  <si>
    <t>NOMBRE RETIRA: CAMILA RAMOS S RUT RETIRA: 15456033-5</t>
  </si>
  <si>
    <t>Terranova 1266, 1266</t>
  </si>
  <si>
    <t>20055</t>
  </si>
  <si>
    <t>264614959</t>
  </si>
  <si>
    <t>NOMBRE RETIRA: JOSE LARA Y RUT RETIRA: 5986406-8</t>
  </si>
  <si>
    <t>LEONARDO CORREA</t>
  </si>
  <si>
    <t>Las amapolas 1682</t>
  </si>
  <si>
    <t>2026-02-18 11:06</t>
  </si>
  <si>
    <t>52962</t>
  </si>
  <si>
    <t>264519573</t>
  </si>
  <si>
    <t>NOMBRE RETIRA: TOMAS SILVA P RUT RETIRA: 17578455-1</t>
  </si>
  <si>
    <t>isidora Nualart</t>
  </si>
  <si>
    <t>Torremolinos, 233</t>
  </si>
  <si>
    <t>20052</t>
  </si>
  <si>
    <t>264523450</t>
  </si>
  <si>
    <t>NOMBRE RETIRA: PABLO VILLAGRAN . RUT RETIRA: 10949909-9</t>
  </si>
  <si>
    <t>Pablo Andrés Villagrán</t>
  </si>
  <si>
    <t>Calle del sol 85, depto 242</t>
  </si>
  <si>
    <t>20050</t>
  </si>
  <si>
    <t>264523700</t>
  </si>
  <si>
    <t>NOMBRE RETIRA: GABRIEL BRAVO . RUT RETIRA: 65161236-5</t>
  </si>
  <si>
    <t>Florencia Kretschmer</t>
  </si>
  <si>
    <t>52888</t>
  </si>
  <si>
    <t>264221862</t>
  </si>
  <si>
    <t>NOMBRE RETIRA: VALENTIN MORENO L RUT RETIRA: 16149653-7</t>
  </si>
  <si>
    <t>Silvana Cardenas</t>
  </si>
  <si>
    <t>Avenida casiopea 8773</t>
  </si>
  <si>
    <t>2026-02-12 11:12</t>
  </si>
  <si>
    <t>52961</t>
  </si>
  <si>
    <t>264519542</t>
  </si>
  <si>
    <t>NOMBRE RETIRA: JOSE PEREZ . RUT RETIRA: 7832226-8</t>
  </si>
  <si>
    <t>Dayanna Monges</t>
  </si>
  <si>
    <t>Collao, 750, depto 907</t>
  </si>
  <si>
    <t>264519558</t>
  </si>
  <si>
    <t>NOMBRE RETIRA: EVELYN MUNOZ . RUT RETIRA: 7533658-6</t>
  </si>
  <si>
    <t>Carolina Collado Castillo</t>
  </si>
  <si>
    <t>Lorca prieto, 176, depto 35,</t>
  </si>
  <si>
    <t>20043</t>
  </si>
  <si>
    <t>264443580</t>
  </si>
  <si>
    <t>NOMBRE RETIRA: JOSE AVENDANO GUTIERREZ RUT RETIRA: 5413681-1</t>
  </si>
  <si>
    <t>Marcelo Avendaño</t>
  </si>
  <si>
    <t>17806</t>
  </si>
  <si>
    <t>264284607</t>
  </si>
  <si>
    <t>NOMBRE RETIRA: ALEXA LILAYU . RUT RETIRA: 12059257-2</t>
  </si>
  <si>
    <t>ignacio henderson</t>
  </si>
  <si>
    <t>maximo reyes 02260, temuco</t>
  </si>
  <si>
    <t>38142</t>
  </si>
  <si>
    <t>264314021</t>
  </si>
  <si>
    <t>NOMBRE RETIRA: ALEJANDRA URIBARRI . . RUT RETIRA: 13840836-1</t>
  </si>
  <si>
    <t>Pedro Uribarri</t>
  </si>
  <si>
    <t>Calle Ocho 11277 La Florida</t>
  </si>
  <si>
    <t>52903</t>
  </si>
  <si>
    <t>264314145</t>
  </si>
  <si>
    <t>NOMBRE RETIRA: FABIP ARAVENA . RUT RETIRA: 53308500-8</t>
  </si>
  <si>
    <t>Lucía Gutiérrez</t>
  </si>
  <si>
    <t>Bellavista 05, Oficina 311</t>
  </si>
  <si>
    <t>38140</t>
  </si>
  <si>
    <t>264306950</t>
  </si>
  <si>
    <t>NOMBRE RETIRA: GUSTAVO FAUNDEZ . RUT RETIRA: 15173717-K</t>
  </si>
  <si>
    <t>Gustavo Alonso Faúndez Barra</t>
  </si>
  <si>
    <t>avenida Vial 213 comuna de Cabrero, Región del Biobío</t>
  </si>
  <si>
    <t>2026-02-13 13:17</t>
  </si>
  <si>
    <t>52889</t>
  </si>
  <si>
    <t>264221864</t>
  </si>
  <si>
    <t>NOMBRE RETIRA: ANA GOMEZ C RUT RETIRA: 20448649-2</t>
  </si>
  <si>
    <t>German Sandoval Mitnik</t>
  </si>
  <si>
    <t>Diego de Deza 1100, depto 901</t>
  </si>
  <si>
    <t>2026-02-12 11:13</t>
  </si>
  <si>
    <t>17776-2</t>
  </si>
  <si>
    <t>263962386</t>
  </si>
  <si>
    <t>NOMBRE RETIRA: FRANCISCA PENA D ARDAILLON RUT RETIRA: 14118509-8</t>
  </si>
  <si>
    <t>Francisca Peña Dardaillon</t>
  </si>
  <si>
    <t>2026-02-04 12:43</t>
  </si>
  <si>
    <t>52890</t>
  </si>
  <si>
    <t>264221869</t>
  </si>
  <si>
    <t>NOMBRE RETIRA: JOSE RETAMALES . RUT RETIRA: 17908211-K</t>
  </si>
  <si>
    <t>Gloria Ruiz Maragano</t>
  </si>
  <si>
    <t>Avenida España 397, depto 812</t>
  </si>
  <si>
    <t>52876</t>
  </si>
  <si>
    <t>264128579</t>
  </si>
  <si>
    <t>Maria Pia Fierro Ebner</t>
  </si>
  <si>
    <t>Av Cristobal Colon 5185, depto 193</t>
  </si>
  <si>
    <t>20021</t>
  </si>
  <si>
    <t>264088734</t>
  </si>
  <si>
    <t>NOMBRE RETIRA: LUIS CARRASCO A RUT RETIRA: 7980195-K</t>
  </si>
  <si>
    <t>Luis Araya G.</t>
  </si>
  <si>
    <t>EL BOSQUE 0115, VILLA ALEMANA.</t>
  </si>
  <si>
    <t>2026-02-10 16:26</t>
  </si>
  <si>
    <t>52867</t>
  </si>
  <si>
    <t>264127089</t>
  </si>
  <si>
    <t>NOMBRE RETIRA: PAULA FERNANDEZ . RUT RETIRA: 16402977-8</t>
  </si>
  <si>
    <t>Paula Fernández Cajas</t>
  </si>
  <si>
    <t>Entrelomas 380</t>
  </si>
  <si>
    <t>2026-02-11 08:50</t>
  </si>
  <si>
    <t>264127136</t>
  </si>
  <si>
    <t>NOMBRE RETIRA: MARIA PERALINO B RUT RETIRA: 15988892-4</t>
  </si>
  <si>
    <t>Daniela Avello</t>
  </si>
  <si>
    <t>Prieto norte 269</t>
  </si>
  <si>
    <t>2026-02-11 08:55</t>
  </si>
  <si>
    <t>38106</t>
  </si>
  <si>
    <t>264050331</t>
  </si>
  <si>
    <t>NOMBRE RETIRA: CRISTIAN SORIANO BARRIENTO RUT RETIRA: 10552567-2</t>
  </si>
  <si>
    <t>Andrea Nazar Osman</t>
  </si>
  <si>
    <t>17791</t>
  </si>
  <si>
    <t>263949057</t>
  </si>
  <si>
    <t>NOMBRE RETIRA: ORASIO MORAGA MALDONADO RUT RETIRA: 17747492-4</t>
  </si>
  <si>
    <t>Condominio Vista Hermosa, Parcela 20, Puerto Varas</t>
  </si>
  <si>
    <t>52861</t>
  </si>
  <si>
    <t>264047662</t>
  </si>
  <si>
    <t>NOMBRE RETIRA: CLAUDIO CABRERA . RUT RETIRA: 18838350-5</t>
  </si>
  <si>
    <t>Claudio Cabrera</t>
  </si>
  <si>
    <t>Arica, 75, Floor Casa, Stair Perpendicular a Monte Aconcagua</t>
  </si>
  <si>
    <t>52862</t>
  </si>
  <si>
    <t>264047673</t>
  </si>
  <si>
    <t>NOMBRE RETIRA: RODRIGO CADENAS B RUT RETIRA: 53305127-8</t>
  </si>
  <si>
    <t>Mauro Rojas Gacitua</t>
  </si>
  <si>
    <t>Visviri 1580, Depto 73</t>
  </si>
  <si>
    <t>52836</t>
  </si>
  <si>
    <t>264050326</t>
  </si>
  <si>
    <t>NOMBRE RETIRA: LUIS REMIGIO , RUT RETIRA: 14748608-1</t>
  </si>
  <si>
    <t>Luis Remigio</t>
  </si>
  <si>
    <t>Las Verbenas N° 8435</t>
  </si>
  <si>
    <t>20019</t>
  </si>
  <si>
    <t>264050346</t>
  </si>
  <si>
    <t>NOMBRE RETIRA: JORGE TACHI H G RUT RETIRA: 7208294-K</t>
  </si>
  <si>
    <t>JORGE TACCHI</t>
  </si>
  <si>
    <t>calle Las Pinpinelas número 2066, Providencia.</t>
  </si>
  <si>
    <t>52830</t>
  </si>
  <si>
    <t>263946273</t>
  </si>
  <si>
    <t>NOMBRE RETIRA: VICENTE SOTO . RUT RETIRA: 22258832-4</t>
  </si>
  <si>
    <t>El retiro 55</t>
  </si>
  <si>
    <t>17785</t>
  </si>
  <si>
    <t>263948986</t>
  </si>
  <si>
    <t>NOMBRE RETIRA: ROXANA FLOREA . RUT RETIRA: 13017931-2</t>
  </si>
  <si>
    <t>Roxana Flores</t>
  </si>
  <si>
    <t>Emilia pardo Bazán  120, Villa Peñuelas 1</t>
  </si>
  <si>
    <t>19989</t>
  </si>
  <si>
    <t>263697716</t>
  </si>
  <si>
    <t>NOMBRE RETIRA: NELSON UMANA SOTO RUT RETIRA: 12697148-6</t>
  </si>
  <si>
    <t>TERMINACION Y ACABADO DE EDIFICIOS NELSON FEDOR UMAÑA SOTO EIR</t>
  </si>
  <si>
    <t>Camilo Henríquez 2981, 4080542 Concepción, Bío Bío, Chile</t>
  </si>
  <si>
    <t>19996</t>
  </si>
  <si>
    <t>263777867</t>
  </si>
  <si>
    <t>NOMBRE RETIRA: MAGALY MENDEZ . RUT RETIRA: 6897746-0</t>
  </si>
  <si>
    <t>CESAR PARRA</t>
  </si>
  <si>
    <t>Pasaje los chunchos 3008</t>
  </si>
  <si>
    <t>2026-02-05 18:03</t>
  </si>
  <si>
    <t>38063</t>
  </si>
  <si>
    <t>263777876</t>
  </si>
  <si>
    <t>NOMBRE RETIRA: JAVIER AVENDANO . RUT RETIRA: 18245833-3</t>
  </si>
  <si>
    <t>Javier Avendaño</t>
  </si>
  <si>
    <t>Avenida Jose Rabat 11005, Casa 72. Piedra Roja, Colina</t>
  </si>
  <si>
    <t>2026-02-06 10:36</t>
  </si>
  <si>
    <t>17782</t>
  </si>
  <si>
    <t>263803520</t>
  </si>
  <si>
    <t>NOMBRE RETIRA: FACUNDO TAPIA B RUT RETIRA: 22687155-1</t>
  </si>
  <si>
    <t>Guisela Tapia sepulveda</t>
  </si>
  <si>
    <t>general bonilla 1476</t>
  </si>
  <si>
    <t>2026-02-06 10:32</t>
  </si>
  <si>
    <t>19979</t>
  </si>
  <si>
    <t>263777880</t>
  </si>
  <si>
    <t>NOMBRE RETIRA: FERNANDO CARRASCO ZUNIGA RUT RETIRA: 9755383-1</t>
  </si>
  <si>
    <t>Piscinas Fibrazul EIRL</t>
  </si>
  <si>
    <t>11088</t>
  </si>
  <si>
    <t>263800340</t>
  </si>
  <si>
    <t>NOMBRE RETIRA: EINAR SEPULVEDA . RUT RETIRA: 16603014-5</t>
  </si>
  <si>
    <t>Einer Sepúlveda Zúñiga</t>
  </si>
  <si>
    <t>Lord Cochrane 599, paseje travesia, casa 35</t>
  </si>
  <si>
    <t>52786</t>
  </si>
  <si>
    <t>263699751</t>
  </si>
  <si>
    <t>NOMBRE RETIRA: ALISON LEON . RUT RETIRA: 53332809-1</t>
  </si>
  <si>
    <t>Karla Garcia</t>
  </si>
  <si>
    <t>Conde del Maule, 4670, Depto 1502</t>
  </si>
  <si>
    <t>19046</t>
  </si>
  <si>
    <t>263142768</t>
  </si>
  <si>
    <t>NOMBRE RETIRA: JAIME MORALES . RUT RETIRA: 17932679-5</t>
  </si>
  <si>
    <t>Luis Arnaboldi</t>
  </si>
  <si>
    <t>Aguas claras norte 65, cachagua</t>
  </si>
  <si>
    <t>2026-01-08 17:21</t>
  </si>
  <si>
    <t>52787</t>
  </si>
  <si>
    <t>263699756</t>
  </si>
  <si>
    <t>NOMBRE RETIRA: RUTH PINTO . RUT RETIRA: 5077887-8</t>
  </si>
  <si>
    <t>Ruth Pinto</t>
  </si>
  <si>
    <t>Julio Barrenechea, 0743</t>
  </si>
  <si>
    <t>38043</t>
  </si>
  <si>
    <t>263621101</t>
  </si>
  <si>
    <t>NOMBRE RETIRA: GLADYS FUENTES S S RUT RETIRA: 7639545-4</t>
  </si>
  <si>
    <t>Gladys Fuentes Mella</t>
  </si>
  <si>
    <t>panguilemito norte sin número km 234 el Maule</t>
  </si>
  <si>
    <t>2026-02-04 12:25</t>
  </si>
  <si>
    <t>19995</t>
  </si>
  <si>
    <t>263704787</t>
  </si>
  <si>
    <t>NOMBRE RETIRA: JEAN MICHEL S RUT RETIRA: 13198581-9</t>
  </si>
  <si>
    <t>Jean Michel</t>
  </si>
  <si>
    <t>Los Canelos 16 (condominio los Bosques)</t>
  </si>
  <si>
    <t>servicio04022026</t>
  </si>
  <si>
    <t>263651028</t>
  </si>
  <si>
    <t>NOMBRE RETIRA: CAMILA CARRILLO . RUT RETIRA: 20596540-8</t>
  </si>
  <si>
    <t>Camila Carrillo Cortes</t>
  </si>
  <si>
    <t>compañia de jesus 2749</t>
  </si>
  <si>
    <t>17781</t>
  </si>
  <si>
    <t>263704782</t>
  </si>
  <si>
    <t>NOMBRE RETIRA: DANAE OYARZUN . RUT RETIRA: 10632029-2</t>
  </si>
  <si>
    <t>Danae Oyarzún</t>
  </si>
  <si>
    <t>Sirio 311, Con con</t>
  </si>
  <si>
    <t>2026-02-05 10:07</t>
  </si>
  <si>
    <t>17734-2</t>
  </si>
  <si>
    <t>263417833</t>
  </si>
  <si>
    <t>NOMBRE RETIRA: RICARDO PALACIOS SOTO RUT RETIRA: 13956319-0</t>
  </si>
  <si>
    <t>RICARDO PALACIOS</t>
  </si>
  <si>
    <t>Freire 445 Loc.C</t>
  </si>
  <si>
    <t>19980</t>
  </si>
  <si>
    <t>263621088</t>
  </si>
  <si>
    <t>NOMBRE RETIRA: RENE URRUTIA . RUT RETIRA: 5352896-1</t>
  </si>
  <si>
    <t>RENE URRUTIA CORONADO</t>
  </si>
  <si>
    <t>EUSEBIO LILLO 1882 QUILPUE</t>
  </si>
  <si>
    <t>19977</t>
  </si>
  <si>
    <t>263621110</t>
  </si>
  <si>
    <t>NOMBRE RETIRA: TOMMY FLORES PINAYA RUT RETIRA: 24340894-6</t>
  </si>
  <si>
    <t>CONSTRUCCIONES EN GENERAL TOMMY FLORES SPA</t>
  </si>
  <si>
    <t>Miraflores Nø 679</t>
  </si>
  <si>
    <t>2026-02-04 12:32</t>
  </si>
  <si>
    <t>52739</t>
  </si>
  <si>
    <t>263518740</t>
  </si>
  <si>
    <t>NOMBRE RETIRA: ANA ORELLANA H RUT RETIRA: 7626812-6</t>
  </si>
  <si>
    <t>Martin Ramirez</t>
  </si>
  <si>
    <t>Taironas, 1808</t>
  </si>
  <si>
    <t>52740</t>
  </si>
  <si>
    <t>263518745</t>
  </si>
  <si>
    <t>NOMBRE RETIRA: BAYRIN TEYLOR A RUT RETIRA: 14127403-1</t>
  </si>
  <si>
    <t>Valentina Diaz</t>
  </si>
  <si>
    <t>Gabriel Palma 854, depto 506 B,</t>
  </si>
  <si>
    <t>52741</t>
  </si>
  <si>
    <t>263518723</t>
  </si>
  <si>
    <t>NOMBRE RETIRA: LIIS O O RUT RETIRA: 53317726-3</t>
  </si>
  <si>
    <t>Eduardo Leon Rafael</t>
  </si>
  <si>
    <t>Fray Camilo Henríquez 190, Depto. 1605</t>
  </si>
  <si>
    <t>19964</t>
  </si>
  <si>
    <t>263264564</t>
  </si>
  <si>
    <t>NOMBRE RETIRA: ALEJANDRO TORFE 0 RUT RETIRA: 77410606-5</t>
  </si>
  <si>
    <t>INVERSIONES OMEGA SPA</t>
  </si>
  <si>
    <t>2026-01-30 10:49</t>
  </si>
  <si>
    <t>19959</t>
  </si>
  <si>
    <t>263203271</t>
  </si>
  <si>
    <t>NOMBRE RETIRA: MAURICIO ANTONIO VARGAS GODOY RUT RETIRA: 18434926-4</t>
  </si>
  <si>
    <t>Edgar Ignacio Quiñones Zarate</t>
  </si>
  <si>
    <t>2026-01-29 12:43</t>
  </si>
  <si>
    <t>37641</t>
  </si>
  <si>
    <t>263264331</t>
  </si>
  <si>
    <t>NOMBRE RETIRA: LUIS OSORIO . RUT RETIRA: 5303929-4</t>
  </si>
  <si>
    <t>Pablo Mardones</t>
  </si>
  <si>
    <t>Camino antiguo Maitencillo S/N, sector Las Lomas, condominio lomas de maitencillo, casa 22.</t>
  </si>
  <si>
    <t>37951</t>
  </si>
  <si>
    <t>263129660</t>
  </si>
  <si>
    <t>NOMBRE RETIRA: HECTOR FERNANDEZ 0 RUT RETIRA: 7399290-7</t>
  </si>
  <si>
    <t>Héctor Fernandez</t>
  </si>
  <si>
    <t>Alianza Cristiana Y Misionera 150</t>
  </si>
  <si>
    <t>2026-01-28 12:51</t>
  </si>
  <si>
    <t>19918</t>
  </si>
  <si>
    <t>263189328</t>
  </si>
  <si>
    <t>NOMBRE RETIRA: CRISTIAN MORAGA REYES RUT RETIRA: 16947378-1</t>
  </si>
  <si>
    <t>37971</t>
  </si>
  <si>
    <t>263189290</t>
  </si>
  <si>
    <t>NOMBRE RETIRA: SOLEDAD GARRIDO 0 RUT RETIRA: 11095265-1</t>
  </si>
  <si>
    <t>MANUEL JOSE CERDA</t>
  </si>
  <si>
    <t>SANTA ROSA 575 OF 31</t>
  </si>
  <si>
    <t>2026-01-29 09:26</t>
  </si>
  <si>
    <t>37976</t>
  </si>
  <si>
    <t>263189326</t>
  </si>
  <si>
    <t>NOMBRE RETIRA: PATRICIA VILLAGRAM VILLAGRAM RUT RETIRA: 11157880-K</t>
  </si>
  <si>
    <t>Valeria Ruz Hernández</t>
  </si>
  <si>
    <t>doctor Roberto del rio 2060</t>
  </si>
  <si>
    <t>2026-01-29 09:54</t>
  </si>
  <si>
    <t>19956</t>
  </si>
  <si>
    <t>263189320</t>
  </si>
  <si>
    <t>NOMBRE RETIRA: OSCAR CATALAN . . RUT RETIRA: 56065470-7</t>
  </si>
  <si>
    <t>JUAN DUARTE</t>
  </si>
  <si>
    <t>fontana rosa 6655 d 801</t>
  </si>
  <si>
    <t>2026-01-29 09:47</t>
  </si>
  <si>
    <t>19949</t>
  </si>
  <si>
    <t>263114664</t>
  </si>
  <si>
    <t>NOMBRE RETIRA: DIANA VALDERRAMA . RUT RETIRA: 8561731-1</t>
  </si>
  <si>
    <t>Diana Valderrama</t>
  </si>
  <si>
    <t>AVENIDA COLON 2886</t>
  </si>
  <si>
    <t>2026-01-27 10:46</t>
  </si>
  <si>
    <t>19951</t>
  </si>
  <si>
    <t>263116775</t>
  </si>
  <si>
    <t>NOMBRE RETIRA: JORGE FERNANDEZ . RUT RETIRA: 18259284-6</t>
  </si>
  <si>
    <t>Jorge Fernandez Chávez</t>
  </si>
  <si>
    <t>María Eufrasia 1440</t>
  </si>
  <si>
    <t>19891</t>
  </si>
  <si>
    <t>262577196</t>
  </si>
  <si>
    <t>2026-01-20 10:51</t>
  </si>
  <si>
    <t>52616</t>
  </si>
  <si>
    <t>263030542</t>
  </si>
  <si>
    <t>NOMBRE RETIRA: MANUEL . . RUT RETIRA: 20846697-6</t>
  </si>
  <si>
    <t>Clara Szwarc Roumengas</t>
  </si>
  <si>
    <t>Chile España, 1082, Floor 403</t>
  </si>
  <si>
    <t>52617</t>
  </si>
  <si>
    <t>263030527</t>
  </si>
  <si>
    <t>NOMBRE RETIRA: CRITIAN PARRA N RUT RETIRA: 18083238-6</t>
  </si>
  <si>
    <t>Martin Correa Ortiz</t>
  </si>
  <si>
    <t>General San Martin, 765, Stair Dejar en la puerta principal de la carcel colina 2</t>
  </si>
  <si>
    <t>11085</t>
  </si>
  <si>
    <t>263031277</t>
  </si>
  <si>
    <t>NOMBRE RETIRA: CATALINA .EZAROM . RUT RETIRA: 17270579-0</t>
  </si>
  <si>
    <t>Catalina Meszaros Elgueta</t>
  </si>
  <si>
    <t>Camino maipo viluco 3010</t>
  </si>
  <si>
    <t>2026-01-25 16:30</t>
  </si>
  <si>
    <t>37947</t>
  </si>
  <si>
    <t>263032648</t>
  </si>
  <si>
    <t>NOMBRE RETIRA: PATRICIA DISZ .. RUT RETIRA: 11359924-3</t>
  </si>
  <si>
    <t>Milton Yeomans Carrascos</t>
  </si>
  <si>
    <t>Juan fernandez 469</t>
  </si>
  <si>
    <t>52620</t>
  </si>
  <si>
    <t>263030557</t>
  </si>
  <si>
    <t>NOMBRE RETIRA: GERALDINE MONDENHAUE M RUT RETIRA: 13237408-2</t>
  </si>
  <si>
    <t>Geraldine Moldenhauer</t>
  </si>
  <si>
    <t>Arauco, 1197</t>
  </si>
  <si>
    <t>52619</t>
  </si>
  <si>
    <t>263030555</t>
  </si>
  <si>
    <t>NOMBRE RETIRA: LUISA CONTADOR M RUT RETIRA: 13237408-2</t>
  </si>
  <si>
    <t>Luisa Contador</t>
  </si>
  <si>
    <t>Arauco, 1197 B</t>
  </si>
  <si>
    <t>52618</t>
  </si>
  <si>
    <t>263030545</t>
  </si>
  <si>
    <t>NOMBRE RETIRA: LUIS FIGEROA A RUT RETIRA: 21173317-9</t>
  </si>
  <si>
    <t>FELIX AURELIO OTEIZA ALARCON</t>
  </si>
  <si>
    <t>HERIBERTO COBARRUBIAS, 41, Floor 704</t>
  </si>
  <si>
    <t>19941</t>
  </si>
  <si>
    <t>263032589</t>
  </si>
  <si>
    <t>NOMBRE RETIRA: CRISTOBAL BALBOA G RUT RETIRA: 18749409-5</t>
  </si>
  <si>
    <t>Piscinas Cyan Spa</t>
  </si>
  <si>
    <t>Calle Santa Elena #1260, Condominio Mirador 2, Casa 85</t>
  </si>
  <si>
    <t>2026-01-27 09:58</t>
  </si>
  <si>
    <t>52234</t>
  </si>
  <si>
    <t>262183650</t>
  </si>
  <si>
    <t>NOMBRE RETIRA: CARLOS ZUNIGA . RUT RETIRA: 13082677-6</t>
  </si>
  <si>
    <t>Eunice Chandia zuniga</t>
  </si>
  <si>
    <t>Inca de oro, 7752</t>
  </si>
  <si>
    <t>2026-01-12 15:46</t>
  </si>
  <si>
    <t>52236</t>
  </si>
  <si>
    <t>262183774</t>
  </si>
  <si>
    <t>NOMBRE RETIRA: CONSERJE RESIVE ROBERTO BADILLA RUT RETIRA: 22295471-1</t>
  </si>
  <si>
    <t>Nicolas Uribe</t>
  </si>
  <si>
    <t>Los militares, 5777, Depto 804</t>
  </si>
  <si>
    <t>19917</t>
  </si>
  <si>
    <t>262805260</t>
  </si>
  <si>
    <t>NOMBRE RETIRA: ADRIANA GOMWA Y RUT RETIRA: 17002327-7</t>
  </si>
  <si>
    <t>LUCIANO LOPEZ CASTRO</t>
  </si>
  <si>
    <t>Orense 1 Poniente</t>
  </si>
  <si>
    <t>2026-01-23 11:21</t>
  </si>
  <si>
    <t>19895</t>
  </si>
  <si>
    <t>262520268</t>
  </si>
  <si>
    <t>NOMBRE RETIRA: BERNARDO SANTANA . RUT RETIRA: 12284282-7</t>
  </si>
  <si>
    <t>BERNARDO SANTANA SANCHEZ</t>
  </si>
  <si>
    <t>2026-01-19 14:57</t>
  </si>
  <si>
    <t>52230</t>
  </si>
  <si>
    <t>263199309</t>
  </si>
  <si>
    <t>Ronald Gonzalez</t>
  </si>
  <si>
    <t>Esperanza, 728, Depto C 111</t>
  </si>
  <si>
    <t>51779</t>
  </si>
  <si>
    <t>262813668</t>
  </si>
  <si>
    <t>MAURICIO FUENTES</t>
  </si>
  <si>
    <t>2025-12-19 13:47</t>
  </si>
  <si>
    <t>17821</t>
  </si>
  <si>
    <t>9444835816</t>
  </si>
  <si>
    <t>Luis Barbosa</t>
  </si>
  <si>
    <t>AVENIDA Vicuña Mackenna 121 local 3, Local de bicicletas</t>
  </si>
  <si>
    <t>17835</t>
  </si>
  <si>
    <t>9442092833</t>
  </si>
  <si>
    <t>jorge echenique</t>
  </si>
  <si>
    <t>Sotero Del Rio 290, casa 53</t>
  </si>
  <si>
    <t>17836</t>
  </si>
  <si>
    <t>9441930761</t>
  </si>
  <si>
    <t>Irene Bernal  Ovalle</t>
  </si>
  <si>
    <t>Las nalcas sur 8890</t>
  </si>
  <si>
    <t>2026-02-24 10:10</t>
  </si>
  <si>
    <t>17829</t>
  </si>
  <si>
    <t>9441635571</t>
  </si>
  <si>
    <t>Carlos Sepúlveda Urrutia</t>
  </si>
  <si>
    <t>Las Heras 1565, Dpto 306, , Dpto 306</t>
  </si>
  <si>
    <t>2026-02-23 09:35</t>
  </si>
  <si>
    <t>11104</t>
  </si>
  <si>
    <t>9441618760</t>
  </si>
  <si>
    <t>Javier Saavedra Araya</t>
  </si>
  <si>
    <t>Escandinavia 177</t>
  </si>
  <si>
    <t>2026-02-22 12:34</t>
  </si>
  <si>
    <t>17826</t>
  </si>
  <si>
    <t>9441568216</t>
  </si>
  <si>
    <t>2026-02-20 09:20</t>
  </si>
  <si>
    <t>17827</t>
  </si>
  <si>
    <t>9441506686</t>
  </si>
  <si>
    <t>Javiera Galarce</t>
  </si>
  <si>
    <t>La Gloria 115 dept 905</t>
  </si>
  <si>
    <t>11103</t>
  </si>
  <si>
    <t>9441457535</t>
  </si>
  <si>
    <t>juan yarur</t>
  </si>
  <si>
    <t>las peñas 3114 casa B</t>
  </si>
  <si>
    <t>2026-02-21 17:42</t>
  </si>
  <si>
    <t>11100</t>
  </si>
  <si>
    <t>9441449636</t>
  </si>
  <si>
    <t>ALFREDO MONTES</t>
  </si>
  <si>
    <t>AVDA APOQUINDO 6550 PISO 15</t>
  </si>
  <si>
    <t>2026-02-18 13:07</t>
  </si>
  <si>
    <t>17825</t>
  </si>
  <si>
    <t>9441449194</t>
  </si>
  <si>
    <t>Holandesa 0997, Departamento 604</t>
  </si>
  <si>
    <t>2026-02-20 09:18</t>
  </si>
  <si>
    <t>11101</t>
  </si>
  <si>
    <t>9441446906</t>
  </si>
  <si>
    <t>olga Magna guerra</t>
  </si>
  <si>
    <t>2026-02-19 00:19</t>
  </si>
  <si>
    <t>17831</t>
  </si>
  <si>
    <t>9441263344</t>
  </si>
  <si>
    <t>Cristian Arriagada</t>
  </si>
  <si>
    <t>Jose manuel borgoño 825</t>
  </si>
  <si>
    <t>17833</t>
  </si>
  <si>
    <t>9441134231</t>
  </si>
  <si>
    <t>Francisco Valenzuela</t>
  </si>
  <si>
    <t>Gastón da Bove 712</t>
  </si>
  <si>
    <t>11102</t>
  </si>
  <si>
    <t>9441087585</t>
  </si>
  <si>
    <t>Javier Gonzalez castillo</t>
  </si>
  <si>
    <t>Calocedro 1136</t>
  </si>
  <si>
    <t>2026-02-20 19:07</t>
  </si>
  <si>
    <t>20061</t>
  </si>
  <si>
    <t>9440992072</t>
  </si>
  <si>
    <t>Abraham Martinez</t>
  </si>
  <si>
    <t>Río guanaco #1271 cauquenes, región del maule</t>
  </si>
  <si>
    <t>2026-02-20 12:49</t>
  </si>
  <si>
    <t>17828</t>
  </si>
  <si>
    <t>9440926036</t>
  </si>
  <si>
    <t>Jessica Alfaro Álvarez</t>
  </si>
  <si>
    <t>Pasaje Leighton 157. Edificio Charles Fontaine., Depto 44. Cerro Alegre Valparaíso</t>
  </si>
  <si>
    <t>17830</t>
  </si>
  <si>
    <t>9440819533</t>
  </si>
  <si>
    <t>Fernanda Aguero Vega</t>
  </si>
  <si>
    <t>Jose Domingo Gomez Rojas 6085, La Reina, Casa</t>
  </si>
  <si>
    <t>17744</t>
  </si>
  <si>
    <t>9439694014</t>
  </si>
  <si>
    <t>Huechuraba, Camino La PirÁmide 607 B</t>
  </si>
  <si>
    <t>2026-01-26 09:15</t>
  </si>
  <si>
    <t>17744-1</t>
  </si>
  <si>
    <t>9439680154</t>
  </si>
  <si>
    <t>FRANCISCO MORENO</t>
  </si>
  <si>
    <t>camino la piramide 6061, depto 607-b</t>
  </si>
  <si>
    <t>2026-01-26 14:13</t>
  </si>
  <si>
    <t>17743</t>
  </si>
  <si>
    <t>9439619453</t>
  </si>
  <si>
    <t>Crystal Urdaneta Medina</t>
  </si>
  <si>
    <t>Coquimbo 1189, Dpto 636</t>
  </si>
  <si>
    <t>2026-01-26 09:14</t>
  </si>
  <si>
    <t>17750</t>
  </si>
  <si>
    <t>9439615931</t>
  </si>
  <si>
    <t>Carolina Miranda Morales</t>
  </si>
  <si>
    <t>Domeyko 2477, Departamento 553</t>
  </si>
  <si>
    <t>17747</t>
  </si>
  <si>
    <t>9439597090</t>
  </si>
  <si>
    <t>Gianni Rossetti</t>
  </si>
  <si>
    <t>Camino De Las Ermitas 4371, 4371, 4371, 4371</t>
  </si>
  <si>
    <t>37842</t>
  </si>
  <si>
    <t>9439418144</t>
  </si>
  <si>
    <t>Helia Silva Segovia</t>
  </si>
  <si>
    <t>Padre Tadeo 2, Los Notros 2127 Comuna de Rio Bueno Región de los Rios</t>
  </si>
  <si>
    <t>17746</t>
  </si>
  <si>
    <t>9439178372</t>
  </si>
  <si>
    <t>Maximiliano Céspedes</t>
  </si>
  <si>
    <t>1 Sur 4738, Talca, Maule, Chile, 30 Oriente 1528</t>
  </si>
  <si>
    <t>17745</t>
  </si>
  <si>
    <t>9439134681</t>
  </si>
  <si>
    <t>Helen Vergara Matus</t>
  </si>
  <si>
    <t>Los Naranjos 4016 Villa San Martin, Talcahuano</t>
  </si>
  <si>
    <t>2026-01-26 09:16</t>
  </si>
  <si>
    <t>17748</t>
  </si>
  <si>
    <t>9438917913</t>
  </si>
  <si>
    <t>Laijin Font</t>
  </si>
  <si>
    <t>Mosqueto 428 depto 804, Depto</t>
  </si>
  <si>
    <t>2026-01-28 09:22</t>
  </si>
  <si>
    <t>11086</t>
  </si>
  <si>
    <t>9438810216</t>
  </si>
  <si>
    <t>JOSE JARA</t>
  </si>
  <si>
    <t>CORONEL CRUZ 1088</t>
  </si>
  <si>
    <t>17766</t>
  </si>
  <si>
    <t>9438678723</t>
  </si>
  <si>
    <t>Eduardo Sandoval</t>
  </si>
  <si>
    <t>Autopista f90 km 25, Parcela 58</t>
  </si>
  <si>
    <t>17754</t>
  </si>
  <si>
    <t>9438667943</t>
  </si>
  <si>
    <t>Juan Ramon ibañez M</t>
  </si>
  <si>
    <t>Primera Trasversal  1743 padre hurtado</t>
  </si>
  <si>
    <t>2026-01-28 17:38</t>
  </si>
  <si>
    <t>17749</t>
  </si>
  <si>
    <t>9438501251</t>
  </si>
  <si>
    <t>Álvaro Casanova Poniente 4172, Peñalolén, Depto 205</t>
  </si>
  <si>
    <t>2026-01-28 09:49</t>
  </si>
  <si>
    <t>repuesto300126-2</t>
  </si>
  <si>
    <t>9438219851</t>
  </si>
  <si>
    <t>María Alejandra Gómez</t>
  </si>
  <si>
    <t>Avenida Eduardo Frei 390</t>
  </si>
  <si>
    <t>repuesto300126</t>
  </si>
  <si>
    <t>9438160620</t>
  </si>
  <si>
    <t>Enrique CLiment</t>
  </si>
  <si>
    <t>Angulo 603</t>
  </si>
  <si>
    <t>2026-01-30 13:40</t>
  </si>
  <si>
    <t>17758</t>
  </si>
  <si>
    <t>9438141042</t>
  </si>
  <si>
    <t>Maria Angelica Martinez</t>
  </si>
  <si>
    <t>José Manuel  Infante 2819, Depto. 62</t>
  </si>
  <si>
    <t>2026-01-29 18:35</t>
  </si>
  <si>
    <t>17741</t>
  </si>
  <si>
    <t>9437917580</t>
  </si>
  <si>
    <t>Jorge Cabezas</t>
  </si>
  <si>
    <t>San isidro 96, 1007</t>
  </si>
  <si>
    <t>2026-01-23 09:37</t>
  </si>
  <si>
    <t>37883</t>
  </si>
  <si>
    <t>9437709304</t>
  </si>
  <si>
    <t>pedro de oñas 1751 , lagunillas norte, coronel, biobio</t>
  </si>
  <si>
    <t>2026-01-22 15:13</t>
  </si>
  <si>
    <t>17742</t>
  </si>
  <si>
    <t>9437223283</t>
  </si>
  <si>
    <t>Luca Dalbosco</t>
  </si>
  <si>
    <t>Excequiel Fernández  1575  dp 306</t>
  </si>
  <si>
    <t>2026-01-23 09:39</t>
  </si>
  <si>
    <t>17789</t>
  </si>
  <si>
    <t>9437006821</t>
  </si>
  <si>
    <t>Jaime Recart</t>
  </si>
  <si>
    <t>Altamira 01825</t>
  </si>
  <si>
    <t>17793</t>
  </si>
  <si>
    <t>9436668275</t>
  </si>
  <si>
    <t>Jaime Zapata Sepúlveda</t>
  </si>
  <si>
    <t>Enrique Richard 3393 Depto 903</t>
  </si>
  <si>
    <t>11092</t>
  </si>
  <si>
    <t>9436622182</t>
  </si>
  <si>
    <t>fernando busquets</t>
  </si>
  <si>
    <t>Camino los refugios del arrayan 18320</t>
  </si>
  <si>
    <t>2026-02-05 15:28</t>
  </si>
  <si>
    <t>17795</t>
  </si>
  <si>
    <t>9436490081</t>
  </si>
  <si>
    <t>Viktoria ASENCIO HIRSCHBERG</t>
  </si>
  <si>
    <t>Saturnino Epulef 955, Edificio costanera playa 404A</t>
  </si>
  <si>
    <t>2026-02-09 09:47</t>
  </si>
  <si>
    <t>11091</t>
  </si>
  <si>
    <t>9436463315</t>
  </si>
  <si>
    <t>2026-02-05 14:10</t>
  </si>
  <si>
    <t>11095</t>
  </si>
  <si>
    <t>9436454790</t>
  </si>
  <si>
    <t>Nicole Ruff</t>
  </si>
  <si>
    <t>José Rabat 8195 casa 129</t>
  </si>
  <si>
    <t>17800</t>
  </si>
  <si>
    <t>9436368233</t>
  </si>
  <si>
    <t>Luis Pasteur 5280, 303</t>
  </si>
  <si>
    <t>17788</t>
  </si>
  <si>
    <t>9436212833</t>
  </si>
  <si>
    <t>Vanessa Burgos</t>
  </si>
  <si>
    <t>Freire &amp; Wiemers 12</t>
  </si>
  <si>
    <t>11093</t>
  </si>
  <si>
    <t>9436183724</t>
  </si>
  <si>
    <t>Adolfo Gurrieri Ferrin</t>
  </si>
  <si>
    <t>Juan de Almonacid 325, pasaje Las Condes</t>
  </si>
  <si>
    <t>2026-02-06 13:14</t>
  </si>
  <si>
    <t>17798</t>
  </si>
  <si>
    <t>9436159320</t>
  </si>
  <si>
    <t>Mayte Vicente</t>
  </si>
  <si>
    <t>Avenida el volcán 10703</t>
  </si>
  <si>
    <t>2026-02-10 09:42</t>
  </si>
  <si>
    <t>38101</t>
  </si>
  <si>
    <t>9436109502</t>
  </si>
  <si>
    <t>Sylvia Solis</t>
  </si>
  <si>
    <t>Las magnolias 9935 la florida (entre las calles punta arenas y Av Trinidad)</t>
  </si>
  <si>
    <t>17797</t>
  </si>
  <si>
    <t>9436063291</t>
  </si>
  <si>
    <t>Mario Bernales</t>
  </si>
  <si>
    <t>jose pedro alessandri 927</t>
  </si>
  <si>
    <t>2026-02-09 09:49</t>
  </si>
  <si>
    <t>37722</t>
  </si>
  <si>
    <t>9428527835</t>
  </si>
  <si>
    <t>Claudio Quintana</t>
  </si>
  <si>
    <t>Larmahue pasaje San Juan de Dios s 1, Pichidegua (Referencia: Al final del bosque a mano izquierda)</t>
  </si>
  <si>
    <t>2026-01-12 12:46</t>
  </si>
  <si>
    <t>respuesto12022026</t>
  </si>
  <si>
    <t>9435995295</t>
  </si>
  <si>
    <t>María Eugenia soto Yáñez</t>
  </si>
  <si>
    <t>monte alegre 271 cerro alegre.valparaiso</t>
  </si>
  <si>
    <t>17804</t>
  </si>
  <si>
    <t>9435727803</t>
  </si>
  <si>
    <t>Juan Carlos von Unger</t>
  </si>
  <si>
    <t>Antonio Escobar Williams 190</t>
  </si>
  <si>
    <t>17807</t>
  </si>
  <si>
    <t>9435628554</t>
  </si>
  <si>
    <t>RAUL LUENGO</t>
  </si>
  <si>
    <t>Maitén 3387</t>
  </si>
  <si>
    <t>20031</t>
  </si>
  <si>
    <t>9435603726</t>
  </si>
  <si>
    <t>Yeny Rojas Rodriguez</t>
  </si>
  <si>
    <t>Arturo Prat 1059, Valllenar, region Atacama (Dejar en Recepcion Hotel Cecil.)</t>
  </si>
  <si>
    <t>2026-02-13 13:42</t>
  </si>
  <si>
    <t>38087</t>
  </si>
  <si>
    <t>9435520894</t>
  </si>
  <si>
    <t>Cristian Manuel Ibáñez Salgado</t>
  </si>
  <si>
    <t>Juan alvarado rojas 2037 quilpue (LLAMAR AL CLIENTE ANTES DE LA ENTREGA PARA QUE PUEDA RECIBIR EL PEDIDO)</t>
  </si>
  <si>
    <t>2026-02-13 11:10</t>
  </si>
  <si>
    <t>17805</t>
  </si>
  <si>
    <t>9435426733</t>
  </si>
  <si>
    <t>Tania Lesty</t>
  </si>
  <si>
    <t>Ricardo Newmann, parcela 3, Casa 2</t>
  </si>
  <si>
    <t>2026-02-12 09:42</t>
  </si>
  <si>
    <t>17803</t>
  </si>
  <si>
    <t>9435256434</t>
  </si>
  <si>
    <t>Gonzalo Ulloa</t>
  </si>
  <si>
    <t>Valparaiso 291 Temuco, Depto 307 CA</t>
  </si>
  <si>
    <t>11089</t>
  </si>
  <si>
    <t>9434927121</t>
  </si>
  <si>
    <t>Pablo Jaramillo</t>
  </si>
  <si>
    <t>Puerta de Hierro Oriente 10105 Casa 21</t>
  </si>
  <si>
    <t>17783</t>
  </si>
  <si>
    <t>9434859674</t>
  </si>
  <si>
    <t>tecnicpro Spa</t>
  </si>
  <si>
    <t>las higueras 06, las higueras 06</t>
  </si>
  <si>
    <t>2026-02-06 10:35</t>
  </si>
  <si>
    <t>11087</t>
  </si>
  <si>
    <t>9434807745</t>
  </si>
  <si>
    <t>Nelson Aguilera Guerra</t>
  </si>
  <si>
    <t>Salvador reyes 940, departamento 2004</t>
  </si>
  <si>
    <t>2026-01-31 23:49</t>
  </si>
  <si>
    <t>11090</t>
  </si>
  <si>
    <t>9434793513</t>
  </si>
  <si>
    <t>Felipe Barraza Aravena</t>
  </si>
  <si>
    <t>Pasaje cabo de hoom 16939</t>
  </si>
  <si>
    <t>17779</t>
  </si>
  <si>
    <t>9434762923</t>
  </si>
  <si>
    <t>Lorena Schwerter</t>
  </si>
  <si>
    <t>Antonio Varas, Antonio Varas 528</t>
  </si>
  <si>
    <t>17786</t>
  </si>
  <si>
    <t>9434650212</t>
  </si>
  <si>
    <t>Benjamin Troncoso Freire</t>
  </si>
  <si>
    <t>Rio San Pedro Block 110 Forestal, Viña del mar, Viña del mar, Valparaíso</t>
  </si>
  <si>
    <t>2026-02-06 10:38</t>
  </si>
  <si>
    <t>repuesto05022026</t>
  </si>
  <si>
    <t>9434585101</t>
  </si>
  <si>
    <t>Ale Daire Roasenda</t>
  </si>
  <si>
    <t>Arturo Prat 651</t>
  </si>
  <si>
    <t>2026-02-05 13:11</t>
  </si>
  <si>
    <t>17773</t>
  </si>
  <si>
    <t>9434545853</t>
  </si>
  <si>
    <t>Mauricio Meza Navarro</t>
  </si>
  <si>
    <t>Federico Errazuriz 843 depto 43</t>
  </si>
  <si>
    <t>17780</t>
  </si>
  <si>
    <t>9434541760</t>
  </si>
  <si>
    <t>Yorka Cano</t>
  </si>
  <si>
    <t>Serrano 69</t>
  </si>
  <si>
    <t>2026-02-04 17:28</t>
  </si>
  <si>
    <t>17774</t>
  </si>
  <si>
    <t>9434438930</t>
  </si>
  <si>
    <t>Carlos Valencia</t>
  </si>
  <si>
    <t>Nemesio vicuña 3828</t>
  </si>
  <si>
    <t>17784</t>
  </si>
  <si>
    <t>9434313545</t>
  </si>
  <si>
    <t>Sebastian Mena pedemonte</t>
  </si>
  <si>
    <t>Atacama 280, 280</t>
  </si>
  <si>
    <t>17777</t>
  </si>
  <si>
    <t>9434170944</t>
  </si>
  <si>
    <t>Jorge Diaz de la vega</t>
  </si>
  <si>
    <t>Camino de la laguna 13752</t>
  </si>
  <si>
    <t>17768</t>
  </si>
  <si>
    <t>9434084520</t>
  </si>
  <si>
    <t>MariAlejandra Polanco López</t>
  </si>
  <si>
    <t>Casa, Ernesto Cea 1221</t>
  </si>
  <si>
    <t>2026-02-02 18:13</t>
  </si>
  <si>
    <t>17765</t>
  </si>
  <si>
    <t>9433868290</t>
  </si>
  <si>
    <t>Monica Zenteno Vergara</t>
  </si>
  <si>
    <t>San José de la Sierra 23 depto 208</t>
  </si>
  <si>
    <t>17769</t>
  </si>
  <si>
    <t>9433860870</t>
  </si>
  <si>
    <t>MACARENA NAZAR PAGANI</t>
  </si>
  <si>
    <t>QUILIN SUR 10901 CASA 3, casa 3</t>
  </si>
  <si>
    <t>37993</t>
  </si>
  <si>
    <t>9433832811</t>
  </si>
  <si>
    <t>Eduardo Cabezas Rosales</t>
  </si>
  <si>
    <t>Av. Carlos Viel 182, localidad de Monte Aguila, comuna Cabrero, octava región del Bio Bio</t>
  </si>
  <si>
    <t>2026-02-03 11:49</t>
  </si>
  <si>
    <t>19975</t>
  </si>
  <si>
    <t>9433754363</t>
  </si>
  <si>
    <t>Héctor Andrés Olivera santibañez</t>
  </si>
  <si>
    <t>Carlos bischoff 1042, ciudad Valdivia, comuna Valdivia, región de los Ríos</t>
  </si>
  <si>
    <t>17763</t>
  </si>
  <si>
    <t>9433549274</t>
  </si>
  <si>
    <t>38012</t>
  </si>
  <si>
    <t>9433507591</t>
  </si>
  <si>
    <t>Sebastian fajardo</t>
  </si>
  <si>
    <t>Pasaje los tulipanes 350, coquimbo</t>
  </si>
  <si>
    <t>17764</t>
  </si>
  <si>
    <t>9433474153</t>
  </si>
  <si>
    <t>Andrea Paredes</t>
  </si>
  <si>
    <t>Ingeniero Lloyd, # 01740 depto c 34</t>
  </si>
  <si>
    <t>2026-02-02 09:46</t>
  </si>
  <si>
    <t>37083</t>
  </si>
  <si>
    <t>9433466383</t>
  </si>
  <si>
    <t>Francisco Feres</t>
  </si>
  <si>
    <t>Rocas de San Andrés Parcela 25A Km.210 Ruta 5 Norte Entre Pichidangui y Los Vilos.</t>
  </si>
  <si>
    <t>2026-02-03 13:24</t>
  </si>
  <si>
    <t>19972</t>
  </si>
  <si>
    <t>9433464644</t>
  </si>
  <si>
    <t>⁠Florian Schepp F.</t>
  </si>
  <si>
    <t>⁠Pasaje Carilafquen N.33, Lonco Parque, Chiguayante</t>
  </si>
  <si>
    <t>2026-02-03 10:43</t>
  </si>
  <si>
    <t>17761</t>
  </si>
  <si>
    <t>9433458031</t>
  </si>
  <si>
    <t>Pablo Saintard</t>
  </si>
  <si>
    <t>Las violetas 2060, Depto 401</t>
  </si>
  <si>
    <t>17759</t>
  </si>
  <si>
    <t>9433426940</t>
  </si>
  <si>
    <t>INVERSIONES MG LTDA</t>
  </si>
  <si>
    <t>AMUNATEGUI 1946 TORRE G 1601, CONDOMINIO GRAN OCEANO RECREO IÑA DEL MAR</t>
  </si>
  <si>
    <t>17770</t>
  </si>
  <si>
    <t>9433283016</t>
  </si>
  <si>
    <t>cristian vilches</t>
  </si>
  <si>
    <t>Avenida Peru 1268 dpto 704</t>
  </si>
  <si>
    <t>2026-02-02 18:22</t>
  </si>
  <si>
    <t>17762</t>
  </si>
  <si>
    <t>9433265295</t>
  </si>
  <si>
    <t>Oscar Daille</t>
  </si>
  <si>
    <t>Jose domingo cañas 1986, Departamento 307</t>
  </si>
  <si>
    <t>2026-02-02 09:35</t>
  </si>
  <si>
    <t>11099</t>
  </si>
  <si>
    <t>9433162082</t>
  </si>
  <si>
    <t>luis farias</t>
  </si>
  <si>
    <t>san martin 0659, villa las hortensias</t>
  </si>
  <si>
    <t>2026-02-17 15:59</t>
  </si>
  <si>
    <t>17819</t>
  </si>
  <si>
    <t>9433162060</t>
  </si>
  <si>
    <t>Dali Youssef</t>
  </si>
  <si>
    <t>Pasaje Playa ancha 3635, Iquique, Casa esquina</t>
  </si>
  <si>
    <t>2026-02-17 16:57</t>
  </si>
  <si>
    <t>3085954770</t>
  </si>
  <si>
    <t>9433160984</t>
  </si>
  <si>
    <t>IGNACIO JAVIER MENICHETTI ARELLANO</t>
  </si>
  <si>
    <t>SEGUNDA TRANSVERSAL 12</t>
  </si>
  <si>
    <t>2026-02-19 14:27</t>
  </si>
  <si>
    <t>17818</t>
  </si>
  <si>
    <t>9433137372</t>
  </si>
  <si>
    <t>Marco Antonio Caro Parra</t>
  </si>
  <si>
    <t>Avenida PÉrez Canto 765, 765, 765</t>
  </si>
  <si>
    <t>2026-02-17 13:51</t>
  </si>
  <si>
    <t>17813</t>
  </si>
  <si>
    <t>9433052786</t>
  </si>
  <si>
    <t>rosa rojas</t>
  </si>
  <si>
    <t>ricardo lyon 1600, departamento 208</t>
  </si>
  <si>
    <t>17823</t>
  </si>
  <si>
    <t>9432590661</t>
  </si>
  <si>
    <t>ISABEL HERRERA CORONADO</t>
  </si>
  <si>
    <t>COLECTIVO ORIENTE 100, DEPTO 101</t>
  </si>
  <si>
    <t>17815</t>
  </si>
  <si>
    <t>9432545264</t>
  </si>
  <si>
    <t>Angelo Burdiles</t>
  </si>
  <si>
    <t>Cruz baja 881, Cruz baja 881</t>
  </si>
  <si>
    <t>respuesto16022026-(2)</t>
  </si>
  <si>
    <t>9432433986</t>
  </si>
  <si>
    <t>Ignacio Ortúzar Silva.</t>
  </si>
  <si>
    <t>Pasaje Altamar 355</t>
  </si>
  <si>
    <t>2026-02-16 14:31</t>
  </si>
  <si>
    <t>17808</t>
  </si>
  <si>
    <t>9432328253</t>
  </si>
  <si>
    <t>Carlos Rodriguez</t>
  </si>
  <si>
    <t>Santa Marta de Liray sn, Cond Santa Teresa P11, Condominio Santa Teresa Parcela 11</t>
  </si>
  <si>
    <t>17816</t>
  </si>
  <si>
    <t>9432264494</t>
  </si>
  <si>
    <t>Francisco Cortes</t>
  </si>
  <si>
    <t>Arauco 308</t>
  </si>
  <si>
    <t>17734</t>
  </si>
  <si>
    <t>9429546055</t>
  </si>
  <si>
    <t>Cancelacion pedido oneblue</t>
  </si>
  <si>
    <t>Calle Los Olivos 126, Villa el Aromo, Penco, Calle Los Olivos 126, Villa el Aromo, Penco</t>
  </si>
  <si>
    <t>2026-01-20 11:25</t>
  </si>
  <si>
    <t>17731</t>
  </si>
  <si>
    <t>9429245383</t>
  </si>
  <si>
    <t>nelson saavedra</t>
  </si>
  <si>
    <t>Camino El olivo 41. Sitio 21., Camino El olivo 41. Sitio 21.</t>
  </si>
  <si>
    <t>2026-01-20 09:26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</si>
</sst>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1086650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E16" sqref="E16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4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Kaltemp</v>
      </c>
      <c r="E2" s="4">
        <v>46091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184</v>
      </c>
      <c r="E6" s="11">
        <f>SUMIF(Detalle!I:I,"distribucion",Detalle!V:V)</f>
        <v>4284426.709999999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37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0"/>
    </row>
    <row r="15" spans="3:5" ht="15.6" x14ac:dyDescent="0.3">
      <c r="C15" s="17" t="s">
        <v>6</v>
      </c>
      <c r="D15" s="18"/>
      <c r="E15" s="19">
        <v>0</v>
      </c>
    </row>
    <row r="16" spans="3:5" ht="15.6" x14ac:dyDescent="0.3">
      <c r="C16" s="2" t="s">
        <v>7</v>
      </c>
      <c r="D16" s="15"/>
      <c r="E16" s="11"/>
    </row>
    <row r="17" spans="3:5" ht="15.6" x14ac:dyDescent="0.3">
      <c r="C17" s="2" t="s">
        <v>8</v>
      </c>
      <c r="D17" s="16"/>
      <c r="E17" s="12">
        <f>SUM(E5:E16)</f>
        <v>4284426.709999999</v>
      </c>
    </row>
    <row r="18" spans="3:5" ht="17.25" customHeight="1" x14ac:dyDescent="0.3">
      <c r="C18" s="2"/>
      <c r="D18" s="16"/>
      <c r="E18" s="12"/>
    </row>
    <row r="19" spans="3:5" ht="15.6" x14ac:dyDescent="0.3">
      <c r="C19" s="2" t="s">
        <v>0</v>
      </c>
      <c r="D19" s="16"/>
      <c r="E19" s="12">
        <f>E17*0.19</f>
        <v>814041.07489999977</v>
      </c>
    </row>
    <row r="20" spans="3:5" ht="15.6" x14ac:dyDescent="0.3">
      <c r="C20" s="3" t="s">
        <v>1</v>
      </c>
      <c r="D20" s="16"/>
      <c r="E20" s="13">
        <f>+E17+E19</f>
        <v>5098467.7848999985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5"/>
  <sheetViews>
    <sheetView tabSelected="1" zoomScale="90" zoomScaleNormal="90" workbookViewId="0">
      <selection activeCell="E2" sqref="E2"/>
    </sheetView>
  </sheetViews>
  <sheetFormatPr baseColWidth="10" defaultColWidth="12.109375" defaultRowHeight="14.4" x14ac:dyDescent="0.3"/>
  <cols>
    <col min="2" max="2" width="11.109375" bestFit="1" customWidth="1"/>
    <col min="4" max="4" width="16.109375" bestFit="1" customWidth="1"/>
  </cols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38</v>
      </c>
      <c r="G1" t="s">
        <v>11</v>
      </c>
      <c r="H1" t="s">
        <v>12</v>
      </c>
      <c r="I1" t="s">
        <v>35</v>
      </c>
      <c r="J1" t="s">
        <v>39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36</v>
      </c>
      <c r="T1" t="s">
        <v>28</v>
      </c>
      <c r="U1" t="s">
        <v>40</v>
      </c>
      <c r="V1" t="s">
        <v>29</v>
      </c>
    </row>
    <row r="2" spans="1:22" x14ac:dyDescent="0.3">
      <c r="A2">
        <v>15741</v>
      </c>
      <c r="B2">
        <v>137728859</v>
      </c>
      <c r="C2">
        <v>19770</v>
      </c>
      <c r="D2">
        <v>263276687</v>
      </c>
      <c r="E2" t="s">
        <v>241</v>
      </c>
      <c r="G2" t="s">
        <v>89</v>
      </c>
      <c r="H2" t="s">
        <v>90</v>
      </c>
      <c r="I2" t="s">
        <v>34</v>
      </c>
      <c r="J2" t="s">
        <v>91</v>
      </c>
      <c r="K2" t="s">
        <v>43</v>
      </c>
      <c r="L2" t="s">
        <v>242</v>
      </c>
      <c r="M2" t="s">
        <v>243</v>
      </c>
      <c r="N2" t="s">
        <v>244</v>
      </c>
      <c r="O2" t="s">
        <v>62</v>
      </c>
      <c r="P2" t="s">
        <v>245</v>
      </c>
      <c r="Q2" t="s">
        <v>51</v>
      </c>
      <c r="R2">
        <v>46020.490277777775</v>
      </c>
      <c r="S2">
        <v>12.2</v>
      </c>
      <c r="T2">
        <v>22426.48</v>
      </c>
      <c r="U2">
        <v>7829.95</v>
      </c>
      <c r="V2">
        <v>30256.43</v>
      </c>
    </row>
    <row r="3" spans="1:22" x14ac:dyDescent="0.3">
      <c r="A3">
        <v>15741</v>
      </c>
      <c r="B3">
        <v>139678508</v>
      </c>
      <c r="C3" t="s">
        <v>246</v>
      </c>
      <c r="D3" t="s">
        <v>247</v>
      </c>
      <c r="E3" t="s">
        <v>241</v>
      </c>
      <c r="G3" t="s">
        <v>89</v>
      </c>
      <c r="H3" t="s">
        <v>90</v>
      </c>
      <c r="I3" t="s">
        <v>34</v>
      </c>
      <c r="J3" t="s">
        <v>91</v>
      </c>
      <c r="K3" t="s">
        <v>43</v>
      </c>
      <c r="L3" t="s">
        <v>248</v>
      </c>
      <c r="M3" t="s">
        <v>249</v>
      </c>
      <c r="N3" t="s">
        <v>244</v>
      </c>
      <c r="O3" t="s">
        <v>62</v>
      </c>
      <c r="P3" t="s">
        <v>250</v>
      </c>
      <c r="Q3" t="s">
        <v>124</v>
      </c>
      <c r="R3" t="s">
        <v>251</v>
      </c>
      <c r="S3">
        <v>62.64</v>
      </c>
      <c r="T3">
        <v>19622</v>
      </c>
      <c r="U3">
        <v>7109.87</v>
      </c>
      <c r="V3">
        <v>26731.87</v>
      </c>
    </row>
    <row r="4" spans="1:22" x14ac:dyDescent="0.3">
      <c r="A4">
        <v>15741</v>
      </c>
      <c r="B4">
        <v>139689642</v>
      </c>
      <c r="C4" t="s">
        <v>252</v>
      </c>
      <c r="D4" t="s">
        <v>253</v>
      </c>
      <c r="E4" t="s">
        <v>241</v>
      </c>
      <c r="G4" t="s">
        <v>89</v>
      </c>
      <c r="H4" t="s">
        <v>90</v>
      </c>
      <c r="I4" t="s">
        <v>34</v>
      </c>
      <c r="J4" t="s">
        <v>91</v>
      </c>
      <c r="K4" t="s">
        <v>43</v>
      </c>
      <c r="L4" t="s">
        <v>254</v>
      </c>
      <c r="M4" t="s">
        <v>255</v>
      </c>
      <c r="N4" t="s">
        <v>244</v>
      </c>
      <c r="O4" t="s">
        <v>62</v>
      </c>
      <c r="P4" t="s">
        <v>256</v>
      </c>
      <c r="Q4" t="s">
        <v>147</v>
      </c>
      <c r="R4" t="s">
        <v>197</v>
      </c>
      <c r="S4">
        <v>29.01</v>
      </c>
      <c r="T4">
        <v>22809</v>
      </c>
      <c r="U4">
        <v>0</v>
      </c>
      <c r="V4">
        <v>22809</v>
      </c>
    </row>
    <row r="5" spans="1:22" x14ac:dyDescent="0.3">
      <c r="A5">
        <v>15741</v>
      </c>
      <c r="B5">
        <v>139527897</v>
      </c>
      <c r="C5" t="s">
        <v>257</v>
      </c>
      <c r="D5" t="s">
        <v>258</v>
      </c>
      <c r="E5" t="s">
        <v>241</v>
      </c>
      <c r="G5" t="s">
        <v>89</v>
      </c>
      <c r="H5" t="s">
        <v>90</v>
      </c>
      <c r="I5" t="s">
        <v>34</v>
      </c>
      <c r="J5" t="s">
        <v>91</v>
      </c>
      <c r="K5" t="s">
        <v>43</v>
      </c>
      <c r="L5" t="s">
        <v>259</v>
      </c>
      <c r="M5" t="s">
        <v>260</v>
      </c>
      <c r="N5" t="s">
        <v>244</v>
      </c>
      <c r="O5" t="s">
        <v>62</v>
      </c>
      <c r="P5" t="s">
        <v>261</v>
      </c>
      <c r="Q5" t="s">
        <v>98</v>
      </c>
      <c r="R5" t="s">
        <v>262</v>
      </c>
      <c r="S5">
        <v>73.92</v>
      </c>
      <c r="T5">
        <v>28117</v>
      </c>
      <c r="U5">
        <v>6228</v>
      </c>
      <c r="V5">
        <v>34345</v>
      </c>
    </row>
    <row r="6" spans="1:22" x14ac:dyDescent="0.3">
      <c r="A6">
        <v>15741</v>
      </c>
      <c r="B6">
        <v>139688891</v>
      </c>
      <c r="C6" t="s">
        <v>263</v>
      </c>
      <c r="D6" t="s">
        <v>264</v>
      </c>
      <c r="E6" t="s">
        <v>241</v>
      </c>
      <c r="G6" t="s">
        <v>89</v>
      </c>
      <c r="H6" t="s">
        <v>90</v>
      </c>
      <c r="I6" t="s">
        <v>34</v>
      </c>
      <c r="J6" t="s">
        <v>91</v>
      </c>
      <c r="K6" t="s">
        <v>43</v>
      </c>
      <c r="L6" t="s">
        <v>265</v>
      </c>
      <c r="M6" t="s">
        <v>266</v>
      </c>
      <c r="N6" t="s">
        <v>244</v>
      </c>
      <c r="O6" t="s">
        <v>62</v>
      </c>
      <c r="P6" t="s">
        <v>267</v>
      </c>
      <c r="Q6" t="s">
        <v>80</v>
      </c>
      <c r="R6" t="s">
        <v>157</v>
      </c>
      <c r="S6">
        <v>6.75</v>
      </c>
      <c r="T6">
        <v>10788</v>
      </c>
      <c r="U6">
        <v>0</v>
      </c>
      <c r="V6">
        <v>10788</v>
      </c>
    </row>
    <row r="7" spans="1:22" x14ac:dyDescent="0.3">
      <c r="A7">
        <v>15741</v>
      </c>
      <c r="B7">
        <v>139688303</v>
      </c>
      <c r="C7" t="s">
        <v>268</v>
      </c>
      <c r="D7" t="s">
        <v>269</v>
      </c>
      <c r="E7" t="s">
        <v>241</v>
      </c>
      <c r="G7" t="s">
        <v>89</v>
      </c>
      <c r="H7" t="s">
        <v>90</v>
      </c>
      <c r="I7" t="s">
        <v>34</v>
      </c>
      <c r="J7" t="s">
        <v>91</v>
      </c>
      <c r="K7" t="s">
        <v>43</v>
      </c>
      <c r="L7" t="s">
        <v>270</v>
      </c>
      <c r="M7" t="s">
        <v>271</v>
      </c>
      <c r="N7" t="s">
        <v>244</v>
      </c>
      <c r="O7" t="s">
        <v>62</v>
      </c>
      <c r="P7" t="s">
        <v>272</v>
      </c>
      <c r="Q7" t="s">
        <v>54</v>
      </c>
      <c r="R7" t="s">
        <v>222</v>
      </c>
      <c r="S7">
        <v>2</v>
      </c>
      <c r="T7">
        <v>5143</v>
      </c>
      <c r="U7">
        <v>0</v>
      </c>
      <c r="V7">
        <v>5143</v>
      </c>
    </row>
    <row r="8" spans="1:22" x14ac:dyDescent="0.3">
      <c r="A8">
        <v>15741</v>
      </c>
      <c r="B8">
        <v>139697686</v>
      </c>
      <c r="C8" t="s">
        <v>273</v>
      </c>
      <c r="D8" t="s">
        <v>274</v>
      </c>
      <c r="E8" t="s">
        <v>241</v>
      </c>
      <c r="G8" t="s">
        <v>89</v>
      </c>
      <c r="H8" t="s">
        <v>90</v>
      </c>
      <c r="I8" t="s">
        <v>34</v>
      </c>
      <c r="J8" t="s">
        <v>91</v>
      </c>
      <c r="K8" t="s">
        <v>43</v>
      </c>
      <c r="L8" t="s">
        <v>275</v>
      </c>
      <c r="M8" t="s">
        <v>218</v>
      </c>
      <c r="N8" t="s">
        <v>244</v>
      </c>
      <c r="O8" t="s">
        <v>62</v>
      </c>
      <c r="P8" t="s">
        <v>276</v>
      </c>
      <c r="Q8" t="s">
        <v>54</v>
      </c>
      <c r="R8" t="s">
        <v>198</v>
      </c>
      <c r="S8">
        <v>62.64</v>
      </c>
      <c r="T8">
        <v>19622</v>
      </c>
      <c r="U8">
        <v>12100.79</v>
      </c>
      <c r="V8">
        <v>31722.79</v>
      </c>
    </row>
    <row r="9" spans="1:22" x14ac:dyDescent="0.3">
      <c r="A9">
        <v>15741</v>
      </c>
      <c r="B9">
        <v>139678209</v>
      </c>
      <c r="C9" t="s">
        <v>277</v>
      </c>
      <c r="D9" t="s">
        <v>278</v>
      </c>
      <c r="E9" t="s">
        <v>241</v>
      </c>
      <c r="G9" t="s">
        <v>89</v>
      </c>
      <c r="H9" t="s">
        <v>90</v>
      </c>
      <c r="I9" t="s">
        <v>34</v>
      </c>
      <c r="J9" t="s">
        <v>91</v>
      </c>
      <c r="K9" t="s">
        <v>43</v>
      </c>
      <c r="L9" t="s">
        <v>279</v>
      </c>
      <c r="M9" t="s">
        <v>280</v>
      </c>
      <c r="N9" t="s">
        <v>244</v>
      </c>
      <c r="O9" t="s">
        <v>62</v>
      </c>
      <c r="P9" t="s">
        <v>281</v>
      </c>
      <c r="Q9" t="s">
        <v>119</v>
      </c>
      <c r="R9" t="s">
        <v>235</v>
      </c>
      <c r="S9">
        <v>9.8699999999999992</v>
      </c>
      <c r="T9">
        <v>7519</v>
      </c>
      <c r="U9">
        <v>0</v>
      </c>
      <c r="V9">
        <v>7519</v>
      </c>
    </row>
    <row r="10" spans="1:22" x14ac:dyDescent="0.3">
      <c r="A10">
        <v>15741</v>
      </c>
      <c r="B10">
        <v>139686082</v>
      </c>
      <c r="C10" t="s">
        <v>282</v>
      </c>
      <c r="D10" t="s">
        <v>283</v>
      </c>
      <c r="E10" t="s">
        <v>241</v>
      </c>
      <c r="G10" t="s">
        <v>89</v>
      </c>
      <c r="H10" t="s">
        <v>90</v>
      </c>
      <c r="I10" t="s">
        <v>34</v>
      </c>
      <c r="J10" t="s">
        <v>91</v>
      </c>
      <c r="K10" t="s">
        <v>43</v>
      </c>
      <c r="L10" t="s">
        <v>284</v>
      </c>
      <c r="M10" t="s">
        <v>285</v>
      </c>
      <c r="N10" t="s">
        <v>244</v>
      </c>
      <c r="O10" t="s">
        <v>62</v>
      </c>
      <c r="P10" t="s">
        <v>286</v>
      </c>
      <c r="Q10" t="s">
        <v>54</v>
      </c>
      <c r="R10" t="s">
        <v>143</v>
      </c>
      <c r="S10">
        <v>2.0299999999999998</v>
      </c>
      <c r="T10">
        <v>5435</v>
      </c>
      <c r="U10">
        <v>0</v>
      </c>
      <c r="V10">
        <v>5435</v>
      </c>
    </row>
    <row r="11" spans="1:22" x14ac:dyDescent="0.3">
      <c r="A11">
        <v>15741</v>
      </c>
      <c r="B11">
        <v>139528122</v>
      </c>
      <c r="C11" t="s">
        <v>287</v>
      </c>
      <c r="D11" t="s">
        <v>288</v>
      </c>
      <c r="E11" t="s">
        <v>241</v>
      </c>
      <c r="G11" t="s">
        <v>89</v>
      </c>
      <c r="H11" t="s">
        <v>90</v>
      </c>
      <c r="I11" t="s">
        <v>34</v>
      </c>
      <c r="J11" t="s">
        <v>91</v>
      </c>
      <c r="K11" t="s">
        <v>43</v>
      </c>
      <c r="L11" t="s">
        <v>289</v>
      </c>
      <c r="M11" t="s">
        <v>290</v>
      </c>
      <c r="N11" t="s">
        <v>244</v>
      </c>
      <c r="O11" t="s">
        <v>62</v>
      </c>
      <c r="P11" t="s">
        <v>134</v>
      </c>
      <c r="Q11" t="s">
        <v>47</v>
      </c>
      <c r="R11" t="s">
        <v>291</v>
      </c>
      <c r="S11">
        <v>73.92</v>
      </c>
      <c r="T11">
        <v>29304</v>
      </c>
      <c r="U11">
        <v>7152</v>
      </c>
      <c r="V11">
        <v>36456</v>
      </c>
    </row>
    <row r="12" spans="1:22" x14ac:dyDescent="0.3">
      <c r="A12">
        <v>15741</v>
      </c>
      <c r="B12">
        <v>139495936</v>
      </c>
      <c r="C12" t="s">
        <v>292</v>
      </c>
      <c r="D12" t="s">
        <v>293</v>
      </c>
      <c r="E12" t="s">
        <v>241</v>
      </c>
      <c r="G12" t="s">
        <v>89</v>
      </c>
      <c r="H12" t="s">
        <v>90</v>
      </c>
      <c r="I12" t="s">
        <v>34</v>
      </c>
      <c r="J12" t="s">
        <v>91</v>
      </c>
      <c r="K12" t="s">
        <v>43</v>
      </c>
      <c r="L12" t="s">
        <v>294</v>
      </c>
      <c r="M12" t="s">
        <v>295</v>
      </c>
      <c r="N12" t="s">
        <v>244</v>
      </c>
      <c r="O12" t="s">
        <v>62</v>
      </c>
      <c r="P12" t="s">
        <v>296</v>
      </c>
      <c r="Q12" t="s">
        <v>136</v>
      </c>
      <c r="R12" t="s">
        <v>210</v>
      </c>
      <c r="S12">
        <v>4.99</v>
      </c>
      <c r="T12">
        <v>6028</v>
      </c>
      <c r="U12">
        <v>0</v>
      </c>
      <c r="V12">
        <v>6028</v>
      </c>
    </row>
    <row r="13" spans="1:22" x14ac:dyDescent="0.3">
      <c r="A13">
        <v>15741</v>
      </c>
      <c r="B13">
        <v>139615496</v>
      </c>
      <c r="C13" t="s">
        <v>297</v>
      </c>
      <c r="D13" t="s">
        <v>298</v>
      </c>
      <c r="E13" t="s">
        <v>241</v>
      </c>
      <c r="G13" t="s">
        <v>89</v>
      </c>
      <c r="H13" t="s">
        <v>90</v>
      </c>
      <c r="I13" t="s">
        <v>34</v>
      </c>
      <c r="J13" t="s">
        <v>91</v>
      </c>
      <c r="K13" t="s">
        <v>43</v>
      </c>
      <c r="L13" t="s">
        <v>299</v>
      </c>
      <c r="M13" t="s">
        <v>300</v>
      </c>
      <c r="N13" t="s">
        <v>244</v>
      </c>
      <c r="O13" t="s">
        <v>62</v>
      </c>
      <c r="P13" t="s">
        <v>301</v>
      </c>
      <c r="Q13" t="s">
        <v>103</v>
      </c>
      <c r="R13" t="s">
        <v>302</v>
      </c>
      <c r="S13">
        <v>2.02</v>
      </c>
      <c r="T13">
        <v>5435</v>
      </c>
      <c r="U13">
        <v>0</v>
      </c>
      <c r="V13">
        <v>5435</v>
      </c>
    </row>
    <row r="14" spans="1:22" x14ac:dyDescent="0.3">
      <c r="A14">
        <v>15741</v>
      </c>
      <c r="B14">
        <v>139600211</v>
      </c>
      <c r="C14" t="s">
        <v>303</v>
      </c>
      <c r="D14" t="s">
        <v>304</v>
      </c>
      <c r="E14" t="s">
        <v>241</v>
      </c>
      <c r="G14" t="s">
        <v>89</v>
      </c>
      <c r="H14" t="s">
        <v>90</v>
      </c>
      <c r="I14" t="s">
        <v>34</v>
      </c>
      <c r="J14" t="s">
        <v>91</v>
      </c>
      <c r="K14" t="s">
        <v>43</v>
      </c>
      <c r="L14" t="s">
        <v>305</v>
      </c>
      <c r="M14" t="s">
        <v>306</v>
      </c>
      <c r="N14" t="s">
        <v>244</v>
      </c>
      <c r="O14" t="s">
        <v>62</v>
      </c>
      <c r="P14" t="s">
        <v>307</v>
      </c>
      <c r="Q14" t="s">
        <v>54</v>
      </c>
      <c r="R14" t="s">
        <v>308</v>
      </c>
      <c r="S14">
        <v>21.44</v>
      </c>
      <c r="T14">
        <v>10379</v>
      </c>
      <c r="U14">
        <v>0</v>
      </c>
      <c r="V14">
        <v>10379</v>
      </c>
    </row>
    <row r="15" spans="1:22" x14ac:dyDescent="0.3">
      <c r="A15">
        <v>15741</v>
      </c>
      <c r="B15">
        <v>139543061</v>
      </c>
      <c r="C15" t="s">
        <v>309</v>
      </c>
      <c r="D15" t="s">
        <v>310</v>
      </c>
      <c r="E15" t="s">
        <v>241</v>
      </c>
      <c r="G15" t="s">
        <v>89</v>
      </c>
      <c r="H15" t="s">
        <v>90</v>
      </c>
      <c r="I15" t="s">
        <v>34</v>
      </c>
      <c r="J15" t="s">
        <v>91</v>
      </c>
      <c r="K15" t="s">
        <v>43</v>
      </c>
      <c r="L15" t="s">
        <v>311</v>
      </c>
      <c r="M15" t="s">
        <v>312</v>
      </c>
      <c r="N15" t="s">
        <v>244</v>
      </c>
      <c r="O15" t="s">
        <v>62</v>
      </c>
      <c r="P15" t="s">
        <v>313</v>
      </c>
      <c r="Q15" t="s">
        <v>98</v>
      </c>
      <c r="R15" t="s">
        <v>122</v>
      </c>
      <c r="S15">
        <v>10</v>
      </c>
      <c r="T15">
        <v>9318</v>
      </c>
      <c r="U15">
        <v>0</v>
      </c>
      <c r="V15">
        <v>9318</v>
      </c>
    </row>
    <row r="16" spans="1:22" x14ac:dyDescent="0.3">
      <c r="A16">
        <v>15741</v>
      </c>
      <c r="B16">
        <v>139566661</v>
      </c>
      <c r="C16" t="s">
        <v>314</v>
      </c>
      <c r="D16" t="s">
        <v>315</v>
      </c>
      <c r="E16" t="s">
        <v>241</v>
      </c>
      <c r="G16" t="s">
        <v>89</v>
      </c>
      <c r="H16" t="s">
        <v>90</v>
      </c>
      <c r="I16" t="s">
        <v>34</v>
      </c>
      <c r="J16" t="s">
        <v>91</v>
      </c>
      <c r="K16" t="s">
        <v>43</v>
      </c>
      <c r="L16" t="s">
        <v>316</v>
      </c>
      <c r="M16" t="s">
        <v>317</v>
      </c>
      <c r="N16" t="s">
        <v>244</v>
      </c>
      <c r="O16" t="s">
        <v>62</v>
      </c>
      <c r="P16" t="s">
        <v>318</v>
      </c>
      <c r="Q16" t="s">
        <v>46</v>
      </c>
      <c r="R16" t="s">
        <v>319</v>
      </c>
      <c r="S16">
        <v>9</v>
      </c>
      <c r="T16">
        <v>11272</v>
      </c>
      <c r="U16">
        <v>0</v>
      </c>
      <c r="V16">
        <v>11272</v>
      </c>
    </row>
    <row r="17" spans="1:22" x14ac:dyDescent="0.3">
      <c r="A17">
        <v>15741</v>
      </c>
      <c r="B17">
        <v>139523172</v>
      </c>
      <c r="C17" t="s">
        <v>320</v>
      </c>
      <c r="D17" t="s">
        <v>321</v>
      </c>
      <c r="E17" t="s">
        <v>241</v>
      </c>
      <c r="G17" t="s">
        <v>89</v>
      </c>
      <c r="H17" t="s">
        <v>90</v>
      </c>
      <c r="I17" t="s">
        <v>34</v>
      </c>
      <c r="J17" t="s">
        <v>91</v>
      </c>
      <c r="K17" t="s">
        <v>43</v>
      </c>
      <c r="L17" t="s">
        <v>322</v>
      </c>
      <c r="M17" t="s">
        <v>323</v>
      </c>
      <c r="N17" t="s">
        <v>244</v>
      </c>
      <c r="O17" t="s">
        <v>62</v>
      </c>
      <c r="P17" t="s">
        <v>324</v>
      </c>
      <c r="Q17" t="s">
        <v>95</v>
      </c>
      <c r="R17" t="s">
        <v>325</v>
      </c>
      <c r="S17">
        <v>76.39</v>
      </c>
      <c r="T17">
        <v>37717</v>
      </c>
      <c r="U17">
        <v>7499.94</v>
      </c>
      <c r="V17">
        <v>45216.94</v>
      </c>
    </row>
    <row r="18" spans="1:22" x14ac:dyDescent="0.3">
      <c r="A18">
        <v>15741</v>
      </c>
      <c r="B18">
        <v>139534942</v>
      </c>
      <c r="C18" t="s">
        <v>326</v>
      </c>
      <c r="D18" t="s">
        <v>327</v>
      </c>
      <c r="E18" t="s">
        <v>241</v>
      </c>
      <c r="G18" t="s">
        <v>89</v>
      </c>
      <c r="H18" t="s">
        <v>90</v>
      </c>
      <c r="I18" t="s">
        <v>34</v>
      </c>
      <c r="J18" t="s">
        <v>91</v>
      </c>
      <c r="K18" t="s">
        <v>43</v>
      </c>
      <c r="L18" t="s">
        <v>328</v>
      </c>
      <c r="M18" t="s">
        <v>329</v>
      </c>
      <c r="N18" t="s">
        <v>244</v>
      </c>
      <c r="O18" t="s">
        <v>62</v>
      </c>
      <c r="P18" t="s">
        <v>330</v>
      </c>
      <c r="Q18" t="s">
        <v>128</v>
      </c>
      <c r="R18" t="s">
        <v>201</v>
      </c>
      <c r="S18">
        <v>2.06</v>
      </c>
      <c r="T18">
        <v>5435</v>
      </c>
      <c r="U18">
        <v>0</v>
      </c>
      <c r="V18">
        <v>5435</v>
      </c>
    </row>
    <row r="19" spans="1:22" x14ac:dyDescent="0.3">
      <c r="A19">
        <v>15741</v>
      </c>
      <c r="B19">
        <v>139534898</v>
      </c>
      <c r="C19" t="s">
        <v>331</v>
      </c>
      <c r="D19" t="s">
        <v>332</v>
      </c>
      <c r="E19" t="s">
        <v>241</v>
      </c>
      <c r="G19" t="s">
        <v>89</v>
      </c>
      <c r="H19" t="s">
        <v>90</v>
      </c>
      <c r="I19" t="s">
        <v>34</v>
      </c>
      <c r="J19" t="s">
        <v>91</v>
      </c>
      <c r="K19" t="s">
        <v>43</v>
      </c>
      <c r="L19" t="s">
        <v>333</v>
      </c>
      <c r="M19" t="s">
        <v>334</v>
      </c>
      <c r="N19" t="s">
        <v>244</v>
      </c>
      <c r="O19" t="s">
        <v>62</v>
      </c>
      <c r="P19" t="s">
        <v>335</v>
      </c>
      <c r="Q19" t="s">
        <v>136</v>
      </c>
      <c r="R19" t="s">
        <v>336</v>
      </c>
      <c r="S19">
        <v>2.13</v>
      </c>
      <c r="T19">
        <v>5435</v>
      </c>
      <c r="U19">
        <v>0</v>
      </c>
      <c r="V19">
        <v>5435</v>
      </c>
    </row>
    <row r="20" spans="1:22" x14ac:dyDescent="0.3">
      <c r="A20">
        <v>15741</v>
      </c>
      <c r="B20">
        <v>139534922</v>
      </c>
      <c r="C20" t="s">
        <v>337</v>
      </c>
      <c r="D20" t="s">
        <v>338</v>
      </c>
      <c r="E20" t="s">
        <v>241</v>
      </c>
      <c r="G20" t="s">
        <v>89</v>
      </c>
      <c r="H20" t="s">
        <v>90</v>
      </c>
      <c r="I20" t="s">
        <v>34</v>
      </c>
      <c r="J20" t="s">
        <v>91</v>
      </c>
      <c r="K20" t="s">
        <v>43</v>
      </c>
      <c r="L20" t="s">
        <v>339</v>
      </c>
      <c r="M20" t="s">
        <v>158</v>
      </c>
      <c r="N20" t="s">
        <v>244</v>
      </c>
      <c r="O20" t="s">
        <v>62</v>
      </c>
      <c r="P20" t="s">
        <v>340</v>
      </c>
      <c r="Q20" t="s">
        <v>66</v>
      </c>
      <c r="R20" t="s">
        <v>336</v>
      </c>
      <c r="S20">
        <v>2.11</v>
      </c>
      <c r="T20">
        <v>5435</v>
      </c>
      <c r="U20">
        <v>0</v>
      </c>
      <c r="V20">
        <v>5435</v>
      </c>
    </row>
    <row r="21" spans="1:22" x14ac:dyDescent="0.3">
      <c r="A21">
        <v>15741</v>
      </c>
      <c r="B21">
        <v>139528019</v>
      </c>
      <c r="C21" t="s">
        <v>341</v>
      </c>
      <c r="D21" t="s">
        <v>342</v>
      </c>
      <c r="E21" t="s">
        <v>241</v>
      </c>
      <c r="G21" t="s">
        <v>89</v>
      </c>
      <c r="H21" t="s">
        <v>90</v>
      </c>
      <c r="I21" t="s">
        <v>34</v>
      </c>
      <c r="J21" t="s">
        <v>91</v>
      </c>
      <c r="K21" t="s">
        <v>43</v>
      </c>
      <c r="L21" t="s">
        <v>343</v>
      </c>
      <c r="M21" t="s">
        <v>344</v>
      </c>
      <c r="N21" t="s">
        <v>244</v>
      </c>
      <c r="O21" t="s">
        <v>62</v>
      </c>
      <c r="P21" t="s">
        <v>345</v>
      </c>
      <c r="Q21" t="s">
        <v>82</v>
      </c>
      <c r="R21" t="s">
        <v>346</v>
      </c>
      <c r="S21">
        <v>73.92</v>
      </c>
      <c r="T21">
        <v>22627</v>
      </c>
      <c r="U21">
        <v>6378</v>
      </c>
      <c r="V21">
        <v>29005</v>
      </c>
    </row>
    <row r="22" spans="1:22" x14ac:dyDescent="0.3">
      <c r="A22">
        <v>15741</v>
      </c>
      <c r="B22">
        <v>139485298</v>
      </c>
      <c r="C22" t="s">
        <v>347</v>
      </c>
      <c r="D22" t="s">
        <v>348</v>
      </c>
      <c r="E22" t="s">
        <v>241</v>
      </c>
      <c r="G22" t="s">
        <v>89</v>
      </c>
      <c r="H22" t="s">
        <v>90</v>
      </c>
      <c r="I22" t="s">
        <v>34</v>
      </c>
      <c r="J22" t="s">
        <v>91</v>
      </c>
      <c r="K22" t="s">
        <v>43</v>
      </c>
      <c r="L22" t="s">
        <v>349</v>
      </c>
      <c r="M22" t="s">
        <v>350</v>
      </c>
      <c r="N22" t="s">
        <v>244</v>
      </c>
      <c r="O22" t="s">
        <v>62</v>
      </c>
      <c r="P22" t="s">
        <v>351</v>
      </c>
      <c r="Q22" t="s">
        <v>54</v>
      </c>
      <c r="R22" t="s">
        <v>162</v>
      </c>
      <c r="S22">
        <v>2</v>
      </c>
      <c r="T22">
        <v>5143</v>
      </c>
      <c r="U22">
        <v>0</v>
      </c>
      <c r="V22">
        <v>5143</v>
      </c>
    </row>
    <row r="23" spans="1:22" x14ac:dyDescent="0.3">
      <c r="A23">
        <v>15741</v>
      </c>
      <c r="B23">
        <v>139487129</v>
      </c>
      <c r="C23" t="s">
        <v>352</v>
      </c>
      <c r="D23" t="s">
        <v>353</v>
      </c>
      <c r="E23" t="s">
        <v>241</v>
      </c>
      <c r="G23" t="s">
        <v>89</v>
      </c>
      <c r="H23" t="s">
        <v>90</v>
      </c>
      <c r="I23" t="s">
        <v>34</v>
      </c>
      <c r="J23" t="s">
        <v>91</v>
      </c>
      <c r="K23" t="s">
        <v>43</v>
      </c>
      <c r="L23" t="s">
        <v>354</v>
      </c>
      <c r="M23" t="s">
        <v>355</v>
      </c>
      <c r="N23" t="s">
        <v>244</v>
      </c>
      <c r="O23" t="s">
        <v>62</v>
      </c>
      <c r="P23" t="s">
        <v>356</v>
      </c>
      <c r="Q23" t="s">
        <v>101</v>
      </c>
      <c r="R23" t="s">
        <v>213</v>
      </c>
      <c r="S23">
        <v>75.56</v>
      </c>
      <c r="T23">
        <v>34612</v>
      </c>
      <c r="U23">
        <v>7188</v>
      </c>
      <c r="V23">
        <v>41800</v>
      </c>
    </row>
    <row r="24" spans="1:22" x14ac:dyDescent="0.3">
      <c r="A24">
        <v>15741</v>
      </c>
      <c r="B24">
        <v>139487006</v>
      </c>
      <c r="C24" t="s">
        <v>357</v>
      </c>
      <c r="D24" t="s">
        <v>358</v>
      </c>
      <c r="E24" t="s">
        <v>241</v>
      </c>
      <c r="G24" t="s">
        <v>89</v>
      </c>
      <c r="H24" t="s">
        <v>90</v>
      </c>
      <c r="I24" t="s">
        <v>34</v>
      </c>
      <c r="J24" t="s">
        <v>91</v>
      </c>
      <c r="K24" t="s">
        <v>43</v>
      </c>
      <c r="L24" t="s">
        <v>359</v>
      </c>
      <c r="M24" t="s">
        <v>360</v>
      </c>
      <c r="N24" t="s">
        <v>244</v>
      </c>
      <c r="O24" t="s">
        <v>62</v>
      </c>
      <c r="P24" t="s">
        <v>356</v>
      </c>
      <c r="Q24" t="s">
        <v>53</v>
      </c>
      <c r="R24" t="s">
        <v>93</v>
      </c>
      <c r="S24">
        <v>121.5</v>
      </c>
      <c r="T24">
        <v>34859</v>
      </c>
      <c r="U24">
        <v>4787.45</v>
      </c>
      <c r="V24">
        <v>39646.449999999997</v>
      </c>
    </row>
    <row r="25" spans="1:22" x14ac:dyDescent="0.3">
      <c r="A25">
        <v>15741</v>
      </c>
      <c r="B25">
        <v>139333487</v>
      </c>
      <c r="C25" t="s">
        <v>361</v>
      </c>
      <c r="D25" t="s">
        <v>362</v>
      </c>
      <c r="E25" t="s">
        <v>241</v>
      </c>
      <c r="G25" t="s">
        <v>89</v>
      </c>
      <c r="H25" t="s">
        <v>90</v>
      </c>
      <c r="I25" t="s">
        <v>34</v>
      </c>
      <c r="J25" t="s">
        <v>91</v>
      </c>
      <c r="K25" t="s">
        <v>43</v>
      </c>
      <c r="L25" t="s">
        <v>363</v>
      </c>
      <c r="M25" t="s">
        <v>364</v>
      </c>
      <c r="N25" t="s">
        <v>244</v>
      </c>
      <c r="O25" t="s">
        <v>62</v>
      </c>
      <c r="P25" t="s">
        <v>365</v>
      </c>
      <c r="Q25" t="s">
        <v>54</v>
      </c>
      <c r="R25" t="s">
        <v>366</v>
      </c>
      <c r="S25">
        <v>6.73</v>
      </c>
      <c r="T25">
        <v>6622</v>
      </c>
      <c r="U25">
        <v>0</v>
      </c>
      <c r="V25">
        <v>6622</v>
      </c>
    </row>
    <row r="26" spans="1:22" x14ac:dyDescent="0.3">
      <c r="A26">
        <v>15741</v>
      </c>
      <c r="B26">
        <v>139485280</v>
      </c>
      <c r="C26" t="s">
        <v>367</v>
      </c>
      <c r="D26" t="s">
        <v>368</v>
      </c>
      <c r="E26" t="s">
        <v>241</v>
      </c>
      <c r="G26" t="s">
        <v>89</v>
      </c>
      <c r="H26" t="s">
        <v>90</v>
      </c>
      <c r="I26" t="s">
        <v>34</v>
      </c>
      <c r="J26" t="s">
        <v>91</v>
      </c>
      <c r="K26" t="s">
        <v>43</v>
      </c>
      <c r="L26" t="s">
        <v>369</v>
      </c>
      <c r="M26" t="s">
        <v>370</v>
      </c>
      <c r="N26" t="s">
        <v>244</v>
      </c>
      <c r="O26" t="s">
        <v>62</v>
      </c>
      <c r="P26" t="s">
        <v>371</v>
      </c>
      <c r="Q26" t="s">
        <v>48</v>
      </c>
      <c r="R26" t="s">
        <v>149</v>
      </c>
      <c r="S26">
        <v>2</v>
      </c>
      <c r="T26">
        <v>5852</v>
      </c>
      <c r="U26">
        <v>0</v>
      </c>
      <c r="V26">
        <v>5852</v>
      </c>
    </row>
    <row r="27" spans="1:22" x14ac:dyDescent="0.3">
      <c r="A27">
        <v>15741</v>
      </c>
      <c r="B27">
        <v>139485341</v>
      </c>
      <c r="C27" t="s">
        <v>347</v>
      </c>
      <c r="D27" t="s">
        <v>372</v>
      </c>
      <c r="E27" t="s">
        <v>241</v>
      </c>
      <c r="G27" t="s">
        <v>89</v>
      </c>
      <c r="H27" t="s">
        <v>90</v>
      </c>
      <c r="I27" t="s">
        <v>34</v>
      </c>
      <c r="J27" t="s">
        <v>91</v>
      </c>
      <c r="K27" t="s">
        <v>43</v>
      </c>
      <c r="L27" t="s">
        <v>373</v>
      </c>
      <c r="M27" t="s">
        <v>374</v>
      </c>
      <c r="N27" t="s">
        <v>244</v>
      </c>
      <c r="O27" t="s">
        <v>62</v>
      </c>
      <c r="P27" t="s">
        <v>375</v>
      </c>
      <c r="Q27" t="s">
        <v>130</v>
      </c>
      <c r="R27" t="s">
        <v>162</v>
      </c>
      <c r="S27">
        <v>2</v>
      </c>
      <c r="T27">
        <v>5200</v>
      </c>
      <c r="U27">
        <v>0</v>
      </c>
      <c r="V27">
        <v>5200</v>
      </c>
    </row>
    <row r="28" spans="1:22" x14ac:dyDescent="0.3">
      <c r="A28">
        <v>15741</v>
      </c>
      <c r="B28">
        <v>139441483</v>
      </c>
      <c r="C28" t="s">
        <v>376</v>
      </c>
      <c r="D28" t="s">
        <v>377</v>
      </c>
      <c r="E28" t="s">
        <v>241</v>
      </c>
      <c r="G28" t="s">
        <v>89</v>
      </c>
      <c r="H28" t="s">
        <v>90</v>
      </c>
      <c r="I28" t="s">
        <v>34</v>
      </c>
      <c r="J28" t="s">
        <v>91</v>
      </c>
      <c r="K28" t="s">
        <v>43</v>
      </c>
      <c r="L28" t="s">
        <v>378</v>
      </c>
      <c r="M28" t="s">
        <v>379</v>
      </c>
      <c r="N28" t="s">
        <v>244</v>
      </c>
      <c r="O28" t="s">
        <v>62</v>
      </c>
      <c r="P28" t="s">
        <v>224</v>
      </c>
      <c r="Q28" t="s">
        <v>83</v>
      </c>
      <c r="R28" t="s">
        <v>226</v>
      </c>
      <c r="S28">
        <v>106.59</v>
      </c>
      <c r="T28">
        <v>33743</v>
      </c>
      <c r="U28">
        <v>10199.94</v>
      </c>
      <c r="V28">
        <v>43942.94</v>
      </c>
    </row>
    <row r="29" spans="1:22" x14ac:dyDescent="0.3">
      <c r="A29">
        <v>15741</v>
      </c>
      <c r="B29">
        <v>139330423</v>
      </c>
      <c r="C29" t="s">
        <v>380</v>
      </c>
      <c r="D29" t="s">
        <v>381</v>
      </c>
      <c r="E29" t="s">
        <v>241</v>
      </c>
      <c r="G29" t="s">
        <v>89</v>
      </c>
      <c r="H29" t="s">
        <v>90</v>
      </c>
      <c r="I29" t="s">
        <v>34</v>
      </c>
      <c r="J29" t="s">
        <v>91</v>
      </c>
      <c r="K29" t="s">
        <v>43</v>
      </c>
      <c r="L29" t="s">
        <v>382</v>
      </c>
      <c r="M29" t="s">
        <v>383</v>
      </c>
      <c r="N29" t="s">
        <v>244</v>
      </c>
      <c r="O29" t="s">
        <v>62</v>
      </c>
      <c r="P29" t="s">
        <v>384</v>
      </c>
      <c r="Q29" t="s">
        <v>60</v>
      </c>
      <c r="R29" t="s">
        <v>212</v>
      </c>
      <c r="S29">
        <v>99.3</v>
      </c>
      <c r="T29">
        <v>39012</v>
      </c>
      <c r="U29">
        <v>15479.82</v>
      </c>
      <c r="V29">
        <v>54491.82</v>
      </c>
    </row>
    <row r="30" spans="1:22" x14ac:dyDescent="0.3">
      <c r="A30">
        <v>15741</v>
      </c>
      <c r="B30">
        <v>139379810</v>
      </c>
      <c r="C30" t="s">
        <v>385</v>
      </c>
      <c r="D30" t="s">
        <v>386</v>
      </c>
      <c r="E30" t="s">
        <v>241</v>
      </c>
      <c r="G30" t="s">
        <v>89</v>
      </c>
      <c r="H30" t="s">
        <v>90</v>
      </c>
      <c r="I30" t="s">
        <v>34</v>
      </c>
      <c r="J30" t="s">
        <v>91</v>
      </c>
      <c r="K30" t="s">
        <v>43</v>
      </c>
      <c r="L30" t="s">
        <v>387</v>
      </c>
      <c r="M30" t="s">
        <v>388</v>
      </c>
      <c r="N30" t="s">
        <v>244</v>
      </c>
      <c r="O30" t="s">
        <v>62</v>
      </c>
      <c r="P30" t="s">
        <v>389</v>
      </c>
      <c r="Q30" t="s">
        <v>66</v>
      </c>
      <c r="R30" t="s">
        <v>112</v>
      </c>
      <c r="S30">
        <v>20</v>
      </c>
      <c r="T30">
        <v>10476</v>
      </c>
      <c r="U30">
        <v>0</v>
      </c>
      <c r="V30">
        <v>10476</v>
      </c>
    </row>
    <row r="31" spans="1:22" x14ac:dyDescent="0.3">
      <c r="A31">
        <v>15741</v>
      </c>
      <c r="B31">
        <v>139379862</v>
      </c>
      <c r="C31" t="s">
        <v>390</v>
      </c>
      <c r="D31" t="s">
        <v>391</v>
      </c>
      <c r="E31" t="s">
        <v>241</v>
      </c>
      <c r="G31" t="s">
        <v>89</v>
      </c>
      <c r="H31" t="s">
        <v>90</v>
      </c>
      <c r="I31" t="s">
        <v>34</v>
      </c>
      <c r="J31" t="s">
        <v>91</v>
      </c>
      <c r="K31" t="s">
        <v>43</v>
      </c>
      <c r="L31" t="s">
        <v>392</v>
      </c>
      <c r="M31" t="s">
        <v>393</v>
      </c>
      <c r="N31" t="s">
        <v>244</v>
      </c>
      <c r="O31" t="s">
        <v>62</v>
      </c>
      <c r="P31" t="s">
        <v>394</v>
      </c>
      <c r="Q31" t="s">
        <v>65</v>
      </c>
      <c r="R31" t="s">
        <v>195</v>
      </c>
      <c r="S31">
        <v>7</v>
      </c>
      <c r="T31">
        <v>6702</v>
      </c>
      <c r="U31">
        <v>0</v>
      </c>
      <c r="V31">
        <v>6702</v>
      </c>
    </row>
    <row r="32" spans="1:22" x14ac:dyDescent="0.3">
      <c r="A32">
        <v>15741</v>
      </c>
      <c r="B32">
        <v>139376299</v>
      </c>
      <c r="C32" t="s">
        <v>395</v>
      </c>
      <c r="D32" t="s">
        <v>396</v>
      </c>
      <c r="E32" t="s">
        <v>241</v>
      </c>
      <c r="G32" t="s">
        <v>89</v>
      </c>
      <c r="H32" t="s">
        <v>90</v>
      </c>
      <c r="I32" t="s">
        <v>34</v>
      </c>
      <c r="J32" t="s">
        <v>91</v>
      </c>
      <c r="K32" t="s">
        <v>43</v>
      </c>
      <c r="L32" t="s">
        <v>397</v>
      </c>
      <c r="M32" t="s">
        <v>398</v>
      </c>
      <c r="N32" t="s">
        <v>244</v>
      </c>
      <c r="O32" t="s">
        <v>62</v>
      </c>
      <c r="P32" t="s">
        <v>399</v>
      </c>
      <c r="Q32" t="s">
        <v>111</v>
      </c>
      <c r="R32" t="s">
        <v>400</v>
      </c>
      <c r="S32">
        <v>56</v>
      </c>
      <c r="T32">
        <v>23777</v>
      </c>
      <c r="U32">
        <v>7709.88</v>
      </c>
      <c r="V32">
        <v>31486.880000000001</v>
      </c>
    </row>
    <row r="33" spans="1:22" x14ac:dyDescent="0.3">
      <c r="A33">
        <v>15741</v>
      </c>
      <c r="B33">
        <v>139333574</v>
      </c>
      <c r="C33" t="s">
        <v>401</v>
      </c>
      <c r="D33" t="s">
        <v>402</v>
      </c>
      <c r="E33" t="s">
        <v>241</v>
      </c>
      <c r="G33" t="s">
        <v>89</v>
      </c>
      <c r="H33" t="s">
        <v>90</v>
      </c>
      <c r="I33" t="s">
        <v>34</v>
      </c>
      <c r="J33" t="s">
        <v>91</v>
      </c>
      <c r="K33" t="s">
        <v>43</v>
      </c>
      <c r="L33" t="s">
        <v>403</v>
      </c>
      <c r="M33" t="s">
        <v>404</v>
      </c>
      <c r="N33" t="s">
        <v>244</v>
      </c>
      <c r="O33" t="s">
        <v>62</v>
      </c>
      <c r="P33" t="s">
        <v>405</v>
      </c>
      <c r="Q33" t="s">
        <v>54</v>
      </c>
      <c r="R33" t="s">
        <v>406</v>
      </c>
      <c r="S33">
        <v>1.81</v>
      </c>
      <c r="T33">
        <v>5143</v>
      </c>
      <c r="U33">
        <v>0</v>
      </c>
      <c r="V33">
        <v>5143</v>
      </c>
    </row>
    <row r="34" spans="1:22" x14ac:dyDescent="0.3">
      <c r="A34">
        <v>15741</v>
      </c>
      <c r="B34">
        <v>139034572</v>
      </c>
      <c r="C34" t="s">
        <v>407</v>
      </c>
      <c r="D34" t="s">
        <v>408</v>
      </c>
      <c r="E34" t="s">
        <v>241</v>
      </c>
      <c r="G34" t="s">
        <v>89</v>
      </c>
      <c r="H34" t="s">
        <v>90</v>
      </c>
      <c r="I34" t="s">
        <v>34</v>
      </c>
      <c r="J34" t="s">
        <v>91</v>
      </c>
      <c r="K34" t="s">
        <v>43</v>
      </c>
      <c r="L34" t="s">
        <v>409</v>
      </c>
      <c r="M34" t="s">
        <v>410</v>
      </c>
      <c r="N34" t="s">
        <v>244</v>
      </c>
      <c r="O34" t="s">
        <v>62</v>
      </c>
      <c r="P34" t="s">
        <v>151</v>
      </c>
      <c r="Q34" t="s">
        <v>77</v>
      </c>
      <c r="R34" t="s">
        <v>411</v>
      </c>
      <c r="S34">
        <v>10.25</v>
      </c>
      <c r="T34">
        <v>6027</v>
      </c>
      <c r="U34">
        <v>0</v>
      </c>
      <c r="V34">
        <v>6027</v>
      </c>
    </row>
    <row r="35" spans="1:22" x14ac:dyDescent="0.3">
      <c r="A35">
        <v>15741</v>
      </c>
      <c r="B35">
        <v>139333643</v>
      </c>
      <c r="C35" t="s">
        <v>412</v>
      </c>
      <c r="D35" t="s">
        <v>413</v>
      </c>
      <c r="E35" t="s">
        <v>241</v>
      </c>
      <c r="G35" t="s">
        <v>89</v>
      </c>
      <c r="H35" t="s">
        <v>90</v>
      </c>
      <c r="I35" t="s">
        <v>34</v>
      </c>
      <c r="J35" t="s">
        <v>91</v>
      </c>
      <c r="K35" t="s">
        <v>43</v>
      </c>
      <c r="L35" t="s">
        <v>414</v>
      </c>
      <c r="M35" t="s">
        <v>415</v>
      </c>
      <c r="N35" t="s">
        <v>244</v>
      </c>
      <c r="O35" t="s">
        <v>62</v>
      </c>
      <c r="P35" t="s">
        <v>416</v>
      </c>
      <c r="Q35" t="s">
        <v>69</v>
      </c>
      <c r="R35" t="s">
        <v>169</v>
      </c>
      <c r="S35">
        <v>1.85</v>
      </c>
      <c r="T35">
        <v>5143</v>
      </c>
      <c r="U35">
        <v>0</v>
      </c>
      <c r="V35">
        <v>5143</v>
      </c>
    </row>
    <row r="36" spans="1:22" x14ac:dyDescent="0.3">
      <c r="A36">
        <v>15741</v>
      </c>
      <c r="B36">
        <v>139285394</v>
      </c>
      <c r="C36" t="s">
        <v>417</v>
      </c>
      <c r="D36" t="s">
        <v>418</v>
      </c>
      <c r="E36" t="s">
        <v>241</v>
      </c>
      <c r="G36" t="s">
        <v>89</v>
      </c>
      <c r="H36" t="s">
        <v>90</v>
      </c>
      <c r="I36" t="s">
        <v>34</v>
      </c>
      <c r="J36" t="s">
        <v>91</v>
      </c>
      <c r="K36" t="s">
        <v>105</v>
      </c>
      <c r="L36" t="s">
        <v>106</v>
      </c>
      <c r="M36" t="s">
        <v>419</v>
      </c>
      <c r="N36" t="s">
        <v>244</v>
      </c>
      <c r="O36" t="s">
        <v>62</v>
      </c>
      <c r="P36" t="s">
        <v>420</v>
      </c>
      <c r="Q36" t="s">
        <v>54</v>
      </c>
      <c r="R36" t="s">
        <v>233</v>
      </c>
      <c r="S36">
        <v>1.77</v>
      </c>
      <c r="T36">
        <v>5143</v>
      </c>
      <c r="U36">
        <v>0</v>
      </c>
      <c r="V36">
        <v>5143</v>
      </c>
    </row>
    <row r="37" spans="1:22" x14ac:dyDescent="0.3">
      <c r="A37">
        <v>15741</v>
      </c>
      <c r="B37">
        <v>139265437</v>
      </c>
      <c r="C37" t="s">
        <v>421</v>
      </c>
      <c r="D37" t="s">
        <v>422</v>
      </c>
      <c r="E37" t="s">
        <v>241</v>
      </c>
      <c r="G37" t="s">
        <v>89</v>
      </c>
      <c r="H37" t="s">
        <v>90</v>
      </c>
      <c r="I37" t="s">
        <v>34</v>
      </c>
      <c r="J37" t="s">
        <v>91</v>
      </c>
      <c r="K37" t="s">
        <v>43</v>
      </c>
      <c r="L37" t="s">
        <v>423</v>
      </c>
      <c r="M37" t="s">
        <v>424</v>
      </c>
      <c r="N37" t="s">
        <v>244</v>
      </c>
      <c r="O37" t="s">
        <v>62</v>
      </c>
      <c r="P37" t="s">
        <v>425</v>
      </c>
      <c r="Q37" t="s">
        <v>83</v>
      </c>
      <c r="R37" t="s">
        <v>426</v>
      </c>
      <c r="S37">
        <v>546.75</v>
      </c>
      <c r="T37">
        <v>158495</v>
      </c>
      <c r="U37">
        <v>11814.6</v>
      </c>
      <c r="V37">
        <v>170309.6</v>
      </c>
    </row>
    <row r="38" spans="1:22" x14ac:dyDescent="0.3">
      <c r="A38">
        <v>15741</v>
      </c>
      <c r="B38">
        <v>139284506</v>
      </c>
      <c r="C38" t="s">
        <v>427</v>
      </c>
      <c r="D38" t="s">
        <v>428</v>
      </c>
      <c r="E38" t="s">
        <v>241</v>
      </c>
      <c r="G38" t="s">
        <v>89</v>
      </c>
      <c r="H38" t="s">
        <v>90</v>
      </c>
      <c r="I38" t="s">
        <v>34</v>
      </c>
      <c r="J38" t="s">
        <v>91</v>
      </c>
      <c r="K38" t="s">
        <v>43</v>
      </c>
      <c r="L38" t="s">
        <v>429</v>
      </c>
      <c r="M38" t="s">
        <v>430</v>
      </c>
      <c r="N38" t="s">
        <v>244</v>
      </c>
      <c r="O38" t="s">
        <v>62</v>
      </c>
      <c r="P38" t="s">
        <v>431</v>
      </c>
      <c r="Q38" t="s">
        <v>53</v>
      </c>
      <c r="R38" t="s">
        <v>432</v>
      </c>
      <c r="S38">
        <v>73.959999999999994</v>
      </c>
      <c r="T38">
        <v>24963</v>
      </c>
      <c r="U38">
        <v>0</v>
      </c>
      <c r="V38">
        <v>24963</v>
      </c>
    </row>
    <row r="39" spans="1:22" x14ac:dyDescent="0.3">
      <c r="A39">
        <v>15741</v>
      </c>
      <c r="B39">
        <v>139284788</v>
      </c>
      <c r="C39" t="s">
        <v>178</v>
      </c>
      <c r="D39" t="s">
        <v>433</v>
      </c>
      <c r="E39" t="s">
        <v>241</v>
      </c>
      <c r="G39" t="s">
        <v>89</v>
      </c>
      <c r="H39" t="s">
        <v>90</v>
      </c>
      <c r="I39" t="s">
        <v>34</v>
      </c>
      <c r="J39" t="s">
        <v>91</v>
      </c>
      <c r="K39" t="s">
        <v>43</v>
      </c>
      <c r="L39" t="s">
        <v>434</v>
      </c>
      <c r="M39" t="s">
        <v>435</v>
      </c>
      <c r="N39" t="s">
        <v>244</v>
      </c>
      <c r="O39" t="s">
        <v>62</v>
      </c>
      <c r="P39" t="s">
        <v>436</v>
      </c>
      <c r="Q39" t="s">
        <v>60</v>
      </c>
      <c r="R39" t="s">
        <v>437</v>
      </c>
      <c r="S39">
        <v>9</v>
      </c>
      <c r="T39">
        <v>9895</v>
      </c>
      <c r="U39">
        <v>0</v>
      </c>
      <c r="V39">
        <v>9895</v>
      </c>
    </row>
    <row r="40" spans="1:22" x14ac:dyDescent="0.3">
      <c r="A40">
        <v>15741</v>
      </c>
      <c r="B40">
        <v>139212021</v>
      </c>
      <c r="C40" t="s">
        <v>438</v>
      </c>
      <c r="D40" t="s">
        <v>439</v>
      </c>
      <c r="E40" t="s">
        <v>241</v>
      </c>
      <c r="G40" t="s">
        <v>89</v>
      </c>
      <c r="H40" t="s">
        <v>90</v>
      </c>
      <c r="I40" t="s">
        <v>34</v>
      </c>
      <c r="J40" t="s">
        <v>91</v>
      </c>
      <c r="K40" t="s">
        <v>43</v>
      </c>
      <c r="L40" t="s">
        <v>440</v>
      </c>
      <c r="M40" t="s">
        <v>441</v>
      </c>
      <c r="N40" t="s">
        <v>244</v>
      </c>
      <c r="O40" t="s">
        <v>62</v>
      </c>
      <c r="P40" t="s">
        <v>209</v>
      </c>
      <c r="Q40" t="s">
        <v>95</v>
      </c>
      <c r="R40" t="s">
        <v>187</v>
      </c>
      <c r="S40">
        <v>52.7</v>
      </c>
      <c r="T40">
        <v>32793</v>
      </c>
      <c r="U40">
        <v>8189.88</v>
      </c>
      <c r="V40">
        <v>40982.879999999997</v>
      </c>
    </row>
    <row r="41" spans="1:22" x14ac:dyDescent="0.3">
      <c r="A41">
        <v>15741</v>
      </c>
      <c r="B41">
        <v>139191933</v>
      </c>
      <c r="C41" t="s">
        <v>442</v>
      </c>
      <c r="D41" t="s">
        <v>443</v>
      </c>
      <c r="E41" t="s">
        <v>241</v>
      </c>
      <c r="G41" t="s">
        <v>89</v>
      </c>
      <c r="H41" t="s">
        <v>90</v>
      </c>
      <c r="I41" t="s">
        <v>34</v>
      </c>
      <c r="J41" t="s">
        <v>91</v>
      </c>
      <c r="K41" t="s">
        <v>43</v>
      </c>
      <c r="L41" t="s">
        <v>444</v>
      </c>
      <c r="M41" t="s">
        <v>144</v>
      </c>
      <c r="N41" t="s">
        <v>244</v>
      </c>
      <c r="O41" t="s">
        <v>62</v>
      </c>
      <c r="P41" t="s">
        <v>445</v>
      </c>
      <c r="Q41" t="s">
        <v>77</v>
      </c>
      <c r="R41" t="s">
        <v>173</v>
      </c>
      <c r="S41">
        <v>124.58</v>
      </c>
      <c r="T41">
        <v>48631</v>
      </c>
      <c r="U41">
        <v>10799.94</v>
      </c>
      <c r="V41">
        <v>59430.94</v>
      </c>
    </row>
    <row r="42" spans="1:22" x14ac:dyDescent="0.3">
      <c r="A42">
        <v>15741</v>
      </c>
      <c r="B42">
        <v>139246493</v>
      </c>
      <c r="C42" t="s">
        <v>446</v>
      </c>
      <c r="D42" t="s">
        <v>447</v>
      </c>
      <c r="E42" t="s">
        <v>241</v>
      </c>
      <c r="G42" t="s">
        <v>89</v>
      </c>
      <c r="H42" t="s">
        <v>90</v>
      </c>
      <c r="I42" t="s">
        <v>34</v>
      </c>
      <c r="J42" t="s">
        <v>91</v>
      </c>
      <c r="K42" t="s">
        <v>43</v>
      </c>
      <c r="L42" t="s">
        <v>448</v>
      </c>
      <c r="M42" t="s">
        <v>449</v>
      </c>
      <c r="N42" t="s">
        <v>244</v>
      </c>
      <c r="O42" t="s">
        <v>62</v>
      </c>
      <c r="P42" t="s">
        <v>450</v>
      </c>
      <c r="Q42" t="s">
        <v>128</v>
      </c>
      <c r="R42" t="s">
        <v>205</v>
      </c>
      <c r="S42">
        <v>2.0699999999999998</v>
      </c>
      <c r="T42">
        <v>5435</v>
      </c>
      <c r="U42">
        <v>0</v>
      </c>
      <c r="V42">
        <v>5435</v>
      </c>
    </row>
    <row r="43" spans="1:22" x14ac:dyDescent="0.3">
      <c r="A43">
        <v>15741</v>
      </c>
      <c r="B43">
        <v>139246538</v>
      </c>
      <c r="C43" t="s">
        <v>451</v>
      </c>
      <c r="D43" t="s">
        <v>452</v>
      </c>
      <c r="E43" t="s">
        <v>241</v>
      </c>
      <c r="G43" t="s">
        <v>89</v>
      </c>
      <c r="H43" t="s">
        <v>90</v>
      </c>
      <c r="I43" t="s">
        <v>34</v>
      </c>
      <c r="J43" t="s">
        <v>91</v>
      </c>
      <c r="K43" t="s">
        <v>43</v>
      </c>
      <c r="L43" t="s">
        <v>453</v>
      </c>
      <c r="M43" t="s">
        <v>454</v>
      </c>
      <c r="N43" t="s">
        <v>244</v>
      </c>
      <c r="O43" t="s">
        <v>62</v>
      </c>
      <c r="P43" t="s">
        <v>455</v>
      </c>
      <c r="Q43" t="s">
        <v>54</v>
      </c>
      <c r="R43" t="s">
        <v>206</v>
      </c>
      <c r="S43">
        <v>9.7899999999999991</v>
      </c>
      <c r="T43">
        <v>7519</v>
      </c>
      <c r="U43">
        <v>0</v>
      </c>
      <c r="V43">
        <v>7519</v>
      </c>
    </row>
    <row r="44" spans="1:22" x14ac:dyDescent="0.3">
      <c r="A44">
        <v>15741</v>
      </c>
      <c r="B44">
        <v>139248651</v>
      </c>
      <c r="C44" t="s">
        <v>456</v>
      </c>
      <c r="D44" t="s">
        <v>457</v>
      </c>
      <c r="E44" t="s">
        <v>241</v>
      </c>
      <c r="G44" t="s">
        <v>89</v>
      </c>
      <c r="H44" t="s">
        <v>90</v>
      </c>
      <c r="I44" t="s">
        <v>34</v>
      </c>
      <c r="J44" t="s">
        <v>91</v>
      </c>
      <c r="K44" t="s">
        <v>43</v>
      </c>
      <c r="L44" t="s">
        <v>458</v>
      </c>
      <c r="M44" t="s">
        <v>459</v>
      </c>
      <c r="N44" t="s">
        <v>244</v>
      </c>
      <c r="O44" t="s">
        <v>62</v>
      </c>
      <c r="P44" t="s">
        <v>460</v>
      </c>
      <c r="Q44" t="s">
        <v>54</v>
      </c>
      <c r="R44" t="s">
        <v>167</v>
      </c>
      <c r="S44">
        <v>9.59</v>
      </c>
      <c r="T44">
        <v>7519</v>
      </c>
      <c r="U44">
        <v>0</v>
      </c>
      <c r="V44">
        <v>7519</v>
      </c>
    </row>
    <row r="45" spans="1:22" x14ac:dyDescent="0.3">
      <c r="A45">
        <v>15741</v>
      </c>
      <c r="B45">
        <v>139247240</v>
      </c>
      <c r="C45" t="s">
        <v>461</v>
      </c>
      <c r="D45" t="s">
        <v>462</v>
      </c>
      <c r="E45" t="s">
        <v>241</v>
      </c>
      <c r="G45" t="s">
        <v>89</v>
      </c>
      <c r="H45" t="s">
        <v>90</v>
      </c>
      <c r="I45" t="s">
        <v>34</v>
      </c>
      <c r="J45" t="s">
        <v>91</v>
      </c>
      <c r="K45" t="s">
        <v>43</v>
      </c>
      <c r="L45" t="s">
        <v>463</v>
      </c>
      <c r="M45" t="s">
        <v>464</v>
      </c>
      <c r="N45" t="s">
        <v>244</v>
      </c>
      <c r="O45" t="s">
        <v>62</v>
      </c>
      <c r="P45" t="s">
        <v>465</v>
      </c>
      <c r="Q45" t="s">
        <v>82</v>
      </c>
      <c r="R45" t="s">
        <v>163</v>
      </c>
      <c r="S45">
        <v>52.7</v>
      </c>
      <c r="T45">
        <v>18655</v>
      </c>
      <c r="U45">
        <v>6095.94</v>
      </c>
      <c r="V45">
        <v>24750.94</v>
      </c>
    </row>
    <row r="46" spans="1:22" x14ac:dyDescent="0.3">
      <c r="A46">
        <v>15741</v>
      </c>
      <c r="B46">
        <v>139196153</v>
      </c>
      <c r="C46" t="s">
        <v>466</v>
      </c>
      <c r="D46" t="s">
        <v>467</v>
      </c>
      <c r="E46" t="s">
        <v>241</v>
      </c>
      <c r="G46" t="s">
        <v>89</v>
      </c>
      <c r="H46" t="s">
        <v>90</v>
      </c>
      <c r="I46" t="s">
        <v>34</v>
      </c>
      <c r="J46" t="s">
        <v>91</v>
      </c>
      <c r="K46" t="s">
        <v>43</v>
      </c>
      <c r="L46" t="s">
        <v>468</v>
      </c>
      <c r="M46" t="s">
        <v>204</v>
      </c>
      <c r="N46" t="s">
        <v>244</v>
      </c>
      <c r="O46" t="s">
        <v>62</v>
      </c>
      <c r="P46" t="s">
        <v>469</v>
      </c>
      <c r="Q46" t="s">
        <v>140</v>
      </c>
      <c r="R46" t="s">
        <v>183</v>
      </c>
      <c r="S46">
        <v>1.8</v>
      </c>
      <c r="T46">
        <v>9643</v>
      </c>
      <c r="U46">
        <v>0</v>
      </c>
      <c r="V46">
        <v>9643</v>
      </c>
    </row>
    <row r="47" spans="1:22" x14ac:dyDescent="0.3">
      <c r="A47">
        <v>15741</v>
      </c>
      <c r="B47">
        <v>139191367</v>
      </c>
      <c r="C47" t="s">
        <v>470</v>
      </c>
      <c r="D47" t="s">
        <v>471</v>
      </c>
      <c r="E47" t="s">
        <v>241</v>
      </c>
      <c r="G47" t="s">
        <v>89</v>
      </c>
      <c r="H47" t="s">
        <v>90</v>
      </c>
      <c r="I47" t="s">
        <v>34</v>
      </c>
      <c r="J47" t="s">
        <v>91</v>
      </c>
      <c r="K47" t="s">
        <v>43</v>
      </c>
      <c r="L47" t="s">
        <v>472</v>
      </c>
      <c r="M47" t="s">
        <v>473</v>
      </c>
      <c r="N47" t="s">
        <v>244</v>
      </c>
      <c r="O47" t="s">
        <v>62</v>
      </c>
      <c r="P47" t="s">
        <v>474</v>
      </c>
      <c r="Q47" t="s">
        <v>67</v>
      </c>
      <c r="R47" t="s">
        <v>179</v>
      </c>
      <c r="S47">
        <v>70</v>
      </c>
      <c r="T47">
        <v>29304</v>
      </c>
      <c r="U47">
        <v>8099.94</v>
      </c>
      <c r="V47">
        <v>37403.94</v>
      </c>
    </row>
    <row r="48" spans="1:22" x14ac:dyDescent="0.3">
      <c r="A48">
        <v>15741</v>
      </c>
      <c r="B48">
        <v>139074896</v>
      </c>
      <c r="C48" t="s">
        <v>475</v>
      </c>
      <c r="D48" t="s">
        <v>476</v>
      </c>
      <c r="E48" t="s">
        <v>241</v>
      </c>
      <c r="G48" t="s">
        <v>89</v>
      </c>
      <c r="H48" t="s">
        <v>90</v>
      </c>
      <c r="I48" t="s">
        <v>34</v>
      </c>
      <c r="J48" t="s">
        <v>91</v>
      </c>
      <c r="K48" t="s">
        <v>43</v>
      </c>
      <c r="L48" t="s">
        <v>477</v>
      </c>
      <c r="M48" t="s">
        <v>478</v>
      </c>
      <c r="N48" t="s">
        <v>244</v>
      </c>
      <c r="O48" t="s">
        <v>62</v>
      </c>
      <c r="P48" t="s">
        <v>479</v>
      </c>
      <c r="Q48" t="s">
        <v>48</v>
      </c>
      <c r="R48" t="s">
        <v>214</v>
      </c>
      <c r="S48">
        <v>229.7</v>
      </c>
      <c r="T48">
        <v>70922</v>
      </c>
      <c r="U48">
        <v>18990</v>
      </c>
      <c r="V48">
        <v>89912</v>
      </c>
    </row>
    <row r="49" spans="1:22" x14ac:dyDescent="0.3">
      <c r="A49">
        <v>15741</v>
      </c>
      <c r="B49">
        <v>139094624</v>
      </c>
      <c r="C49" t="s">
        <v>480</v>
      </c>
      <c r="D49" t="s">
        <v>481</v>
      </c>
      <c r="E49" t="s">
        <v>241</v>
      </c>
      <c r="G49" t="s">
        <v>89</v>
      </c>
      <c r="H49" t="s">
        <v>90</v>
      </c>
      <c r="I49" t="s">
        <v>34</v>
      </c>
      <c r="J49" t="s">
        <v>91</v>
      </c>
      <c r="K49" t="s">
        <v>43</v>
      </c>
      <c r="L49" t="s">
        <v>482</v>
      </c>
      <c r="M49" t="s">
        <v>483</v>
      </c>
      <c r="N49" t="s">
        <v>244</v>
      </c>
      <c r="O49" t="s">
        <v>62</v>
      </c>
      <c r="P49" t="s">
        <v>484</v>
      </c>
      <c r="Q49" t="s">
        <v>100</v>
      </c>
      <c r="R49" t="s">
        <v>485</v>
      </c>
      <c r="S49">
        <v>36.06</v>
      </c>
      <c r="T49">
        <v>30431</v>
      </c>
      <c r="U49">
        <v>0</v>
      </c>
      <c r="V49">
        <v>30431</v>
      </c>
    </row>
    <row r="50" spans="1:22" x14ac:dyDescent="0.3">
      <c r="A50">
        <v>15741</v>
      </c>
      <c r="B50">
        <v>139115378</v>
      </c>
      <c r="C50" t="s">
        <v>486</v>
      </c>
      <c r="D50" t="s">
        <v>487</v>
      </c>
      <c r="E50" t="s">
        <v>241</v>
      </c>
      <c r="G50" t="s">
        <v>89</v>
      </c>
      <c r="H50" t="s">
        <v>90</v>
      </c>
      <c r="I50" t="s">
        <v>34</v>
      </c>
      <c r="J50" t="s">
        <v>91</v>
      </c>
      <c r="K50" t="s">
        <v>43</v>
      </c>
      <c r="L50" t="s">
        <v>488</v>
      </c>
      <c r="M50" t="s">
        <v>489</v>
      </c>
      <c r="N50" t="s">
        <v>244</v>
      </c>
      <c r="O50" t="s">
        <v>62</v>
      </c>
      <c r="P50" t="s">
        <v>490</v>
      </c>
      <c r="Q50" t="s">
        <v>78</v>
      </c>
      <c r="R50" t="s">
        <v>491</v>
      </c>
      <c r="S50">
        <v>76.39</v>
      </c>
      <c r="T50">
        <v>28815</v>
      </c>
      <c r="U50">
        <v>9804.59</v>
      </c>
      <c r="V50">
        <v>38619.589999999997</v>
      </c>
    </row>
    <row r="51" spans="1:22" x14ac:dyDescent="0.3">
      <c r="A51">
        <v>15741</v>
      </c>
      <c r="B51">
        <v>139114934</v>
      </c>
      <c r="C51" t="s">
        <v>492</v>
      </c>
      <c r="D51" t="s">
        <v>493</v>
      </c>
      <c r="E51" t="s">
        <v>241</v>
      </c>
      <c r="G51" t="s">
        <v>89</v>
      </c>
      <c r="H51" t="s">
        <v>90</v>
      </c>
      <c r="I51" t="s">
        <v>34</v>
      </c>
      <c r="J51" t="s">
        <v>91</v>
      </c>
      <c r="K51" t="s">
        <v>43</v>
      </c>
      <c r="L51" t="s">
        <v>494</v>
      </c>
      <c r="M51" t="s">
        <v>495</v>
      </c>
      <c r="N51" t="s">
        <v>244</v>
      </c>
      <c r="O51" t="s">
        <v>62</v>
      </c>
      <c r="P51" t="s">
        <v>496</v>
      </c>
      <c r="Q51" t="s">
        <v>85</v>
      </c>
      <c r="R51" t="s">
        <v>497</v>
      </c>
      <c r="S51">
        <v>58.52</v>
      </c>
      <c r="T51">
        <v>35117</v>
      </c>
      <c r="U51">
        <v>0</v>
      </c>
      <c r="V51">
        <v>35117</v>
      </c>
    </row>
    <row r="52" spans="1:22" x14ac:dyDescent="0.3">
      <c r="A52">
        <v>15741</v>
      </c>
      <c r="B52">
        <v>139115565</v>
      </c>
      <c r="C52" t="s">
        <v>498</v>
      </c>
      <c r="D52" t="s">
        <v>499</v>
      </c>
      <c r="E52" t="s">
        <v>241</v>
      </c>
      <c r="G52" t="s">
        <v>89</v>
      </c>
      <c r="H52" t="s">
        <v>90</v>
      </c>
      <c r="I52" t="s">
        <v>34</v>
      </c>
      <c r="J52" t="s">
        <v>91</v>
      </c>
      <c r="K52" t="s">
        <v>43</v>
      </c>
      <c r="L52" t="s">
        <v>500</v>
      </c>
      <c r="M52" t="s">
        <v>501</v>
      </c>
      <c r="N52" t="s">
        <v>244</v>
      </c>
      <c r="O52" t="s">
        <v>62</v>
      </c>
      <c r="P52" t="s">
        <v>94</v>
      </c>
      <c r="Q52" t="s">
        <v>60</v>
      </c>
      <c r="R52" t="s">
        <v>131</v>
      </c>
      <c r="S52">
        <v>66</v>
      </c>
      <c r="T52">
        <v>32635</v>
      </c>
      <c r="U52">
        <v>7721.99</v>
      </c>
      <c r="V52">
        <v>40356.99</v>
      </c>
    </row>
    <row r="53" spans="1:22" x14ac:dyDescent="0.3">
      <c r="A53">
        <v>15741</v>
      </c>
      <c r="B53">
        <v>138947188</v>
      </c>
      <c r="C53" t="s">
        <v>502</v>
      </c>
      <c r="D53" t="s">
        <v>503</v>
      </c>
      <c r="E53" t="s">
        <v>241</v>
      </c>
      <c r="G53" t="s">
        <v>89</v>
      </c>
      <c r="H53" t="s">
        <v>90</v>
      </c>
      <c r="I53" t="s">
        <v>34</v>
      </c>
      <c r="J53" t="s">
        <v>91</v>
      </c>
      <c r="K53" t="s">
        <v>43</v>
      </c>
      <c r="L53" t="s">
        <v>504</v>
      </c>
      <c r="M53" t="s">
        <v>505</v>
      </c>
      <c r="N53" t="s">
        <v>244</v>
      </c>
      <c r="O53" t="s">
        <v>62</v>
      </c>
      <c r="P53" t="s">
        <v>506</v>
      </c>
      <c r="Q53" t="s">
        <v>50</v>
      </c>
      <c r="R53" t="s">
        <v>223</v>
      </c>
      <c r="S53">
        <v>87</v>
      </c>
      <c r="T53">
        <v>32566</v>
      </c>
      <c r="U53">
        <v>0</v>
      </c>
      <c r="V53">
        <v>32566</v>
      </c>
    </row>
    <row r="54" spans="1:22" x14ac:dyDescent="0.3">
      <c r="A54">
        <v>15741</v>
      </c>
      <c r="B54">
        <v>139075835</v>
      </c>
      <c r="C54" t="s">
        <v>507</v>
      </c>
      <c r="D54" t="s">
        <v>508</v>
      </c>
      <c r="E54" t="s">
        <v>241</v>
      </c>
      <c r="G54" t="s">
        <v>89</v>
      </c>
      <c r="H54" t="s">
        <v>90</v>
      </c>
      <c r="I54" t="s">
        <v>34</v>
      </c>
      <c r="J54" t="s">
        <v>91</v>
      </c>
      <c r="K54" t="s">
        <v>43</v>
      </c>
      <c r="L54" t="s">
        <v>509</v>
      </c>
      <c r="M54" t="s">
        <v>510</v>
      </c>
      <c r="N54" t="s">
        <v>244</v>
      </c>
      <c r="O54" t="s">
        <v>62</v>
      </c>
      <c r="P54" t="s">
        <v>511</v>
      </c>
      <c r="Q54" t="s">
        <v>45</v>
      </c>
      <c r="R54" t="s">
        <v>184</v>
      </c>
      <c r="S54">
        <v>1.72</v>
      </c>
      <c r="T54">
        <v>5143</v>
      </c>
      <c r="U54">
        <v>0</v>
      </c>
      <c r="V54">
        <v>5143</v>
      </c>
    </row>
    <row r="55" spans="1:22" x14ac:dyDescent="0.3">
      <c r="A55">
        <v>15741</v>
      </c>
      <c r="B55">
        <v>138089793</v>
      </c>
      <c r="C55" t="s">
        <v>512</v>
      </c>
      <c r="D55" t="s">
        <v>513</v>
      </c>
      <c r="E55" t="s">
        <v>241</v>
      </c>
      <c r="G55" t="s">
        <v>89</v>
      </c>
      <c r="H55" t="s">
        <v>90</v>
      </c>
      <c r="I55" t="s">
        <v>34</v>
      </c>
      <c r="J55" t="s">
        <v>91</v>
      </c>
      <c r="K55" t="s">
        <v>43</v>
      </c>
      <c r="L55" t="s">
        <v>514</v>
      </c>
      <c r="M55" t="s">
        <v>515</v>
      </c>
      <c r="N55" t="s">
        <v>244</v>
      </c>
      <c r="O55" t="s">
        <v>62</v>
      </c>
      <c r="P55" t="s">
        <v>516</v>
      </c>
      <c r="Q55" t="s">
        <v>108</v>
      </c>
      <c r="R55" t="s">
        <v>517</v>
      </c>
      <c r="S55">
        <v>94.64</v>
      </c>
      <c r="T55">
        <v>64103</v>
      </c>
      <c r="U55">
        <v>40019.769999999997</v>
      </c>
      <c r="V55">
        <v>104122.76999999999</v>
      </c>
    </row>
    <row r="56" spans="1:22" x14ac:dyDescent="0.3">
      <c r="A56">
        <v>15741</v>
      </c>
      <c r="B56">
        <v>139075890</v>
      </c>
      <c r="C56" t="s">
        <v>518</v>
      </c>
      <c r="D56" t="s">
        <v>519</v>
      </c>
      <c r="E56" t="s">
        <v>241</v>
      </c>
      <c r="G56" t="s">
        <v>89</v>
      </c>
      <c r="H56" t="s">
        <v>90</v>
      </c>
      <c r="I56" t="s">
        <v>34</v>
      </c>
      <c r="J56" t="s">
        <v>91</v>
      </c>
      <c r="K56" t="s">
        <v>43</v>
      </c>
      <c r="L56" t="s">
        <v>520</v>
      </c>
      <c r="M56" t="s">
        <v>521</v>
      </c>
      <c r="N56" t="s">
        <v>244</v>
      </c>
      <c r="O56" t="s">
        <v>62</v>
      </c>
      <c r="P56" t="s">
        <v>522</v>
      </c>
      <c r="Q56" t="s">
        <v>92</v>
      </c>
      <c r="R56" t="s">
        <v>185</v>
      </c>
      <c r="S56">
        <v>1.74</v>
      </c>
      <c r="T56">
        <v>5143</v>
      </c>
      <c r="U56">
        <v>0</v>
      </c>
      <c r="V56">
        <v>5143</v>
      </c>
    </row>
    <row r="57" spans="1:22" x14ac:dyDescent="0.3">
      <c r="A57">
        <v>15741</v>
      </c>
      <c r="B57">
        <v>139033241</v>
      </c>
      <c r="C57" t="s">
        <v>523</v>
      </c>
      <c r="D57" t="s">
        <v>524</v>
      </c>
      <c r="E57" t="s">
        <v>241</v>
      </c>
      <c r="G57" t="s">
        <v>89</v>
      </c>
      <c r="H57" t="s">
        <v>90</v>
      </c>
      <c r="I57" t="s">
        <v>34</v>
      </c>
      <c r="J57" t="s">
        <v>91</v>
      </c>
      <c r="K57" t="s">
        <v>43</v>
      </c>
      <c r="L57" t="s">
        <v>525</v>
      </c>
      <c r="M57" t="s">
        <v>526</v>
      </c>
      <c r="N57" t="s">
        <v>244</v>
      </c>
      <c r="O57" t="s">
        <v>62</v>
      </c>
      <c r="P57" t="s">
        <v>527</v>
      </c>
      <c r="Q57" t="s">
        <v>79</v>
      </c>
      <c r="R57" t="s">
        <v>528</v>
      </c>
      <c r="S57">
        <v>20</v>
      </c>
      <c r="T57">
        <v>24622</v>
      </c>
      <c r="U57">
        <v>0</v>
      </c>
      <c r="V57">
        <v>24622</v>
      </c>
    </row>
    <row r="58" spans="1:22" x14ac:dyDescent="0.3">
      <c r="A58">
        <v>15741</v>
      </c>
      <c r="B58">
        <v>139072974</v>
      </c>
      <c r="C58" t="s">
        <v>529</v>
      </c>
      <c r="D58" t="s">
        <v>530</v>
      </c>
      <c r="E58" t="s">
        <v>241</v>
      </c>
      <c r="G58" t="s">
        <v>89</v>
      </c>
      <c r="H58" t="s">
        <v>90</v>
      </c>
      <c r="I58" t="s">
        <v>34</v>
      </c>
      <c r="J58" t="s">
        <v>91</v>
      </c>
      <c r="K58" t="s">
        <v>43</v>
      </c>
      <c r="L58" t="s">
        <v>531</v>
      </c>
      <c r="M58" t="s">
        <v>532</v>
      </c>
      <c r="N58" t="s">
        <v>244</v>
      </c>
      <c r="O58" t="s">
        <v>62</v>
      </c>
      <c r="P58" t="s">
        <v>533</v>
      </c>
      <c r="Q58" t="s">
        <v>78</v>
      </c>
      <c r="R58" t="s">
        <v>145</v>
      </c>
      <c r="S58">
        <v>6.75</v>
      </c>
      <c r="T58">
        <v>8070</v>
      </c>
      <c r="U58">
        <v>0</v>
      </c>
      <c r="V58">
        <v>8070</v>
      </c>
    </row>
    <row r="59" spans="1:22" x14ac:dyDescent="0.3">
      <c r="A59">
        <v>15741</v>
      </c>
      <c r="B59">
        <v>139048127</v>
      </c>
      <c r="C59" t="s">
        <v>534</v>
      </c>
      <c r="D59" t="s">
        <v>535</v>
      </c>
      <c r="E59" t="s">
        <v>241</v>
      </c>
      <c r="G59" t="s">
        <v>89</v>
      </c>
      <c r="H59" t="s">
        <v>90</v>
      </c>
      <c r="I59" t="s">
        <v>34</v>
      </c>
      <c r="J59" t="s">
        <v>91</v>
      </c>
      <c r="K59" t="s">
        <v>43</v>
      </c>
      <c r="L59" t="s">
        <v>536</v>
      </c>
      <c r="M59" t="s">
        <v>537</v>
      </c>
      <c r="N59" t="s">
        <v>244</v>
      </c>
      <c r="O59" t="s">
        <v>62</v>
      </c>
      <c r="P59" t="s">
        <v>538</v>
      </c>
      <c r="Q59" t="s">
        <v>69</v>
      </c>
      <c r="R59" t="s">
        <v>238</v>
      </c>
      <c r="S59">
        <v>10.98</v>
      </c>
      <c r="T59">
        <v>7810</v>
      </c>
      <c r="U59">
        <v>0</v>
      </c>
      <c r="V59">
        <v>7810</v>
      </c>
    </row>
    <row r="60" spans="1:22" x14ac:dyDescent="0.3">
      <c r="A60">
        <v>15741</v>
      </c>
      <c r="B60">
        <v>139070185</v>
      </c>
      <c r="C60" t="s">
        <v>539</v>
      </c>
      <c r="D60" t="s">
        <v>540</v>
      </c>
      <c r="E60" t="s">
        <v>241</v>
      </c>
      <c r="G60" t="s">
        <v>89</v>
      </c>
      <c r="H60" t="s">
        <v>90</v>
      </c>
      <c r="I60" t="s">
        <v>34</v>
      </c>
      <c r="J60" t="s">
        <v>91</v>
      </c>
      <c r="K60" t="s">
        <v>43</v>
      </c>
      <c r="L60" t="s">
        <v>541</v>
      </c>
      <c r="M60" t="s">
        <v>542</v>
      </c>
      <c r="N60" t="s">
        <v>244</v>
      </c>
      <c r="O60" t="s">
        <v>62</v>
      </c>
      <c r="P60" t="s">
        <v>543</v>
      </c>
      <c r="Q60" t="s">
        <v>53</v>
      </c>
      <c r="R60" t="s">
        <v>544</v>
      </c>
      <c r="S60">
        <v>73.14</v>
      </c>
      <c r="T60">
        <v>24963</v>
      </c>
      <c r="U60">
        <v>0</v>
      </c>
      <c r="V60">
        <v>24963</v>
      </c>
    </row>
    <row r="61" spans="1:22" x14ac:dyDescent="0.3">
      <c r="A61">
        <v>15741</v>
      </c>
      <c r="B61">
        <v>138929412</v>
      </c>
      <c r="C61" t="s">
        <v>545</v>
      </c>
      <c r="D61" t="s">
        <v>546</v>
      </c>
      <c r="E61" t="s">
        <v>241</v>
      </c>
      <c r="G61" t="s">
        <v>89</v>
      </c>
      <c r="H61" t="s">
        <v>90</v>
      </c>
      <c r="I61" t="s">
        <v>34</v>
      </c>
      <c r="J61" t="s">
        <v>91</v>
      </c>
      <c r="K61" t="s">
        <v>43</v>
      </c>
      <c r="L61" t="s">
        <v>547</v>
      </c>
      <c r="M61" t="s">
        <v>548</v>
      </c>
      <c r="N61" t="s">
        <v>244</v>
      </c>
      <c r="O61" t="s">
        <v>62</v>
      </c>
      <c r="P61" t="s">
        <v>549</v>
      </c>
      <c r="Q61" t="s">
        <v>146</v>
      </c>
      <c r="R61" t="s">
        <v>175</v>
      </c>
      <c r="S61">
        <v>20.61</v>
      </c>
      <c r="T61">
        <v>13238</v>
      </c>
      <c r="U61">
        <v>0</v>
      </c>
      <c r="V61">
        <v>13238</v>
      </c>
    </row>
    <row r="62" spans="1:22" x14ac:dyDescent="0.3">
      <c r="A62">
        <v>15741</v>
      </c>
      <c r="B62">
        <v>139033368</v>
      </c>
      <c r="C62" t="s">
        <v>550</v>
      </c>
      <c r="D62" t="s">
        <v>551</v>
      </c>
      <c r="E62" t="s">
        <v>241</v>
      </c>
      <c r="G62" t="s">
        <v>89</v>
      </c>
      <c r="H62" t="s">
        <v>90</v>
      </c>
      <c r="I62" t="s">
        <v>34</v>
      </c>
      <c r="J62" t="s">
        <v>91</v>
      </c>
      <c r="K62" t="s">
        <v>43</v>
      </c>
      <c r="L62" t="s">
        <v>552</v>
      </c>
      <c r="M62" t="s">
        <v>553</v>
      </c>
      <c r="N62" t="s">
        <v>244</v>
      </c>
      <c r="O62" t="s">
        <v>62</v>
      </c>
      <c r="P62" t="s">
        <v>554</v>
      </c>
      <c r="Q62" t="s">
        <v>63</v>
      </c>
      <c r="R62" t="s">
        <v>186</v>
      </c>
      <c r="S62">
        <v>64.06</v>
      </c>
      <c r="T62">
        <v>22610</v>
      </c>
      <c r="U62">
        <v>0</v>
      </c>
      <c r="V62">
        <v>22610</v>
      </c>
    </row>
    <row r="63" spans="1:22" x14ac:dyDescent="0.3">
      <c r="A63">
        <v>15741</v>
      </c>
      <c r="B63">
        <v>139033689</v>
      </c>
      <c r="C63" t="s">
        <v>555</v>
      </c>
      <c r="D63" t="s">
        <v>556</v>
      </c>
      <c r="E63" t="s">
        <v>241</v>
      </c>
      <c r="G63" t="s">
        <v>89</v>
      </c>
      <c r="H63" t="s">
        <v>90</v>
      </c>
      <c r="I63" t="s">
        <v>34</v>
      </c>
      <c r="J63" t="s">
        <v>91</v>
      </c>
      <c r="K63" t="s">
        <v>43</v>
      </c>
      <c r="L63" t="s">
        <v>557</v>
      </c>
      <c r="M63" t="s">
        <v>558</v>
      </c>
      <c r="N63" t="s">
        <v>244</v>
      </c>
      <c r="O63" t="s">
        <v>62</v>
      </c>
      <c r="P63" t="s">
        <v>559</v>
      </c>
      <c r="Q63" t="s">
        <v>67</v>
      </c>
      <c r="R63" t="s">
        <v>560</v>
      </c>
      <c r="S63">
        <v>77.41</v>
      </c>
      <c r="T63">
        <v>29304</v>
      </c>
      <c r="U63">
        <v>6036</v>
      </c>
      <c r="V63">
        <v>35340</v>
      </c>
    </row>
    <row r="64" spans="1:22" x14ac:dyDescent="0.3">
      <c r="A64">
        <v>15741</v>
      </c>
      <c r="B64">
        <v>138980436</v>
      </c>
      <c r="C64" t="s">
        <v>561</v>
      </c>
      <c r="D64" t="s">
        <v>562</v>
      </c>
      <c r="E64" t="s">
        <v>241</v>
      </c>
      <c r="G64" t="s">
        <v>89</v>
      </c>
      <c r="H64" t="s">
        <v>90</v>
      </c>
      <c r="I64" t="s">
        <v>34</v>
      </c>
      <c r="J64" t="s">
        <v>91</v>
      </c>
      <c r="K64" t="s">
        <v>43</v>
      </c>
      <c r="L64" t="s">
        <v>563</v>
      </c>
      <c r="M64" t="s">
        <v>564</v>
      </c>
      <c r="N64" t="s">
        <v>244</v>
      </c>
      <c r="O64" t="s">
        <v>62</v>
      </c>
      <c r="P64" t="s">
        <v>565</v>
      </c>
      <c r="Q64" t="s">
        <v>128</v>
      </c>
      <c r="R64" t="s">
        <v>230</v>
      </c>
      <c r="S64">
        <v>2.02</v>
      </c>
      <c r="T64">
        <v>5435</v>
      </c>
      <c r="U64">
        <v>0</v>
      </c>
      <c r="V64">
        <v>5435</v>
      </c>
    </row>
    <row r="65" spans="1:22" x14ac:dyDescent="0.3">
      <c r="A65">
        <v>15741</v>
      </c>
      <c r="B65">
        <v>138980471</v>
      </c>
      <c r="C65" t="s">
        <v>566</v>
      </c>
      <c r="D65" t="s">
        <v>567</v>
      </c>
      <c r="E65" t="s">
        <v>241</v>
      </c>
      <c r="G65" t="s">
        <v>89</v>
      </c>
      <c r="H65" t="s">
        <v>90</v>
      </c>
      <c r="I65" t="s">
        <v>34</v>
      </c>
      <c r="J65" t="s">
        <v>91</v>
      </c>
      <c r="K65" t="s">
        <v>43</v>
      </c>
      <c r="L65" t="s">
        <v>568</v>
      </c>
      <c r="M65" t="s">
        <v>569</v>
      </c>
      <c r="N65" t="s">
        <v>244</v>
      </c>
      <c r="O65" t="s">
        <v>62</v>
      </c>
      <c r="P65" t="s">
        <v>570</v>
      </c>
      <c r="Q65" t="s">
        <v>49</v>
      </c>
      <c r="R65" t="s">
        <v>229</v>
      </c>
      <c r="S65">
        <v>2.0699999999999998</v>
      </c>
      <c r="T65">
        <v>5435</v>
      </c>
      <c r="U65">
        <v>0</v>
      </c>
      <c r="V65">
        <v>5435</v>
      </c>
    </row>
    <row r="66" spans="1:22" x14ac:dyDescent="0.3">
      <c r="A66">
        <v>15741</v>
      </c>
      <c r="B66">
        <v>138980499</v>
      </c>
      <c r="C66" t="s">
        <v>571</v>
      </c>
      <c r="D66" t="s">
        <v>572</v>
      </c>
      <c r="E66" t="s">
        <v>241</v>
      </c>
      <c r="G66" t="s">
        <v>89</v>
      </c>
      <c r="H66" t="s">
        <v>90</v>
      </c>
      <c r="I66" t="s">
        <v>34</v>
      </c>
      <c r="J66" t="s">
        <v>91</v>
      </c>
      <c r="K66" t="s">
        <v>43</v>
      </c>
      <c r="L66" t="s">
        <v>573</v>
      </c>
      <c r="M66" t="s">
        <v>574</v>
      </c>
      <c r="N66" t="s">
        <v>244</v>
      </c>
      <c r="O66" t="s">
        <v>62</v>
      </c>
      <c r="P66" t="s">
        <v>575</v>
      </c>
      <c r="Q66" t="s">
        <v>69</v>
      </c>
      <c r="R66" t="s">
        <v>229</v>
      </c>
      <c r="S66">
        <v>2.02</v>
      </c>
      <c r="T66">
        <v>5435</v>
      </c>
      <c r="U66">
        <v>0</v>
      </c>
      <c r="V66">
        <v>5435</v>
      </c>
    </row>
    <row r="67" spans="1:22" x14ac:dyDescent="0.3">
      <c r="A67">
        <v>15741</v>
      </c>
      <c r="B67">
        <v>138845280</v>
      </c>
      <c r="C67" t="s">
        <v>576</v>
      </c>
      <c r="D67" t="s">
        <v>577</v>
      </c>
      <c r="E67" t="s">
        <v>241</v>
      </c>
      <c r="G67" t="s">
        <v>89</v>
      </c>
      <c r="H67" t="s">
        <v>90</v>
      </c>
      <c r="I67" t="s">
        <v>34</v>
      </c>
      <c r="J67" t="s">
        <v>91</v>
      </c>
      <c r="K67" t="s">
        <v>43</v>
      </c>
      <c r="L67" t="s">
        <v>578</v>
      </c>
      <c r="M67" t="s">
        <v>579</v>
      </c>
      <c r="N67" t="s">
        <v>244</v>
      </c>
      <c r="O67" t="s">
        <v>62</v>
      </c>
      <c r="P67" t="s">
        <v>193</v>
      </c>
      <c r="Q67" t="s">
        <v>100</v>
      </c>
      <c r="R67" t="s">
        <v>580</v>
      </c>
      <c r="S67">
        <v>52.1</v>
      </c>
      <c r="T67">
        <v>41118</v>
      </c>
      <c r="U67">
        <v>0</v>
      </c>
      <c r="V67">
        <v>41118</v>
      </c>
    </row>
    <row r="68" spans="1:22" x14ac:dyDescent="0.3">
      <c r="A68">
        <v>15741</v>
      </c>
      <c r="B68">
        <v>138814583</v>
      </c>
      <c r="C68" t="s">
        <v>581</v>
      </c>
      <c r="D68" t="s">
        <v>582</v>
      </c>
      <c r="E68" t="s">
        <v>241</v>
      </c>
      <c r="G68" t="s">
        <v>89</v>
      </c>
      <c r="H68" t="s">
        <v>90</v>
      </c>
      <c r="I68" t="s">
        <v>34</v>
      </c>
      <c r="J68" t="s">
        <v>91</v>
      </c>
      <c r="K68" t="s">
        <v>43</v>
      </c>
      <c r="L68" t="s">
        <v>583</v>
      </c>
      <c r="M68" t="s">
        <v>584</v>
      </c>
      <c r="N68" t="s">
        <v>244</v>
      </c>
      <c r="O68" t="s">
        <v>62</v>
      </c>
      <c r="P68" t="s">
        <v>190</v>
      </c>
      <c r="Q68" t="s">
        <v>60</v>
      </c>
      <c r="R68" t="s">
        <v>585</v>
      </c>
      <c r="S68">
        <v>56</v>
      </c>
      <c r="T68">
        <v>29886</v>
      </c>
      <c r="U68">
        <v>6810</v>
      </c>
      <c r="V68">
        <v>36696</v>
      </c>
    </row>
    <row r="69" spans="1:22" x14ac:dyDescent="0.3">
      <c r="A69">
        <v>15741</v>
      </c>
      <c r="B69">
        <v>138845163</v>
      </c>
      <c r="C69" t="s">
        <v>586</v>
      </c>
      <c r="D69" t="s">
        <v>587</v>
      </c>
      <c r="E69" t="s">
        <v>241</v>
      </c>
      <c r="G69" t="s">
        <v>89</v>
      </c>
      <c r="H69" t="s">
        <v>90</v>
      </c>
      <c r="I69" t="s">
        <v>34</v>
      </c>
      <c r="J69" t="s">
        <v>91</v>
      </c>
      <c r="K69" t="s">
        <v>43</v>
      </c>
      <c r="L69" t="s">
        <v>588</v>
      </c>
      <c r="M69" t="s">
        <v>589</v>
      </c>
      <c r="N69" t="s">
        <v>244</v>
      </c>
      <c r="O69" t="s">
        <v>62</v>
      </c>
      <c r="P69" t="s">
        <v>590</v>
      </c>
      <c r="Q69" t="s">
        <v>113</v>
      </c>
      <c r="R69" t="s">
        <v>161</v>
      </c>
      <c r="S69">
        <v>300</v>
      </c>
      <c r="T69">
        <v>85763</v>
      </c>
      <c r="U69">
        <v>15059.94</v>
      </c>
      <c r="V69">
        <v>100822.94</v>
      </c>
    </row>
    <row r="70" spans="1:22" x14ac:dyDescent="0.3">
      <c r="A70">
        <v>15741</v>
      </c>
      <c r="B70">
        <v>138774823</v>
      </c>
      <c r="C70" t="s">
        <v>591</v>
      </c>
      <c r="D70" t="s">
        <v>592</v>
      </c>
      <c r="E70" t="s">
        <v>241</v>
      </c>
      <c r="G70" t="s">
        <v>89</v>
      </c>
      <c r="H70" t="s">
        <v>90</v>
      </c>
      <c r="I70" t="s">
        <v>34</v>
      </c>
      <c r="J70" t="s">
        <v>91</v>
      </c>
      <c r="K70" t="s">
        <v>43</v>
      </c>
      <c r="L70" t="s">
        <v>593</v>
      </c>
      <c r="M70" t="s">
        <v>594</v>
      </c>
      <c r="N70" t="s">
        <v>244</v>
      </c>
      <c r="O70" t="s">
        <v>62</v>
      </c>
      <c r="P70" t="s">
        <v>595</v>
      </c>
      <c r="Q70" t="s">
        <v>110</v>
      </c>
      <c r="R70" t="s">
        <v>596</v>
      </c>
      <c r="S70">
        <v>2.2999999999999998</v>
      </c>
      <c r="T70">
        <v>8340</v>
      </c>
      <c r="U70">
        <v>0</v>
      </c>
      <c r="V70">
        <v>8340</v>
      </c>
    </row>
    <row r="71" spans="1:22" x14ac:dyDescent="0.3">
      <c r="A71">
        <v>15741</v>
      </c>
      <c r="B71">
        <v>138805278</v>
      </c>
      <c r="C71" t="s">
        <v>597</v>
      </c>
      <c r="D71" t="s">
        <v>598</v>
      </c>
      <c r="E71" t="s">
        <v>241</v>
      </c>
      <c r="G71" t="s">
        <v>89</v>
      </c>
      <c r="H71" t="s">
        <v>90</v>
      </c>
      <c r="I71" t="s">
        <v>34</v>
      </c>
      <c r="J71" t="s">
        <v>91</v>
      </c>
      <c r="K71" t="s">
        <v>43</v>
      </c>
      <c r="L71" t="s">
        <v>599</v>
      </c>
      <c r="M71" t="s">
        <v>584</v>
      </c>
      <c r="N71" t="s">
        <v>244</v>
      </c>
      <c r="O71" t="s">
        <v>62</v>
      </c>
      <c r="P71" t="s">
        <v>148</v>
      </c>
      <c r="Q71" t="s">
        <v>80</v>
      </c>
      <c r="R71" t="s">
        <v>231</v>
      </c>
      <c r="S71">
        <v>56</v>
      </c>
      <c r="T71">
        <v>35315</v>
      </c>
      <c r="U71">
        <v>7470</v>
      </c>
      <c r="V71">
        <v>42785</v>
      </c>
    </row>
    <row r="72" spans="1:22" x14ac:dyDescent="0.3">
      <c r="A72">
        <v>15741</v>
      </c>
      <c r="B72">
        <v>138803686</v>
      </c>
      <c r="C72" t="s">
        <v>600</v>
      </c>
      <c r="D72" t="s">
        <v>601</v>
      </c>
      <c r="E72" t="s">
        <v>241</v>
      </c>
      <c r="G72" t="s">
        <v>89</v>
      </c>
      <c r="H72" t="s">
        <v>90</v>
      </c>
      <c r="I72" t="s">
        <v>34</v>
      </c>
      <c r="J72" t="s">
        <v>91</v>
      </c>
      <c r="K72" t="s">
        <v>43</v>
      </c>
      <c r="L72" t="s">
        <v>602</v>
      </c>
      <c r="M72" t="s">
        <v>603</v>
      </c>
      <c r="N72" t="s">
        <v>244</v>
      </c>
      <c r="O72" t="s">
        <v>62</v>
      </c>
      <c r="P72" t="s">
        <v>604</v>
      </c>
      <c r="Q72" t="s">
        <v>77</v>
      </c>
      <c r="R72" t="s">
        <v>605</v>
      </c>
      <c r="S72">
        <v>27.98</v>
      </c>
      <c r="T72">
        <v>22215</v>
      </c>
      <c r="U72">
        <v>4979.9399999999996</v>
      </c>
      <c r="V72">
        <v>27194.94</v>
      </c>
    </row>
    <row r="73" spans="1:22" x14ac:dyDescent="0.3">
      <c r="A73">
        <v>15741</v>
      </c>
      <c r="B73">
        <v>138805010</v>
      </c>
      <c r="C73" t="s">
        <v>606</v>
      </c>
      <c r="D73" t="s">
        <v>607</v>
      </c>
      <c r="E73" t="s">
        <v>241</v>
      </c>
      <c r="G73" t="s">
        <v>89</v>
      </c>
      <c r="H73" t="s">
        <v>90</v>
      </c>
      <c r="I73" t="s">
        <v>34</v>
      </c>
      <c r="J73" t="s">
        <v>91</v>
      </c>
      <c r="K73" t="s">
        <v>43</v>
      </c>
      <c r="L73" t="s">
        <v>608</v>
      </c>
      <c r="M73" t="s">
        <v>609</v>
      </c>
      <c r="N73" t="s">
        <v>244</v>
      </c>
      <c r="O73" t="s">
        <v>62</v>
      </c>
      <c r="P73" t="s">
        <v>610</v>
      </c>
      <c r="Q73" t="s">
        <v>82</v>
      </c>
      <c r="R73" t="s">
        <v>611</v>
      </c>
      <c r="S73">
        <v>56</v>
      </c>
      <c r="T73">
        <v>18655</v>
      </c>
      <c r="U73">
        <v>7679.88</v>
      </c>
      <c r="V73">
        <v>26334.880000000001</v>
      </c>
    </row>
    <row r="74" spans="1:22" x14ac:dyDescent="0.3">
      <c r="A74">
        <v>15741</v>
      </c>
      <c r="B74">
        <v>138804629</v>
      </c>
      <c r="C74" t="s">
        <v>612</v>
      </c>
      <c r="D74" t="s">
        <v>613</v>
      </c>
      <c r="E74" t="s">
        <v>241</v>
      </c>
      <c r="G74" t="s">
        <v>89</v>
      </c>
      <c r="H74" t="s">
        <v>90</v>
      </c>
      <c r="I74" t="s">
        <v>34</v>
      </c>
      <c r="J74" t="s">
        <v>91</v>
      </c>
      <c r="K74" t="s">
        <v>43</v>
      </c>
      <c r="L74" t="s">
        <v>614</v>
      </c>
      <c r="M74" t="s">
        <v>615</v>
      </c>
      <c r="N74" t="s">
        <v>244</v>
      </c>
      <c r="O74" t="s">
        <v>62</v>
      </c>
      <c r="P74" t="s">
        <v>616</v>
      </c>
      <c r="Q74" t="s">
        <v>54</v>
      </c>
      <c r="R74" t="s">
        <v>617</v>
      </c>
      <c r="S74">
        <v>39.6</v>
      </c>
      <c r="T74">
        <v>14917</v>
      </c>
      <c r="U74">
        <v>0</v>
      </c>
      <c r="V74">
        <v>14917</v>
      </c>
    </row>
    <row r="75" spans="1:22" x14ac:dyDescent="0.3">
      <c r="A75">
        <v>15741</v>
      </c>
      <c r="B75">
        <v>138728014</v>
      </c>
      <c r="C75" t="s">
        <v>618</v>
      </c>
      <c r="D75" t="s">
        <v>619</v>
      </c>
      <c r="E75" t="s">
        <v>241</v>
      </c>
      <c r="G75" t="s">
        <v>89</v>
      </c>
      <c r="H75" t="s">
        <v>90</v>
      </c>
      <c r="I75" t="s">
        <v>34</v>
      </c>
      <c r="J75" t="s">
        <v>91</v>
      </c>
      <c r="K75" t="s">
        <v>43</v>
      </c>
      <c r="L75" t="s">
        <v>620</v>
      </c>
      <c r="M75" t="s">
        <v>621</v>
      </c>
      <c r="N75" t="s">
        <v>244</v>
      </c>
      <c r="O75" t="s">
        <v>62</v>
      </c>
      <c r="P75" t="s">
        <v>622</v>
      </c>
      <c r="Q75" t="s">
        <v>64</v>
      </c>
      <c r="R75" t="s">
        <v>623</v>
      </c>
      <c r="S75">
        <v>73.42</v>
      </c>
      <c r="T75">
        <v>28117</v>
      </c>
      <c r="U75">
        <v>7499.94</v>
      </c>
      <c r="V75">
        <v>35616.94</v>
      </c>
    </row>
    <row r="76" spans="1:22" x14ac:dyDescent="0.3">
      <c r="A76">
        <v>15741</v>
      </c>
      <c r="B76">
        <v>138767306</v>
      </c>
      <c r="C76" t="s">
        <v>624</v>
      </c>
      <c r="D76" t="s">
        <v>625</v>
      </c>
      <c r="E76" t="s">
        <v>241</v>
      </c>
      <c r="G76" t="s">
        <v>89</v>
      </c>
      <c r="H76" t="s">
        <v>90</v>
      </c>
      <c r="I76" t="s">
        <v>34</v>
      </c>
      <c r="J76" t="s">
        <v>91</v>
      </c>
      <c r="K76" t="s">
        <v>43</v>
      </c>
      <c r="L76" t="s">
        <v>626</v>
      </c>
      <c r="M76" t="s">
        <v>627</v>
      </c>
      <c r="N76" t="s">
        <v>244</v>
      </c>
      <c r="O76" t="s">
        <v>62</v>
      </c>
      <c r="P76" t="s">
        <v>628</v>
      </c>
      <c r="Q76" t="s">
        <v>102</v>
      </c>
      <c r="R76" t="s">
        <v>70</v>
      </c>
      <c r="S76">
        <v>3.71</v>
      </c>
      <c r="T76">
        <v>5799</v>
      </c>
      <c r="U76">
        <v>0</v>
      </c>
      <c r="V76">
        <v>5799</v>
      </c>
    </row>
    <row r="77" spans="1:22" x14ac:dyDescent="0.3">
      <c r="A77">
        <v>15741</v>
      </c>
      <c r="B77">
        <v>138474568</v>
      </c>
      <c r="C77" t="s">
        <v>629</v>
      </c>
      <c r="D77" t="s">
        <v>630</v>
      </c>
      <c r="E77" t="s">
        <v>241</v>
      </c>
      <c r="G77" t="s">
        <v>89</v>
      </c>
      <c r="H77" t="s">
        <v>90</v>
      </c>
      <c r="I77" t="s">
        <v>34</v>
      </c>
      <c r="J77" t="s">
        <v>91</v>
      </c>
      <c r="K77" t="s">
        <v>43</v>
      </c>
      <c r="L77" t="s">
        <v>578</v>
      </c>
      <c r="M77" t="s">
        <v>579</v>
      </c>
      <c r="N77" t="s">
        <v>244</v>
      </c>
      <c r="O77" t="s">
        <v>62</v>
      </c>
      <c r="P77" t="s">
        <v>193</v>
      </c>
      <c r="Q77" t="s">
        <v>100</v>
      </c>
      <c r="R77" t="s">
        <v>631</v>
      </c>
      <c r="S77">
        <v>62.64</v>
      </c>
      <c r="T77">
        <v>47089</v>
      </c>
      <c r="U77">
        <v>5736</v>
      </c>
      <c r="V77">
        <v>52825</v>
      </c>
    </row>
    <row r="78" spans="1:22" x14ac:dyDescent="0.3">
      <c r="A78">
        <v>15741</v>
      </c>
      <c r="B78">
        <v>138724780</v>
      </c>
      <c r="C78" t="s">
        <v>632</v>
      </c>
      <c r="D78" t="s">
        <v>633</v>
      </c>
      <c r="E78" t="s">
        <v>241</v>
      </c>
      <c r="G78" t="s">
        <v>89</v>
      </c>
      <c r="H78" t="s">
        <v>90</v>
      </c>
      <c r="I78" t="s">
        <v>34</v>
      </c>
      <c r="J78" t="s">
        <v>91</v>
      </c>
      <c r="K78" t="s">
        <v>43</v>
      </c>
      <c r="L78" t="s">
        <v>634</v>
      </c>
      <c r="M78" t="s">
        <v>635</v>
      </c>
      <c r="N78" t="s">
        <v>244</v>
      </c>
      <c r="O78" t="s">
        <v>62</v>
      </c>
      <c r="P78" t="s">
        <v>636</v>
      </c>
      <c r="Q78" t="s">
        <v>82</v>
      </c>
      <c r="R78" t="s">
        <v>240</v>
      </c>
      <c r="S78">
        <v>2.06</v>
      </c>
      <c r="T78">
        <v>5435</v>
      </c>
      <c r="U78">
        <v>0</v>
      </c>
      <c r="V78">
        <v>5435</v>
      </c>
    </row>
    <row r="79" spans="1:22" x14ac:dyDescent="0.3">
      <c r="A79">
        <v>15741</v>
      </c>
      <c r="B79">
        <v>138724817</v>
      </c>
      <c r="C79" t="s">
        <v>637</v>
      </c>
      <c r="D79" t="s">
        <v>638</v>
      </c>
      <c r="E79" t="s">
        <v>241</v>
      </c>
      <c r="G79" t="s">
        <v>89</v>
      </c>
      <c r="H79" t="s">
        <v>90</v>
      </c>
      <c r="I79" t="s">
        <v>34</v>
      </c>
      <c r="J79" t="s">
        <v>91</v>
      </c>
      <c r="K79" t="s">
        <v>43</v>
      </c>
      <c r="L79" t="s">
        <v>639</v>
      </c>
      <c r="M79" t="s">
        <v>640</v>
      </c>
      <c r="N79" t="s">
        <v>244</v>
      </c>
      <c r="O79" t="s">
        <v>62</v>
      </c>
      <c r="P79" t="s">
        <v>641</v>
      </c>
      <c r="Q79" t="s">
        <v>78</v>
      </c>
      <c r="R79" t="s">
        <v>237</v>
      </c>
      <c r="S79">
        <v>2</v>
      </c>
      <c r="T79">
        <v>6268</v>
      </c>
      <c r="U79">
        <v>0</v>
      </c>
      <c r="V79">
        <v>6268</v>
      </c>
    </row>
    <row r="80" spans="1:22" x14ac:dyDescent="0.3">
      <c r="A80">
        <v>15741</v>
      </c>
      <c r="B80">
        <v>138645436</v>
      </c>
      <c r="C80" t="s">
        <v>642</v>
      </c>
      <c r="D80" t="s">
        <v>643</v>
      </c>
      <c r="E80" t="s">
        <v>241</v>
      </c>
      <c r="G80" t="s">
        <v>89</v>
      </c>
      <c r="H80" t="s">
        <v>90</v>
      </c>
      <c r="I80" t="s">
        <v>34</v>
      </c>
      <c r="J80" t="s">
        <v>91</v>
      </c>
      <c r="K80" t="s">
        <v>43</v>
      </c>
      <c r="L80" t="s">
        <v>644</v>
      </c>
      <c r="M80" t="s">
        <v>645</v>
      </c>
      <c r="N80" t="s">
        <v>244</v>
      </c>
      <c r="O80" t="s">
        <v>62</v>
      </c>
      <c r="P80" t="s">
        <v>646</v>
      </c>
      <c r="Q80" t="s">
        <v>126</v>
      </c>
      <c r="R80" t="s">
        <v>647</v>
      </c>
      <c r="S80">
        <v>14.65</v>
      </c>
      <c r="T80">
        <v>10965</v>
      </c>
      <c r="U80">
        <v>0</v>
      </c>
      <c r="V80">
        <v>10965</v>
      </c>
    </row>
    <row r="81" spans="1:22" x14ac:dyDescent="0.3">
      <c r="A81">
        <v>15741</v>
      </c>
      <c r="B81">
        <v>138726065</v>
      </c>
      <c r="C81" t="s">
        <v>648</v>
      </c>
      <c r="D81" t="s">
        <v>649</v>
      </c>
      <c r="E81" t="s">
        <v>241</v>
      </c>
      <c r="G81" t="s">
        <v>89</v>
      </c>
      <c r="H81" t="s">
        <v>90</v>
      </c>
      <c r="I81" t="s">
        <v>34</v>
      </c>
      <c r="J81" t="s">
        <v>91</v>
      </c>
      <c r="K81" t="s">
        <v>43</v>
      </c>
      <c r="L81" t="s">
        <v>650</v>
      </c>
      <c r="M81" t="s">
        <v>651</v>
      </c>
      <c r="N81" t="s">
        <v>244</v>
      </c>
      <c r="O81" t="s">
        <v>62</v>
      </c>
      <c r="P81" t="s">
        <v>652</v>
      </c>
      <c r="Q81" t="s">
        <v>88</v>
      </c>
      <c r="R81" t="s">
        <v>176</v>
      </c>
      <c r="S81">
        <v>37.049999999999997</v>
      </c>
      <c r="T81">
        <v>15620</v>
      </c>
      <c r="U81">
        <v>0</v>
      </c>
      <c r="V81">
        <v>15620</v>
      </c>
    </row>
    <row r="82" spans="1:22" x14ac:dyDescent="0.3">
      <c r="A82">
        <v>15741</v>
      </c>
      <c r="B82">
        <v>138725114</v>
      </c>
      <c r="C82" t="s">
        <v>653</v>
      </c>
      <c r="D82" t="s">
        <v>654</v>
      </c>
      <c r="E82" t="s">
        <v>241</v>
      </c>
      <c r="G82" t="s">
        <v>89</v>
      </c>
      <c r="H82" t="s">
        <v>90</v>
      </c>
      <c r="I82" t="s">
        <v>34</v>
      </c>
      <c r="J82" t="s">
        <v>91</v>
      </c>
      <c r="K82" t="s">
        <v>43</v>
      </c>
      <c r="L82" t="s">
        <v>655</v>
      </c>
      <c r="M82" t="s">
        <v>656</v>
      </c>
      <c r="N82" t="s">
        <v>244</v>
      </c>
      <c r="O82" t="s">
        <v>62</v>
      </c>
      <c r="P82" t="s">
        <v>657</v>
      </c>
      <c r="Q82" t="s">
        <v>114</v>
      </c>
      <c r="R82" t="s">
        <v>181</v>
      </c>
      <c r="S82">
        <v>1.76</v>
      </c>
      <c r="T82">
        <v>5143</v>
      </c>
      <c r="U82">
        <v>0</v>
      </c>
      <c r="V82">
        <v>5143</v>
      </c>
    </row>
    <row r="83" spans="1:22" x14ac:dyDescent="0.3">
      <c r="A83">
        <v>15741</v>
      </c>
      <c r="B83">
        <v>138725094</v>
      </c>
      <c r="C83" t="s">
        <v>658</v>
      </c>
      <c r="D83" t="s">
        <v>659</v>
      </c>
      <c r="E83" t="s">
        <v>241</v>
      </c>
      <c r="G83" t="s">
        <v>89</v>
      </c>
      <c r="H83" t="s">
        <v>90</v>
      </c>
      <c r="I83" t="s">
        <v>34</v>
      </c>
      <c r="J83" t="s">
        <v>91</v>
      </c>
      <c r="K83" t="s">
        <v>43</v>
      </c>
      <c r="L83" t="s">
        <v>660</v>
      </c>
      <c r="M83" t="s">
        <v>661</v>
      </c>
      <c r="N83" t="s">
        <v>244</v>
      </c>
      <c r="O83" t="s">
        <v>62</v>
      </c>
      <c r="P83" t="s">
        <v>662</v>
      </c>
      <c r="Q83" t="s">
        <v>114</v>
      </c>
      <c r="R83" t="s">
        <v>182</v>
      </c>
      <c r="S83">
        <v>2.12</v>
      </c>
      <c r="T83">
        <v>5435</v>
      </c>
      <c r="U83">
        <v>0</v>
      </c>
      <c r="V83">
        <v>5435</v>
      </c>
    </row>
    <row r="84" spans="1:22" x14ac:dyDescent="0.3">
      <c r="A84">
        <v>15741</v>
      </c>
      <c r="B84">
        <v>138724843</v>
      </c>
      <c r="C84" t="s">
        <v>663</v>
      </c>
      <c r="D84" t="s">
        <v>664</v>
      </c>
      <c r="E84" t="s">
        <v>241</v>
      </c>
      <c r="G84" t="s">
        <v>89</v>
      </c>
      <c r="H84" t="s">
        <v>90</v>
      </c>
      <c r="I84" t="s">
        <v>34</v>
      </c>
      <c r="J84" t="s">
        <v>91</v>
      </c>
      <c r="K84" t="s">
        <v>43</v>
      </c>
      <c r="L84" t="s">
        <v>665</v>
      </c>
      <c r="M84" t="s">
        <v>666</v>
      </c>
      <c r="N84" t="s">
        <v>244</v>
      </c>
      <c r="O84" t="s">
        <v>62</v>
      </c>
      <c r="P84" t="s">
        <v>667</v>
      </c>
      <c r="Q84" t="s">
        <v>55</v>
      </c>
      <c r="R84" t="s">
        <v>129</v>
      </c>
      <c r="S84">
        <v>2.0699999999999998</v>
      </c>
      <c r="T84">
        <v>5435</v>
      </c>
      <c r="U84">
        <v>0</v>
      </c>
      <c r="V84">
        <v>5435</v>
      </c>
    </row>
    <row r="85" spans="1:22" x14ac:dyDescent="0.3">
      <c r="A85">
        <v>15741</v>
      </c>
      <c r="B85">
        <v>138725666</v>
      </c>
      <c r="C85" t="s">
        <v>668</v>
      </c>
      <c r="D85" t="s">
        <v>669</v>
      </c>
      <c r="E85" t="s">
        <v>241</v>
      </c>
      <c r="G85" t="s">
        <v>89</v>
      </c>
      <c r="H85" t="s">
        <v>90</v>
      </c>
      <c r="I85" t="s">
        <v>34</v>
      </c>
      <c r="J85" t="s">
        <v>91</v>
      </c>
      <c r="K85" t="s">
        <v>43</v>
      </c>
      <c r="L85" t="s">
        <v>670</v>
      </c>
      <c r="M85" t="s">
        <v>671</v>
      </c>
      <c r="N85" t="s">
        <v>244</v>
      </c>
      <c r="O85" t="s">
        <v>62</v>
      </c>
      <c r="P85" t="s">
        <v>672</v>
      </c>
      <c r="Q85" t="s">
        <v>78</v>
      </c>
      <c r="R85" t="s">
        <v>673</v>
      </c>
      <c r="S85">
        <v>56</v>
      </c>
      <c r="T85">
        <v>22826</v>
      </c>
      <c r="U85">
        <v>6210</v>
      </c>
      <c r="V85">
        <v>29036</v>
      </c>
    </row>
    <row r="86" spans="1:22" x14ac:dyDescent="0.3">
      <c r="A86">
        <v>15741</v>
      </c>
      <c r="B86">
        <v>138203697</v>
      </c>
      <c r="C86" t="s">
        <v>674</v>
      </c>
      <c r="D86" t="s">
        <v>675</v>
      </c>
      <c r="E86" t="s">
        <v>241</v>
      </c>
      <c r="G86" t="s">
        <v>89</v>
      </c>
      <c r="H86" t="s">
        <v>90</v>
      </c>
      <c r="I86" t="s">
        <v>34</v>
      </c>
      <c r="J86" t="s">
        <v>91</v>
      </c>
      <c r="K86" t="s">
        <v>43</v>
      </c>
      <c r="L86" t="s">
        <v>676</v>
      </c>
      <c r="M86" t="s">
        <v>677</v>
      </c>
      <c r="N86" t="s">
        <v>244</v>
      </c>
      <c r="O86" t="s">
        <v>62</v>
      </c>
      <c r="P86" t="s">
        <v>678</v>
      </c>
      <c r="Q86" t="s">
        <v>66</v>
      </c>
      <c r="R86" t="s">
        <v>679</v>
      </c>
      <c r="S86">
        <v>1.8</v>
      </c>
      <c r="T86">
        <v>5143</v>
      </c>
      <c r="U86">
        <v>0</v>
      </c>
      <c r="V86">
        <v>5143</v>
      </c>
    </row>
    <row r="87" spans="1:22" x14ac:dyDescent="0.3">
      <c r="A87">
        <v>15741</v>
      </c>
      <c r="B87">
        <v>138203690</v>
      </c>
      <c r="C87" t="s">
        <v>680</v>
      </c>
      <c r="D87" t="s">
        <v>681</v>
      </c>
      <c r="E87" t="s">
        <v>241</v>
      </c>
      <c r="G87" t="s">
        <v>89</v>
      </c>
      <c r="H87" t="s">
        <v>90</v>
      </c>
      <c r="I87" t="s">
        <v>34</v>
      </c>
      <c r="J87" t="s">
        <v>91</v>
      </c>
      <c r="K87" t="s">
        <v>43</v>
      </c>
      <c r="L87" t="s">
        <v>682</v>
      </c>
      <c r="M87" t="s">
        <v>683</v>
      </c>
      <c r="N87" t="s">
        <v>244</v>
      </c>
      <c r="O87" t="s">
        <v>62</v>
      </c>
      <c r="P87" t="s">
        <v>684</v>
      </c>
      <c r="Q87" t="s">
        <v>61</v>
      </c>
      <c r="R87" t="s">
        <v>679</v>
      </c>
      <c r="S87">
        <v>1.75</v>
      </c>
      <c r="T87">
        <v>5143</v>
      </c>
      <c r="U87">
        <v>0</v>
      </c>
      <c r="V87">
        <v>5143</v>
      </c>
    </row>
    <row r="88" spans="1:22" x14ac:dyDescent="0.3">
      <c r="A88">
        <v>15741</v>
      </c>
      <c r="B88">
        <v>138592592</v>
      </c>
      <c r="C88" t="s">
        <v>685</v>
      </c>
      <c r="D88" t="s">
        <v>686</v>
      </c>
      <c r="E88" t="s">
        <v>241</v>
      </c>
      <c r="G88" t="s">
        <v>89</v>
      </c>
      <c r="H88" t="s">
        <v>90</v>
      </c>
      <c r="I88" t="s">
        <v>34</v>
      </c>
      <c r="J88" t="s">
        <v>91</v>
      </c>
      <c r="K88" t="s">
        <v>43</v>
      </c>
      <c r="L88" t="s">
        <v>687</v>
      </c>
      <c r="M88" t="s">
        <v>688</v>
      </c>
      <c r="N88" t="s">
        <v>244</v>
      </c>
      <c r="O88" t="s">
        <v>62</v>
      </c>
      <c r="P88" t="s">
        <v>689</v>
      </c>
      <c r="Q88" t="s">
        <v>124</v>
      </c>
      <c r="R88" t="s">
        <v>690</v>
      </c>
      <c r="S88">
        <v>9.2899999999999991</v>
      </c>
      <c r="T88">
        <v>7519</v>
      </c>
      <c r="U88">
        <v>0</v>
      </c>
      <c r="V88">
        <v>7519</v>
      </c>
    </row>
    <row r="89" spans="1:22" x14ac:dyDescent="0.3">
      <c r="A89">
        <v>15741</v>
      </c>
      <c r="B89">
        <v>138445572</v>
      </c>
      <c r="C89" t="s">
        <v>691</v>
      </c>
      <c r="D89" t="s">
        <v>692</v>
      </c>
      <c r="E89" t="s">
        <v>241</v>
      </c>
      <c r="G89" t="s">
        <v>89</v>
      </c>
      <c r="H89" t="s">
        <v>90</v>
      </c>
      <c r="I89" t="s">
        <v>34</v>
      </c>
      <c r="J89" t="s">
        <v>91</v>
      </c>
      <c r="K89" t="s">
        <v>43</v>
      </c>
      <c r="L89" t="s">
        <v>693</v>
      </c>
      <c r="M89" t="s">
        <v>694</v>
      </c>
      <c r="N89" t="s">
        <v>244</v>
      </c>
      <c r="O89" t="s">
        <v>62</v>
      </c>
      <c r="P89" t="s">
        <v>107</v>
      </c>
      <c r="Q89" t="s">
        <v>96</v>
      </c>
      <c r="R89" t="s">
        <v>695</v>
      </c>
      <c r="S89">
        <v>63.05</v>
      </c>
      <c r="T89">
        <v>34484</v>
      </c>
      <c r="U89">
        <v>6804</v>
      </c>
      <c r="V89">
        <v>41288</v>
      </c>
    </row>
    <row r="90" spans="1:22" x14ac:dyDescent="0.3">
      <c r="A90">
        <v>15741</v>
      </c>
      <c r="B90">
        <v>138203683</v>
      </c>
      <c r="C90" t="s">
        <v>696</v>
      </c>
      <c r="D90" t="s">
        <v>697</v>
      </c>
      <c r="E90" t="s">
        <v>241</v>
      </c>
      <c r="G90" t="s">
        <v>89</v>
      </c>
      <c r="H90" t="s">
        <v>90</v>
      </c>
      <c r="I90" t="s">
        <v>34</v>
      </c>
      <c r="J90" t="s">
        <v>91</v>
      </c>
      <c r="K90" t="s">
        <v>71</v>
      </c>
      <c r="L90" t="s">
        <v>170</v>
      </c>
      <c r="M90" t="s">
        <v>698</v>
      </c>
      <c r="N90" t="s">
        <v>244</v>
      </c>
      <c r="O90" t="s">
        <v>62</v>
      </c>
      <c r="P90" t="s">
        <v>699</v>
      </c>
      <c r="Q90" t="s">
        <v>55</v>
      </c>
      <c r="R90" t="s">
        <v>679</v>
      </c>
      <c r="S90">
        <v>1.79</v>
      </c>
      <c r="T90">
        <v>11292.01</v>
      </c>
      <c r="U90">
        <v>0</v>
      </c>
      <c r="V90">
        <v>11292.01</v>
      </c>
    </row>
    <row r="91" spans="1:22" x14ac:dyDescent="0.3">
      <c r="A91">
        <v>15741</v>
      </c>
      <c r="B91">
        <v>137370006</v>
      </c>
      <c r="C91" t="s">
        <v>700</v>
      </c>
      <c r="D91" t="s">
        <v>701</v>
      </c>
      <c r="E91" t="s">
        <v>241</v>
      </c>
      <c r="G91" t="s">
        <v>89</v>
      </c>
      <c r="H91" t="s">
        <v>90</v>
      </c>
      <c r="I91" t="s">
        <v>34</v>
      </c>
      <c r="J91" t="s">
        <v>91</v>
      </c>
      <c r="K91" t="s">
        <v>105</v>
      </c>
      <c r="L91" t="s">
        <v>106</v>
      </c>
      <c r="M91" t="s">
        <v>702</v>
      </c>
      <c r="N91" t="s">
        <v>244</v>
      </c>
      <c r="O91" t="s">
        <v>62</v>
      </c>
      <c r="P91" t="s">
        <v>211</v>
      </c>
      <c r="Q91" t="s">
        <v>56</v>
      </c>
      <c r="R91" t="s">
        <v>703</v>
      </c>
      <c r="S91">
        <v>8.89</v>
      </c>
      <c r="T91">
        <v>20588.240000000002</v>
      </c>
      <c r="U91">
        <v>0</v>
      </c>
      <c r="V91">
        <v>20588.240000000002</v>
      </c>
    </row>
    <row r="92" spans="1:22" x14ac:dyDescent="0.3">
      <c r="A92">
        <v>15741</v>
      </c>
      <c r="B92">
        <v>139523133</v>
      </c>
      <c r="C92" t="s">
        <v>704</v>
      </c>
      <c r="D92" t="s">
        <v>705</v>
      </c>
      <c r="E92" t="s">
        <v>241</v>
      </c>
      <c r="G92" t="s">
        <v>41</v>
      </c>
      <c r="H92" t="s">
        <v>42</v>
      </c>
      <c r="I92" t="s">
        <v>34</v>
      </c>
      <c r="J92" t="s">
        <v>74</v>
      </c>
      <c r="K92" t="s">
        <v>43</v>
      </c>
      <c r="L92" t="s">
        <v>44</v>
      </c>
      <c r="M92" t="s">
        <v>706</v>
      </c>
      <c r="N92" t="s">
        <v>244</v>
      </c>
      <c r="O92" t="s">
        <v>62</v>
      </c>
      <c r="P92" t="s">
        <v>707</v>
      </c>
      <c r="Q92" t="s">
        <v>68</v>
      </c>
      <c r="R92" t="s">
        <v>202</v>
      </c>
      <c r="S92">
        <v>21.47</v>
      </c>
      <c r="T92">
        <v>15547</v>
      </c>
      <c r="U92">
        <v>0</v>
      </c>
      <c r="V92">
        <v>15547</v>
      </c>
    </row>
    <row r="93" spans="1:22" x14ac:dyDescent="0.3">
      <c r="A93">
        <v>15741</v>
      </c>
      <c r="B93">
        <v>139725786</v>
      </c>
      <c r="C93" t="s">
        <v>708</v>
      </c>
      <c r="D93" t="s">
        <v>709</v>
      </c>
      <c r="E93" t="s">
        <v>241</v>
      </c>
      <c r="G93" t="s">
        <v>41</v>
      </c>
      <c r="H93" t="s">
        <v>42</v>
      </c>
      <c r="I93" t="s">
        <v>34</v>
      </c>
      <c r="J93" t="s">
        <v>74</v>
      </c>
      <c r="K93" t="s">
        <v>43</v>
      </c>
      <c r="L93" t="s">
        <v>44</v>
      </c>
      <c r="M93" t="s">
        <v>710</v>
      </c>
      <c r="N93" t="s">
        <v>244</v>
      </c>
      <c r="O93" t="s">
        <v>62</v>
      </c>
      <c r="P93" t="s">
        <v>711</v>
      </c>
      <c r="Q93" t="s">
        <v>66</v>
      </c>
      <c r="R93" t="s">
        <v>215</v>
      </c>
      <c r="S93">
        <v>4.42</v>
      </c>
      <c r="T93">
        <v>4718</v>
      </c>
      <c r="U93">
        <v>0</v>
      </c>
      <c r="V93">
        <v>4718</v>
      </c>
    </row>
    <row r="94" spans="1:22" x14ac:dyDescent="0.3">
      <c r="A94">
        <v>15741</v>
      </c>
      <c r="B94">
        <v>139725889</v>
      </c>
      <c r="C94" t="s">
        <v>712</v>
      </c>
      <c r="D94" t="s">
        <v>713</v>
      </c>
      <c r="E94" t="s">
        <v>241</v>
      </c>
      <c r="G94" t="s">
        <v>41</v>
      </c>
      <c r="H94" t="s">
        <v>42</v>
      </c>
      <c r="I94" t="s">
        <v>34</v>
      </c>
      <c r="J94" t="s">
        <v>74</v>
      </c>
      <c r="K94" t="s">
        <v>43</v>
      </c>
      <c r="L94" t="s">
        <v>44</v>
      </c>
      <c r="M94" t="s">
        <v>714</v>
      </c>
      <c r="N94" t="s">
        <v>244</v>
      </c>
      <c r="O94" t="s">
        <v>62</v>
      </c>
      <c r="P94" t="s">
        <v>715</v>
      </c>
      <c r="Q94" t="s">
        <v>66</v>
      </c>
      <c r="R94" t="s">
        <v>716</v>
      </c>
      <c r="S94">
        <v>10.43</v>
      </c>
      <c r="T94">
        <v>5943</v>
      </c>
      <c r="U94">
        <v>0</v>
      </c>
      <c r="V94">
        <v>5943</v>
      </c>
    </row>
    <row r="95" spans="1:22" x14ac:dyDescent="0.3">
      <c r="A95">
        <v>15741</v>
      </c>
      <c r="B95">
        <v>139675622</v>
      </c>
      <c r="C95" t="s">
        <v>717</v>
      </c>
      <c r="D95" t="s">
        <v>718</v>
      </c>
      <c r="E95" t="s">
        <v>241</v>
      </c>
      <c r="G95" t="s">
        <v>41</v>
      </c>
      <c r="H95" t="s">
        <v>42</v>
      </c>
      <c r="I95" t="s">
        <v>34</v>
      </c>
      <c r="J95" t="s">
        <v>74</v>
      </c>
      <c r="K95" t="s">
        <v>43</v>
      </c>
      <c r="L95" t="s">
        <v>44</v>
      </c>
      <c r="M95" t="s">
        <v>719</v>
      </c>
      <c r="N95" t="s">
        <v>244</v>
      </c>
      <c r="O95" t="s">
        <v>62</v>
      </c>
      <c r="P95" t="s">
        <v>720</v>
      </c>
      <c r="Q95" t="s">
        <v>48</v>
      </c>
      <c r="R95" t="s">
        <v>721</v>
      </c>
      <c r="S95">
        <v>10.49</v>
      </c>
      <c r="T95">
        <v>12046</v>
      </c>
      <c r="U95">
        <v>0</v>
      </c>
      <c r="V95">
        <v>12046</v>
      </c>
    </row>
    <row r="96" spans="1:22" x14ac:dyDescent="0.3">
      <c r="A96">
        <v>15741</v>
      </c>
      <c r="B96">
        <v>139652639</v>
      </c>
      <c r="C96" t="s">
        <v>722</v>
      </c>
      <c r="D96" t="s">
        <v>723</v>
      </c>
      <c r="E96" t="s">
        <v>241</v>
      </c>
      <c r="G96" t="s">
        <v>41</v>
      </c>
      <c r="H96" t="s">
        <v>42</v>
      </c>
      <c r="I96" t="s">
        <v>34</v>
      </c>
      <c r="J96" t="s">
        <v>74</v>
      </c>
      <c r="K96" t="s">
        <v>43</v>
      </c>
      <c r="L96" t="s">
        <v>44</v>
      </c>
      <c r="M96" t="s">
        <v>724</v>
      </c>
      <c r="N96" t="s">
        <v>244</v>
      </c>
      <c r="O96" t="s">
        <v>62</v>
      </c>
      <c r="P96" t="s">
        <v>725</v>
      </c>
      <c r="Q96" t="s">
        <v>54</v>
      </c>
      <c r="R96" t="s">
        <v>726</v>
      </c>
      <c r="S96">
        <v>169.57</v>
      </c>
      <c r="T96">
        <v>66736</v>
      </c>
      <c r="U96">
        <v>5399.94</v>
      </c>
      <c r="V96">
        <v>72135.94</v>
      </c>
    </row>
    <row r="97" spans="1:22" x14ac:dyDescent="0.3">
      <c r="A97">
        <v>15741</v>
      </c>
      <c r="B97">
        <v>139599629</v>
      </c>
      <c r="C97" t="s">
        <v>727</v>
      </c>
      <c r="D97" t="s">
        <v>728</v>
      </c>
      <c r="E97" t="s">
        <v>241</v>
      </c>
      <c r="G97" t="s">
        <v>41</v>
      </c>
      <c r="H97" t="s">
        <v>42</v>
      </c>
      <c r="I97" t="s">
        <v>34</v>
      </c>
      <c r="J97" t="s">
        <v>74</v>
      </c>
      <c r="K97" t="s">
        <v>43</v>
      </c>
      <c r="L97" t="s">
        <v>44</v>
      </c>
      <c r="M97" t="s">
        <v>714</v>
      </c>
      <c r="N97" t="s">
        <v>244</v>
      </c>
      <c r="O97" t="s">
        <v>62</v>
      </c>
      <c r="P97" t="s">
        <v>715</v>
      </c>
      <c r="Q97" t="s">
        <v>66</v>
      </c>
      <c r="R97" t="s">
        <v>729</v>
      </c>
      <c r="S97">
        <v>10.54</v>
      </c>
      <c r="T97">
        <v>5943</v>
      </c>
      <c r="U97">
        <v>0</v>
      </c>
      <c r="V97">
        <v>5943</v>
      </c>
    </row>
    <row r="98" spans="1:22" x14ac:dyDescent="0.3">
      <c r="A98">
        <v>15741</v>
      </c>
      <c r="B98">
        <v>139605107</v>
      </c>
      <c r="C98" t="s">
        <v>730</v>
      </c>
      <c r="D98" t="s">
        <v>731</v>
      </c>
      <c r="E98" t="s">
        <v>241</v>
      </c>
      <c r="G98" t="s">
        <v>41</v>
      </c>
      <c r="H98" t="s">
        <v>42</v>
      </c>
      <c r="I98" t="s">
        <v>34</v>
      </c>
      <c r="J98" t="s">
        <v>74</v>
      </c>
      <c r="K98" t="s">
        <v>43</v>
      </c>
      <c r="L98" t="s">
        <v>44</v>
      </c>
      <c r="M98" t="s">
        <v>732</v>
      </c>
      <c r="N98" t="s">
        <v>244</v>
      </c>
      <c r="O98" t="s">
        <v>62</v>
      </c>
      <c r="P98" t="s">
        <v>733</v>
      </c>
      <c r="Q98" t="s">
        <v>54</v>
      </c>
      <c r="R98" t="s">
        <v>189</v>
      </c>
      <c r="S98">
        <v>28.11</v>
      </c>
      <c r="T98">
        <v>12082</v>
      </c>
      <c r="U98">
        <v>899.94</v>
      </c>
      <c r="V98">
        <v>12981.94</v>
      </c>
    </row>
    <row r="99" spans="1:22" x14ac:dyDescent="0.3">
      <c r="A99">
        <v>15741</v>
      </c>
      <c r="B99">
        <v>139642130</v>
      </c>
      <c r="C99" t="s">
        <v>734</v>
      </c>
      <c r="D99" t="s">
        <v>735</v>
      </c>
      <c r="E99" t="s">
        <v>241</v>
      </c>
      <c r="G99" t="s">
        <v>41</v>
      </c>
      <c r="H99" t="s">
        <v>42</v>
      </c>
      <c r="I99" t="s">
        <v>34</v>
      </c>
      <c r="J99" t="s">
        <v>74</v>
      </c>
      <c r="K99" t="s">
        <v>43</v>
      </c>
      <c r="L99" t="s">
        <v>44</v>
      </c>
      <c r="M99" t="s">
        <v>736</v>
      </c>
      <c r="N99" t="s">
        <v>244</v>
      </c>
      <c r="O99" t="s">
        <v>62</v>
      </c>
      <c r="P99" t="s">
        <v>737</v>
      </c>
      <c r="Q99" t="s">
        <v>54</v>
      </c>
      <c r="R99" t="s">
        <v>738</v>
      </c>
      <c r="S99">
        <v>52.19</v>
      </c>
      <c r="T99">
        <v>23226</v>
      </c>
      <c r="U99">
        <v>0</v>
      </c>
      <c r="V99">
        <v>23226</v>
      </c>
    </row>
    <row r="100" spans="1:22" x14ac:dyDescent="0.3">
      <c r="A100">
        <v>15741</v>
      </c>
      <c r="B100">
        <v>139534012</v>
      </c>
      <c r="C100" t="s">
        <v>739</v>
      </c>
      <c r="D100" t="s">
        <v>740</v>
      </c>
      <c r="E100" t="s">
        <v>241</v>
      </c>
      <c r="G100" t="s">
        <v>41</v>
      </c>
      <c r="H100" t="s">
        <v>42</v>
      </c>
      <c r="I100" t="s">
        <v>34</v>
      </c>
      <c r="J100" t="s">
        <v>74</v>
      </c>
      <c r="K100" t="s">
        <v>43</v>
      </c>
      <c r="L100" t="s">
        <v>44</v>
      </c>
      <c r="M100" t="s">
        <v>741</v>
      </c>
      <c r="N100" t="s">
        <v>244</v>
      </c>
      <c r="O100" t="s">
        <v>62</v>
      </c>
      <c r="P100" t="s">
        <v>742</v>
      </c>
      <c r="Q100" t="s">
        <v>54</v>
      </c>
      <c r="R100" t="s">
        <v>743</v>
      </c>
      <c r="S100">
        <v>13.19</v>
      </c>
      <c r="T100">
        <v>5943</v>
      </c>
      <c r="U100">
        <v>0</v>
      </c>
      <c r="V100">
        <v>5943</v>
      </c>
    </row>
    <row r="101" spans="1:22" x14ac:dyDescent="0.3">
      <c r="A101">
        <v>15741</v>
      </c>
      <c r="B101">
        <v>139599503</v>
      </c>
      <c r="C101" t="s">
        <v>744</v>
      </c>
      <c r="D101" t="s">
        <v>745</v>
      </c>
      <c r="E101" t="s">
        <v>241</v>
      </c>
      <c r="G101" t="s">
        <v>41</v>
      </c>
      <c r="H101" t="s">
        <v>42</v>
      </c>
      <c r="I101" t="s">
        <v>34</v>
      </c>
      <c r="J101" t="s">
        <v>74</v>
      </c>
      <c r="K101" t="s">
        <v>43</v>
      </c>
      <c r="L101" t="s">
        <v>44</v>
      </c>
      <c r="M101" t="s">
        <v>203</v>
      </c>
      <c r="N101" t="s">
        <v>244</v>
      </c>
      <c r="O101" t="s">
        <v>62</v>
      </c>
      <c r="P101" t="s">
        <v>746</v>
      </c>
      <c r="Q101" t="s">
        <v>60</v>
      </c>
      <c r="R101" t="s">
        <v>747</v>
      </c>
      <c r="S101">
        <v>10.5</v>
      </c>
      <c r="T101">
        <v>12809</v>
      </c>
      <c r="U101">
        <v>0</v>
      </c>
      <c r="V101">
        <v>12809</v>
      </c>
    </row>
    <row r="102" spans="1:22" x14ac:dyDescent="0.3">
      <c r="A102">
        <v>15741</v>
      </c>
      <c r="B102">
        <v>139555567</v>
      </c>
      <c r="C102" t="s">
        <v>748</v>
      </c>
      <c r="D102" t="s">
        <v>749</v>
      </c>
      <c r="E102" t="s">
        <v>241</v>
      </c>
      <c r="G102" t="s">
        <v>41</v>
      </c>
      <c r="H102" t="s">
        <v>42</v>
      </c>
      <c r="I102" t="s">
        <v>34</v>
      </c>
      <c r="J102" t="s">
        <v>74</v>
      </c>
      <c r="K102" t="s">
        <v>43</v>
      </c>
      <c r="L102" t="s">
        <v>44</v>
      </c>
      <c r="M102" t="s">
        <v>750</v>
      </c>
      <c r="N102" t="s">
        <v>244</v>
      </c>
      <c r="O102" t="s">
        <v>62</v>
      </c>
      <c r="P102" t="s">
        <v>217</v>
      </c>
      <c r="Q102" t="s">
        <v>84</v>
      </c>
      <c r="R102" t="s">
        <v>751</v>
      </c>
      <c r="S102">
        <v>8.99</v>
      </c>
      <c r="T102">
        <v>5465</v>
      </c>
      <c r="U102">
        <v>0</v>
      </c>
      <c r="V102">
        <v>5465</v>
      </c>
    </row>
    <row r="103" spans="1:22" x14ac:dyDescent="0.3">
      <c r="A103">
        <v>15741</v>
      </c>
      <c r="B103">
        <v>139675957</v>
      </c>
      <c r="C103" t="s">
        <v>752</v>
      </c>
      <c r="D103" t="s">
        <v>753</v>
      </c>
      <c r="E103" t="s">
        <v>241</v>
      </c>
      <c r="G103" t="s">
        <v>41</v>
      </c>
      <c r="H103" t="s">
        <v>42</v>
      </c>
      <c r="I103" t="s">
        <v>34</v>
      </c>
      <c r="J103" t="s">
        <v>74</v>
      </c>
      <c r="K103" t="s">
        <v>43</v>
      </c>
      <c r="L103" t="s">
        <v>44</v>
      </c>
      <c r="M103" t="s">
        <v>754</v>
      </c>
      <c r="N103" t="s">
        <v>244</v>
      </c>
      <c r="O103" t="s">
        <v>62</v>
      </c>
      <c r="P103" t="s">
        <v>755</v>
      </c>
      <c r="Q103" t="s">
        <v>128</v>
      </c>
      <c r="R103" t="s">
        <v>199</v>
      </c>
      <c r="S103">
        <v>10.72</v>
      </c>
      <c r="T103">
        <v>5943</v>
      </c>
      <c r="U103">
        <v>0</v>
      </c>
      <c r="V103">
        <v>5943</v>
      </c>
    </row>
    <row r="104" spans="1:22" x14ac:dyDescent="0.3">
      <c r="A104">
        <v>15741</v>
      </c>
      <c r="B104">
        <v>139676018</v>
      </c>
      <c r="C104" t="s">
        <v>756</v>
      </c>
      <c r="D104" t="s">
        <v>757</v>
      </c>
      <c r="E104" t="s">
        <v>241</v>
      </c>
      <c r="G104" t="s">
        <v>41</v>
      </c>
      <c r="H104" t="s">
        <v>42</v>
      </c>
      <c r="I104" t="s">
        <v>34</v>
      </c>
      <c r="J104" t="s">
        <v>74</v>
      </c>
      <c r="K104" t="s">
        <v>43</v>
      </c>
      <c r="L104" t="s">
        <v>44</v>
      </c>
      <c r="M104" t="s">
        <v>758</v>
      </c>
      <c r="N104" t="s">
        <v>244</v>
      </c>
      <c r="O104" t="s">
        <v>62</v>
      </c>
      <c r="P104" t="s">
        <v>759</v>
      </c>
      <c r="Q104" t="s">
        <v>46</v>
      </c>
      <c r="R104" t="s">
        <v>137</v>
      </c>
      <c r="S104">
        <v>52.67</v>
      </c>
      <c r="T104">
        <v>42548</v>
      </c>
      <c r="U104">
        <v>899.7</v>
      </c>
      <c r="V104">
        <v>43447.7</v>
      </c>
    </row>
    <row r="105" spans="1:22" x14ac:dyDescent="0.3">
      <c r="A105">
        <v>15741</v>
      </c>
      <c r="B105">
        <v>139622585</v>
      </c>
      <c r="C105" t="s">
        <v>760</v>
      </c>
      <c r="D105" t="s">
        <v>761</v>
      </c>
      <c r="E105" t="s">
        <v>241</v>
      </c>
      <c r="G105" t="s">
        <v>41</v>
      </c>
      <c r="H105" t="s">
        <v>42</v>
      </c>
      <c r="I105" t="s">
        <v>34</v>
      </c>
      <c r="J105" t="s">
        <v>74</v>
      </c>
      <c r="K105" t="s">
        <v>43</v>
      </c>
      <c r="L105" t="s">
        <v>44</v>
      </c>
      <c r="M105" t="s">
        <v>762</v>
      </c>
      <c r="N105" t="s">
        <v>244</v>
      </c>
      <c r="O105" t="s">
        <v>62</v>
      </c>
      <c r="P105" t="s">
        <v>763</v>
      </c>
      <c r="Q105" t="s">
        <v>61</v>
      </c>
      <c r="R105" t="s">
        <v>764</v>
      </c>
      <c r="S105">
        <v>0.93</v>
      </c>
      <c r="T105">
        <v>4072</v>
      </c>
      <c r="U105">
        <v>0</v>
      </c>
      <c r="V105">
        <v>4072</v>
      </c>
    </row>
    <row r="106" spans="1:22" x14ac:dyDescent="0.3">
      <c r="A106">
        <v>15741</v>
      </c>
      <c r="B106">
        <v>139609665</v>
      </c>
      <c r="C106" t="s">
        <v>765</v>
      </c>
      <c r="D106" t="s">
        <v>766</v>
      </c>
      <c r="E106" t="s">
        <v>241</v>
      </c>
      <c r="G106" t="s">
        <v>41</v>
      </c>
      <c r="H106" t="s">
        <v>42</v>
      </c>
      <c r="I106" t="s">
        <v>34</v>
      </c>
      <c r="J106" t="s">
        <v>74</v>
      </c>
      <c r="K106" t="s">
        <v>43</v>
      </c>
      <c r="L106" t="s">
        <v>44</v>
      </c>
      <c r="M106" t="s">
        <v>767</v>
      </c>
      <c r="N106" t="s">
        <v>244</v>
      </c>
      <c r="O106" t="s">
        <v>62</v>
      </c>
      <c r="P106" t="s">
        <v>768</v>
      </c>
      <c r="Q106" t="s">
        <v>109</v>
      </c>
      <c r="R106" t="s">
        <v>769</v>
      </c>
      <c r="S106">
        <v>64.17</v>
      </c>
      <c r="T106">
        <v>63302</v>
      </c>
      <c r="U106">
        <v>7324.39</v>
      </c>
      <c r="V106">
        <v>70626.39</v>
      </c>
    </row>
    <row r="107" spans="1:22" x14ac:dyDescent="0.3">
      <c r="A107">
        <v>15741</v>
      </c>
      <c r="B107">
        <v>139675538</v>
      </c>
      <c r="C107" t="s">
        <v>770</v>
      </c>
      <c r="D107" t="s">
        <v>771</v>
      </c>
      <c r="E107" t="s">
        <v>241</v>
      </c>
      <c r="G107" t="s">
        <v>41</v>
      </c>
      <c r="H107" t="s">
        <v>42</v>
      </c>
      <c r="I107" t="s">
        <v>34</v>
      </c>
      <c r="J107" t="s">
        <v>74</v>
      </c>
      <c r="K107" t="s">
        <v>43</v>
      </c>
      <c r="L107" t="s">
        <v>44</v>
      </c>
      <c r="M107" t="s">
        <v>772</v>
      </c>
      <c r="N107" t="s">
        <v>244</v>
      </c>
      <c r="O107" t="s">
        <v>62</v>
      </c>
      <c r="P107" t="s">
        <v>773</v>
      </c>
      <c r="Q107" t="s">
        <v>57</v>
      </c>
      <c r="R107" t="s">
        <v>160</v>
      </c>
      <c r="S107">
        <v>36.47</v>
      </c>
      <c r="T107">
        <v>22580</v>
      </c>
      <c r="U107">
        <v>1649.94</v>
      </c>
      <c r="V107">
        <v>24229.94</v>
      </c>
    </row>
    <row r="108" spans="1:22" x14ac:dyDescent="0.3">
      <c r="A108">
        <v>15741</v>
      </c>
      <c r="B108">
        <v>139675730</v>
      </c>
      <c r="C108" t="s">
        <v>774</v>
      </c>
      <c r="D108" t="s">
        <v>775</v>
      </c>
      <c r="E108" t="s">
        <v>241</v>
      </c>
      <c r="G108" t="s">
        <v>41</v>
      </c>
      <c r="H108" t="s">
        <v>42</v>
      </c>
      <c r="I108" t="s">
        <v>34</v>
      </c>
      <c r="J108" t="s">
        <v>74</v>
      </c>
      <c r="K108" t="s">
        <v>43</v>
      </c>
      <c r="L108" t="s">
        <v>44</v>
      </c>
      <c r="M108" t="s">
        <v>776</v>
      </c>
      <c r="N108" t="s">
        <v>244</v>
      </c>
      <c r="O108" t="s">
        <v>62</v>
      </c>
      <c r="P108" t="s">
        <v>777</v>
      </c>
      <c r="Q108" t="s">
        <v>87</v>
      </c>
      <c r="R108" t="s">
        <v>200</v>
      </c>
      <c r="S108">
        <v>10.51</v>
      </c>
      <c r="T108">
        <v>5943</v>
      </c>
      <c r="U108">
        <v>0</v>
      </c>
      <c r="V108">
        <v>5943</v>
      </c>
    </row>
    <row r="109" spans="1:22" x14ac:dyDescent="0.3">
      <c r="A109">
        <v>15741</v>
      </c>
      <c r="B109">
        <v>138660278</v>
      </c>
      <c r="C109" t="s">
        <v>778</v>
      </c>
      <c r="D109" t="s">
        <v>779</v>
      </c>
      <c r="E109" t="s">
        <v>241</v>
      </c>
      <c r="G109" t="s">
        <v>41</v>
      </c>
      <c r="H109" t="s">
        <v>42</v>
      </c>
      <c r="I109" t="s">
        <v>34</v>
      </c>
      <c r="J109" t="s">
        <v>74</v>
      </c>
      <c r="K109" t="s">
        <v>43</v>
      </c>
      <c r="L109" t="s">
        <v>44</v>
      </c>
      <c r="M109" t="s">
        <v>188</v>
      </c>
      <c r="N109" t="s">
        <v>244</v>
      </c>
      <c r="O109" t="s">
        <v>62</v>
      </c>
      <c r="P109" t="s">
        <v>780</v>
      </c>
      <c r="Q109" t="s">
        <v>123</v>
      </c>
      <c r="R109" t="s">
        <v>781</v>
      </c>
      <c r="S109">
        <v>35.57</v>
      </c>
      <c r="T109">
        <v>15389</v>
      </c>
      <c r="U109">
        <v>0</v>
      </c>
      <c r="V109">
        <v>15389</v>
      </c>
    </row>
    <row r="110" spans="1:22" x14ac:dyDescent="0.3">
      <c r="A110">
        <v>15741</v>
      </c>
      <c r="B110">
        <v>138683640</v>
      </c>
      <c r="C110" t="s">
        <v>782</v>
      </c>
      <c r="D110" t="s">
        <v>783</v>
      </c>
      <c r="E110" t="s">
        <v>241</v>
      </c>
      <c r="G110" t="s">
        <v>41</v>
      </c>
      <c r="H110" t="s">
        <v>42</v>
      </c>
      <c r="I110" t="s">
        <v>34</v>
      </c>
      <c r="J110" t="s">
        <v>141</v>
      </c>
      <c r="K110" t="s">
        <v>43</v>
      </c>
      <c r="L110" t="s">
        <v>44</v>
      </c>
      <c r="M110" t="s">
        <v>784</v>
      </c>
      <c r="N110" t="s">
        <v>244</v>
      </c>
      <c r="O110" t="s">
        <v>62</v>
      </c>
      <c r="P110" t="s">
        <v>785</v>
      </c>
      <c r="Q110" t="s">
        <v>123</v>
      </c>
      <c r="R110" t="s">
        <v>786</v>
      </c>
      <c r="S110">
        <v>13.16</v>
      </c>
      <c r="T110">
        <v>6030</v>
      </c>
      <c r="U110">
        <v>0</v>
      </c>
      <c r="V110">
        <v>6030</v>
      </c>
    </row>
    <row r="111" spans="1:22" x14ac:dyDescent="0.3">
      <c r="A111">
        <v>15741</v>
      </c>
      <c r="B111">
        <v>138660132</v>
      </c>
      <c r="C111" t="s">
        <v>787</v>
      </c>
      <c r="D111" t="s">
        <v>788</v>
      </c>
      <c r="E111" t="s">
        <v>241</v>
      </c>
      <c r="G111" t="s">
        <v>41</v>
      </c>
      <c r="H111" t="s">
        <v>42</v>
      </c>
      <c r="I111" t="s">
        <v>34</v>
      </c>
      <c r="J111" t="s">
        <v>74</v>
      </c>
      <c r="K111" t="s">
        <v>43</v>
      </c>
      <c r="L111" t="s">
        <v>44</v>
      </c>
      <c r="M111" t="s">
        <v>789</v>
      </c>
      <c r="N111" t="s">
        <v>244</v>
      </c>
      <c r="O111" t="s">
        <v>62</v>
      </c>
      <c r="P111" t="s">
        <v>790</v>
      </c>
      <c r="Q111" t="s">
        <v>69</v>
      </c>
      <c r="R111" t="s">
        <v>791</v>
      </c>
      <c r="S111">
        <v>37.17</v>
      </c>
      <c r="T111">
        <v>16332</v>
      </c>
      <c r="U111">
        <v>1679.94</v>
      </c>
      <c r="V111">
        <v>18011.939999999999</v>
      </c>
    </row>
    <row r="112" spans="1:22" x14ac:dyDescent="0.3">
      <c r="A112">
        <v>15741</v>
      </c>
      <c r="B112">
        <v>138764691</v>
      </c>
      <c r="C112" t="s">
        <v>792</v>
      </c>
      <c r="D112" t="s">
        <v>793</v>
      </c>
      <c r="E112" t="s">
        <v>241</v>
      </c>
      <c r="G112" t="s">
        <v>41</v>
      </c>
      <c r="H112" t="s">
        <v>42</v>
      </c>
      <c r="I112" t="s">
        <v>34</v>
      </c>
      <c r="J112" t="s">
        <v>74</v>
      </c>
      <c r="K112" t="s">
        <v>43</v>
      </c>
      <c r="L112" t="s">
        <v>44</v>
      </c>
      <c r="M112" t="s">
        <v>794</v>
      </c>
      <c r="N112" t="s">
        <v>244</v>
      </c>
      <c r="O112" t="s">
        <v>62</v>
      </c>
      <c r="P112" t="s">
        <v>795</v>
      </c>
      <c r="Q112" t="s">
        <v>69</v>
      </c>
      <c r="R112" t="s">
        <v>192</v>
      </c>
      <c r="S112">
        <v>10.34</v>
      </c>
      <c r="T112">
        <v>5943</v>
      </c>
      <c r="U112">
        <v>0</v>
      </c>
      <c r="V112">
        <v>5943</v>
      </c>
    </row>
    <row r="113" spans="1:22" x14ac:dyDescent="0.3">
      <c r="A113">
        <v>15741</v>
      </c>
      <c r="B113">
        <v>138674999</v>
      </c>
      <c r="C113" t="s">
        <v>796</v>
      </c>
      <c r="D113" t="s">
        <v>797</v>
      </c>
      <c r="E113" t="s">
        <v>241</v>
      </c>
      <c r="G113" t="s">
        <v>41</v>
      </c>
      <c r="H113" t="s">
        <v>42</v>
      </c>
      <c r="I113" t="s">
        <v>34</v>
      </c>
      <c r="J113" t="s">
        <v>74</v>
      </c>
      <c r="K113" t="s">
        <v>43</v>
      </c>
      <c r="L113" t="s">
        <v>44</v>
      </c>
      <c r="M113" t="s">
        <v>798</v>
      </c>
      <c r="N113" t="s">
        <v>244</v>
      </c>
      <c r="O113" t="s">
        <v>62</v>
      </c>
      <c r="P113" t="s">
        <v>799</v>
      </c>
      <c r="Q113" t="s">
        <v>121</v>
      </c>
      <c r="R113" t="s">
        <v>177</v>
      </c>
      <c r="S113">
        <v>10.57</v>
      </c>
      <c r="T113">
        <v>5943</v>
      </c>
      <c r="U113">
        <v>0</v>
      </c>
      <c r="V113">
        <v>5943</v>
      </c>
    </row>
    <row r="114" spans="1:22" x14ac:dyDescent="0.3">
      <c r="A114">
        <v>15741</v>
      </c>
      <c r="B114">
        <v>138724832</v>
      </c>
      <c r="C114" t="s">
        <v>800</v>
      </c>
      <c r="D114" t="s">
        <v>801</v>
      </c>
      <c r="E114" t="s">
        <v>241</v>
      </c>
      <c r="G114" t="s">
        <v>41</v>
      </c>
      <c r="H114" t="s">
        <v>42</v>
      </c>
      <c r="I114" t="s">
        <v>34</v>
      </c>
      <c r="J114" t="s">
        <v>74</v>
      </c>
      <c r="K114" t="s">
        <v>43</v>
      </c>
      <c r="L114" t="s">
        <v>44</v>
      </c>
      <c r="M114" t="s">
        <v>802</v>
      </c>
      <c r="N114" t="s">
        <v>244</v>
      </c>
      <c r="O114" t="s">
        <v>62</v>
      </c>
      <c r="P114" t="s">
        <v>803</v>
      </c>
      <c r="Q114" t="s">
        <v>118</v>
      </c>
      <c r="R114" t="s">
        <v>237</v>
      </c>
      <c r="S114">
        <v>141.91999999999999</v>
      </c>
      <c r="T114">
        <v>100725</v>
      </c>
      <c r="U114">
        <v>3148.17</v>
      </c>
      <c r="V114">
        <v>103873.17</v>
      </c>
    </row>
    <row r="115" spans="1:22" x14ac:dyDescent="0.3">
      <c r="A115">
        <v>15741</v>
      </c>
      <c r="B115">
        <v>138660564</v>
      </c>
      <c r="C115" t="s">
        <v>804</v>
      </c>
      <c r="D115" t="s">
        <v>805</v>
      </c>
      <c r="E115" t="s">
        <v>241</v>
      </c>
      <c r="G115" t="s">
        <v>41</v>
      </c>
      <c r="H115" t="s">
        <v>42</v>
      </c>
      <c r="I115" t="s">
        <v>34</v>
      </c>
      <c r="J115" t="s">
        <v>74</v>
      </c>
      <c r="K115" t="s">
        <v>43</v>
      </c>
      <c r="L115" t="s">
        <v>44</v>
      </c>
      <c r="M115" t="s">
        <v>806</v>
      </c>
      <c r="N115" t="s">
        <v>244</v>
      </c>
      <c r="O115" t="s">
        <v>62</v>
      </c>
      <c r="P115" t="s">
        <v>807</v>
      </c>
      <c r="Q115" t="s">
        <v>58</v>
      </c>
      <c r="R115" t="s">
        <v>225</v>
      </c>
      <c r="S115">
        <v>13.16</v>
      </c>
      <c r="T115">
        <v>11761</v>
      </c>
      <c r="U115">
        <v>0</v>
      </c>
      <c r="V115">
        <v>11761</v>
      </c>
    </row>
    <row r="116" spans="1:22" x14ac:dyDescent="0.3">
      <c r="A116">
        <v>15741</v>
      </c>
      <c r="B116">
        <v>138660382</v>
      </c>
      <c r="C116" t="s">
        <v>808</v>
      </c>
      <c r="D116" t="s">
        <v>809</v>
      </c>
      <c r="E116" t="s">
        <v>241</v>
      </c>
      <c r="G116" t="s">
        <v>41</v>
      </c>
      <c r="H116" t="s">
        <v>42</v>
      </c>
      <c r="I116" t="s">
        <v>34</v>
      </c>
      <c r="J116" t="s">
        <v>74</v>
      </c>
      <c r="K116" t="s">
        <v>43</v>
      </c>
      <c r="L116" t="s">
        <v>44</v>
      </c>
      <c r="M116" t="s">
        <v>810</v>
      </c>
      <c r="N116" t="s">
        <v>244</v>
      </c>
      <c r="O116" t="s">
        <v>62</v>
      </c>
      <c r="P116" t="s">
        <v>811</v>
      </c>
      <c r="Q116" t="s">
        <v>64</v>
      </c>
      <c r="R116" t="s">
        <v>812</v>
      </c>
      <c r="S116">
        <v>13.15</v>
      </c>
      <c r="T116">
        <v>12046</v>
      </c>
      <c r="U116">
        <v>0</v>
      </c>
      <c r="V116">
        <v>12046</v>
      </c>
    </row>
    <row r="117" spans="1:22" x14ac:dyDescent="0.3">
      <c r="A117">
        <v>15741</v>
      </c>
      <c r="B117">
        <v>138763677</v>
      </c>
      <c r="C117" t="s">
        <v>813</v>
      </c>
      <c r="D117" t="s">
        <v>814</v>
      </c>
      <c r="E117" t="s">
        <v>241</v>
      </c>
      <c r="G117" t="s">
        <v>41</v>
      </c>
      <c r="H117" t="s">
        <v>42</v>
      </c>
      <c r="I117" t="s">
        <v>34</v>
      </c>
      <c r="J117" t="s">
        <v>74</v>
      </c>
      <c r="K117" t="s">
        <v>43</v>
      </c>
      <c r="L117" t="s">
        <v>44</v>
      </c>
      <c r="M117" t="s">
        <v>815</v>
      </c>
      <c r="N117" t="s">
        <v>244</v>
      </c>
      <c r="O117" t="s">
        <v>62</v>
      </c>
      <c r="P117" t="s">
        <v>816</v>
      </c>
      <c r="Q117" t="s">
        <v>69</v>
      </c>
      <c r="R117" t="s">
        <v>817</v>
      </c>
      <c r="S117">
        <v>10.29</v>
      </c>
      <c r="T117">
        <v>5943</v>
      </c>
      <c r="U117">
        <v>0</v>
      </c>
      <c r="V117">
        <v>5943</v>
      </c>
    </row>
    <row r="118" spans="1:22" x14ac:dyDescent="0.3">
      <c r="A118">
        <v>15741</v>
      </c>
      <c r="B118">
        <v>138803350</v>
      </c>
      <c r="C118" t="s">
        <v>818</v>
      </c>
      <c r="D118" t="s">
        <v>819</v>
      </c>
      <c r="E118" t="s">
        <v>241</v>
      </c>
      <c r="G118" t="s">
        <v>41</v>
      </c>
      <c r="H118" t="s">
        <v>42</v>
      </c>
      <c r="I118" t="s">
        <v>34</v>
      </c>
      <c r="J118" t="s">
        <v>74</v>
      </c>
      <c r="K118" t="s">
        <v>43</v>
      </c>
      <c r="L118" t="s">
        <v>44</v>
      </c>
      <c r="M118" t="s">
        <v>820</v>
      </c>
      <c r="N118" t="s">
        <v>244</v>
      </c>
      <c r="O118" t="s">
        <v>62</v>
      </c>
      <c r="P118" t="s">
        <v>821</v>
      </c>
      <c r="Q118" t="s">
        <v>115</v>
      </c>
      <c r="R118" t="s">
        <v>153</v>
      </c>
      <c r="S118">
        <v>0.71</v>
      </c>
      <c r="T118">
        <v>4072</v>
      </c>
      <c r="U118">
        <v>0</v>
      </c>
      <c r="V118">
        <v>4072</v>
      </c>
    </row>
    <row r="119" spans="1:22" x14ac:dyDescent="0.3">
      <c r="A119">
        <v>15741</v>
      </c>
      <c r="B119">
        <v>138925496</v>
      </c>
      <c r="C119" t="s">
        <v>822</v>
      </c>
      <c r="D119" t="s">
        <v>823</v>
      </c>
      <c r="E119" t="s">
        <v>241</v>
      </c>
      <c r="G119" t="s">
        <v>41</v>
      </c>
      <c r="H119" t="s">
        <v>42</v>
      </c>
      <c r="I119" t="s">
        <v>34</v>
      </c>
      <c r="J119" t="s">
        <v>74</v>
      </c>
      <c r="K119" t="s">
        <v>43</v>
      </c>
      <c r="L119" t="s">
        <v>44</v>
      </c>
      <c r="M119" t="s">
        <v>824</v>
      </c>
      <c r="N119" t="s">
        <v>244</v>
      </c>
      <c r="O119" t="s">
        <v>62</v>
      </c>
      <c r="P119" t="s">
        <v>825</v>
      </c>
      <c r="Q119" t="s">
        <v>120</v>
      </c>
      <c r="R119" t="s">
        <v>239</v>
      </c>
      <c r="S119">
        <v>72.03</v>
      </c>
      <c r="T119">
        <v>41859</v>
      </c>
      <c r="U119">
        <v>1199.94</v>
      </c>
      <c r="V119">
        <v>43058.94</v>
      </c>
    </row>
    <row r="120" spans="1:22" x14ac:dyDescent="0.3">
      <c r="A120">
        <v>15741</v>
      </c>
      <c r="B120">
        <v>138787053</v>
      </c>
      <c r="C120" t="s">
        <v>826</v>
      </c>
      <c r="D120" t="s">
        <v>827</v>
      </c>
      <c r="E120" t="s">
        <v>241</v>
      </c>
      <c r="G120" t="s">
        <v>41</v>
      </c>
      <c r="H120" t="s">
        <v>42</v>
      </c>
      <c r="I120" t="s">
        <v>34</v>
      </c>
      <c r="J120" t="s">
        <v>74</v>
      </c>
      <c r="K120" t="s">
        <v>43</v>
      </c>
      <c r="L120" t="s">
        <v>44</v>
      </c>
      <c r="M120" t="s">
        <v>828</v>
      </c>
      <c r="N120" t="s">
        <v>244</v>
      </c>
      <c r="O120" t="s">
        <v>62</v>
      </c>
      <c r="P120" t="s">
        <v>829</v>
      </c>
      <c r="Q120" t="s">
        <v>85</v>
      </c>
      <c r="R120" t="s">
        <v>830</v>
      </c>
      <c r="S120">
        <v>36.28</v>
      </c>
      <c r="T120">
        <v>15861</v>
      </c>
      <c r="U120">
        <v>1679.94</v>
      </c>
      <c r="V120">
        <v>17540.939999999999</v>
      </c>
    </row>
    <row r="121" spans="1:22" x14ac:dyDescent="0.3">
      <c r="A121">
        <v>15741</v>
      </c>
      <c r="B121">
        <v>138764651</v>
      </c>
      <c r="C121" t="s">
        <v>831</v>
      </c>
      <c r="D121" t="s">
        <v>832</v>
      </c>
      <c r="E121" t="s">
        <v>241</v>
      </c>
      <c r="G121" t="s">
        <v>41</v>
      </c>
      <c r="H121" t="s">
        <v>42</v>
      </c>
      <c r="I121" t="s">
        <v>34</v>
      </c>
      <c r="J121" t="s">
        <v>74</v>
      </c>
      <c r="K121" t="s">
        <v>43</v>
      </c>
      <c r="L121" t="s">
        <v>44</v>
      </c>
      <c r="M121" t="s">
        <v>180</v>
      </c>
      <c r="N121" t="s">
        <v>244</v>
      </c>
      <c r="O121" t="s">
        <v>62</v>
      </c>
      <c r="P121" t="s">
        <v>833</v>
      </c>
      <c r="Q121" t="s">
        <v>61</v>
      </c>
      <c r="R121" t="s">
        <v>834</v>
      </c>
      <c r="S121">
        <v>10.37</v>
      </c>
      <c r="T121">
        <v>5943</v>
      </c>
      <c r="U121">
        <v>0</v>
      </c>
      <c r="V121">
        <v>5943</v>
      </c>
    </row>
    <row r="122" spans="1:22" x14ac:dyDescent="0.3">
      <c r="A122">
        <v>15741</v>
      </c>
      <c r="B122">
        <v>138853424</v>
      </c>
      <c r="C122" t="s">
        <v>835</v>
      </c>
      <c r="D122" t="s">
        <v>836</v>
      </c>
      <c r="E122" t="s">
        <v>241</v>
      </c>
      <c r="G122" t="s">
        <v>41</v>
      </c>
      <c r="H122" t="s">
        <v>42</v>
      </c>
      <c r="I122" t="s">
        <v>34</v>
      </c>
      <c r="J122" t="s">
        <v>74</v>
      </c>
      <c r="K122" t="s">
        <v>43</v>
      </c>
      <c r="L122" t="s">
        <v>44</v>
      </c>
      <c r="M122" t="s">
        <v>837</v>
      </c>
      <c r="N122" t="s">
        <v>244</v>
      </c>
      <c r="O122" t="s">
        <v>62</v>
      </c>
      <c r="P122" t="s">
        <v>838</v>
      </c>
      <c r="Q122" t="s">
        <v>50</v>
      </c>
      <c r="R122" t="s">
        <v>232</v>
      </c>
      <c r="S122">
        <v>2.63</v>
      </c>
      <c r="T122">
        <v>8559</v>
      </c>
      <c r="U122">
        <v>0</v>
      </c>
      <c r="V122">
        <v>8559</v>
      </c>
    </row>
    <row r="123" spans="1:22" x14ac:dyDescent="0.3">
      <c r="A123">
        <v>15741</v>
      </c>
      <c r="B123">
        <v>138853395</v>
      </c>
      <c r="C123" t="s">
        <v>839</v>
      </c>
      <c r="D123" t="s">
        <v>840</v>
      </c>
      <c r="E123" t="s">
        <v>241</v>
      </c>
      <c r="G123" t="s">
        <v>41</v>
      </c>
      <c r="H123" t="s">
        <v>42</v>
      </c>
      <c r="I123" t="s">
        <v>34</v>
      </c>
      <c r="J123" t="s">
        <v>74</v>
      </c>
      <c r="K123" t="s">
        <v>43</v>
      </c>
      <c r="L123" t="s">
        <v>44</v>
      </c>
      <c r="M123" t="s">
        <v>841</v>
      </c>
      <c r="N123" t="s">
        <v>244</v>
      </c>
      <c r="O123" t="s">
        <v>62</v>
      </c>
      <c r="P123" t="s">
        <v>842</v>
      </c>
      <c r="Q123" t="s">
        <v>95</v>
      </c>
      <c r="R123" t="s">
        <v>843</v>
      </c>
      <c r="S123">
        <v>1.95</v>
      </c>
      <c r="T123">
        <v>9514</v>
      </c>
      <c r="U123">
        <v>600</v>
      </c>
      <c r="V123">
        <v>10114</v>
      </c>
    </row>
    <row r="124" spans="1:22" x14ac:dyDescent="0.3">
      <c r="A124">
        <v>15741</v>
      </c>
      <c r="B124">
        <v>138827297</v>
      </c>
      <c r="C124" t="s">
        <v>844</v>
      </c>
      <c r="D124" t="s">
        <v>845</v>
      </c>
      <c r="E124" t="s">
        <v>241</v>
      </c>
      <c r="G124" t="s">
        <v>41</v>
      </c>
      <c r="H124" t="s">
        <v>42</v>
      </c>
      <c r="I124" t="s">
        <v>34</v>
      </c>
      <c r="J124" t="s">
        <v>74</v>
      </c>
      <c r="K124" t="s">
        <v>43</v>
      </c>
      <c r="L124" t="s">
        <v>44</v>
      </c>
      <c r="M124" t="s">
        <v>846</v>
      </c>
      <c r="N124" t="s">
        <v>244</v>
      </c>
      <c r="O124" t="s">
        <v>62</v>
      </c>
      <c r="P124" t="s">
        <v>847</v>
      </c>
      <c r="Q124" t="s">
        <v>55</v>
      </c>
      <c r="R124" t="s">
        <v>848</v>
      </c>
      <c r="S124">
        <v>27.04</v>
      </c>
      <c r="T124">
        <v>11610</v>
      </c>
      <c r="U124">
        <v>0</v>
      </c>
      <c r="V124">
        <v>11610</v>
      </c>
    </row>
    <row r="125" spans="1:22" x14ac:dyDescent="0.3">
      <c r="A125">
        <v>15741</v>
      </c>
      <c r="B125">
        <v>138587058</v>
      </c>
      <c r="C125" t="s">
        <v>849</v>
      </c>
      <c r="D125" t="s">
        <v>850</v>
      </c>
      <c r="E125" t="s">
        <v>241</v>
      </c>
      <c r="G125" t="s">
        <v>41</v>
      </c>
      <c r="H125" t="s">
        <v>42</v>
      </c>
      <c r="I125" t="s">
        <v>34</v>
      </c>
      <c r="J125" t="s">
        <v>74</v>
      </c>
      <c r="K125" t="s">
        <v>43</v>
      </c>
      <c r="L125" t="s">
        <v>44</v>
      </c>
      <c r="M125" t="s">
        <v>851</v>
      </c>
      <c r="N125" t="s">
        <v>244</v>
      </c>
      <c r="O125" t="s">
        <v>62</v>
      </c>
      <c r="P125" t="s">
        <v>852</v>
      </c>
      <c r="Q125" t="s">
        <v>69</v>
      </c>
      <c r="R125" t="s">
        <v>853</v>
      </c>
      <c r="S125">
        <v>10.52</v>
      </c>
      <c r="T125">
        <v>5943</v>
      </c>
      <c r="U125">
        <v>0</v>
      </c>
      <c r="V125">
        <v>5943</v>
      </c>
    </row>
    <row r="126" spans="1:22" x14ac:dyDescent="0.3">
      <c r="A126">
        <v>15741</v>
      </c>
      <c r="B126">
        <v>138565831</v>
      </c>
      <c r="C126" t="s">
        <v>854</v>
      </c>
      <c r="D126" t="s">
        <v>855</v>
      </c>
      <c r="E126" t="s">
        <v>241</v>
      </c>
      <c r="G126" t="s">
        <v>41</v>
      </c>
      <c r="H126" t="s">
        <v>42</v>
      </c>
      <c r="I126" t="s">
        <v>34</v>
      </c>
      <c r="J126" t="s">
        <v>74</v>
      </c>
      <c r="K126" t="s">
        <v>43</v>
      </c>
      <c r="L126" t="s">
        <v>44</v>
      </c>
      <c r="M126" t="s">
        <v>132</v>
      </c>
      <c r="N126" t="s">
        <v>244</v>
      </c>
      <c r="O126" t="s">
        <v>62</v>
      </c>
      <c r="P126" t="s">
        <v>856</v>
      </c>
      <c r="Q126" t="s">
        <v>52</v>
      </c>
      <c r="R126" t="s">
        <v>857</v>
      </c>
      <c r="S126">
        <v>136.32</v>
      </c>
      <c r="T126">
        <v>93536</v>
      </c>
      <c r="U126">
        <v>3148.17</v>
      </c>
      <c r="V126">
        <v>96684.17</v>
      </c>
    </row>
    <row r="127" spans="1:22" x14ac:dyDescent="0.3">
      <c r="A127">
        <v>15741</v>
      </c>
      <c r="B127">
        <v>138587105</v>
      </c>
      <c r="C127" t="s">
        <v>858</v>
      </c>
      <c r="D127" t="s">
        <v>859</v>
      </c>
      <c r="E127" t="s">
        <v>241</v>
      </c>
      <c r="G127" t="s">
        <v>41</v>
      </c>
      <c r="H127" t="s">
        <v>42</v>
      </c>
      <c r="I127" t="s">
        <v>34</v>
      </c>
      <c r="J127" t="s">
        <v>74</v>
      </c>
      <c r="K127" t="s">
        <v>43</v>
      </c>
      <c r="L127" t="s">
        <v>44</v>
      </c>
      <c r="M127" t="s">
        <v>860</v>
      </c>
      <c r="N127" t="s">
        <v>244</v>
      </c>
      <c r="O127" t="s">
        <v>62</v>
      </c>
      <c r="P127" t="s">
        <v>861</v>
      </c>
      <c r="Q127" t="s">
        <v>55</v>
      </c>
      <c r="R127" t="s">
        <v>862</v>
      </c>
      <c r="S127">
        <v>2.2400000000000002</v>
      </c>
      <c r="T127">
        <v>4335</v>
      </c>
      <c r="U127">
        <v>0</v>
      </c>
      <c r="V127">
        <v>4335</v>
      </c>
    </row>
    <row r="128" spans="1:22" x14ac:dyDescent="0.3">
      <c r="A128">
        <v>15741</v>
      </c>
      <c r="B128">
        <v>139191584</v>
      </c>
      <c r="C128" t="s">
        <v>863</v>
      </c>
      <c r="D128" t="s">
        <v>864</v>
      </c>
      <c r="E128" t="s">
        <v>241</v>
      </c>
      <c r="G128" t="s">
        <v>41</v>
      </c>
      <c r="H128" t="s">
        <v>42</v>
      </c>
      <c r="I128" t="s">
        <v>34</v>
      </c>
      <c r="J128" t="s">
        <v>74</v>
      </c>
      <c r="K128" t="s">
        <v>43</v>
      </c>
      <c r="L128" t="s">
        <v>44</v>
      </c>
      <c r="M128" t="s">
        <v>865</v>
      </c>
      <c r="N128" t="s">
        <v>244</v>
      </c>
      <c r="O128" t="s">
        <v>62</v>
      </c>
      <c r="P128" t="s">
        <v>866</v>
      </c>
      <c r="Q128" t="s">
        <v>60</v>
      </c>
      <c r="R128" t="s">
        <v>154</v>
      </c>
      <c r="S128">
        <v>20.73</v>
      </c>
      <c r="T128">
        <v>16698</v>
      </c>
      <c r="U128">
        <v>0</v>
      </c>
      <c r="V128">
        <v>16698</v>
      </c>
    </row>
    <row r="129" spans="1:22" x14ac:dyDescent="0.3">
      <c r="A129">
        <v>15741</v>
      </c>
      <c r="B129">
        <v>139192392</v>
      </c>
      <c r="C129" t="s">
        <v>867</v>
      </c>
      <c r="D129" t="s">
        <v>868</v>
      </c>
      <c r="E129" t="s">
        <v>241</v>
      </c>
      <c r="G129" t="s">
        <v>41</v>
      </c>
      <c r="H129" t="s">
        <v>42</v>
      </c>
      <c r="I129" t="s">
        <v>34</v>
      </c>
      <c r="J129" t="s">
        <v>74</v>
      </c>
      <c r="K129" t="s">
        <v>43</v>
      </c>
      <c r="L129" t="s">
        <v>44</v>
      </c>
      <c r="M129" t="s">
        <v>869</v>
      </c>
      <c r="N129" t="s">
        <v>244</v>
      </c>
      <c r="O129" t="s">
        <v>62</v>
      </c>
      <c r="P129" t="s">
        <v>870</v>
      </c>
      <c r="Q129" t="s">
        <v>55</v>
      </c>
      <c r="R129" t="s">
        <v>219</v>
      </c>
      <c r="S129">
        <v>58.31</v>
      </c>
      <c r="T129">
        <v>25681</v>
      </c>
      <c r="U129">
        <v>2399.94</v>
      </c>
      <c r="V129">
        <v>28080.94</v>
      </c>
    </row>
    <row r="130" spans="1:22" x14ac:dyDescent="0.3">
      <c r="A130">
        <v>15741</v>
      </c>
      <c r="B130">
        <v>139087970</v>
      </c>
      <c r="C130" t="s">
        <v>871</v>
      </c>
      <c r="D130" t="s">
        <v>872</v>
      </c>
      <c r="E130" t="s">
        <v>241</v>
      </c>
      <c r="G130" t="s">
        <v>41</v>
      </c>
      <c r="H130" t="s">
        <v>42</v>
      </c>
      <c r="I130" t="s">
        <v>34</v>
      </c>
      <c r="J130" t="s">
        <v>74</v>
      </c>
      <c r="K130" t="s">
        <v>43</v>
      </c>
      <c r="L130" t="s">
        <v>44</v>
      </c>
      <c r="M130" t="s">
        <v>873</v>
      </c>
      <c r="N130" t="s">
        <v>244</v>
      </c>
      <c r="O130" t="s">
        <v>62</v>
      </c>
      <c r="P130" t="s">
        <v>874</v>
      </c>
      <c r="Q130" t="s">
        <v>121</v>
      </c>
      <c r="R130" t="s">
        <v>875</v>
      </c>
      <c r="S130">
        <v>0.71</v>
      </c>
      <c r="T130">
        <v>4072</v>
      </c>
      <c r="U130">
        <v>0</v>
      </c>
      <c r="V130">
        <v>4072</v>
      </c>
    </row>
    <row r="131" spans="1:22" x14ac:dyDescent="0.3">
      <c r="A131">
        <v>15741</v>
      </c>
      <c r="B131">
        <v>139194218</v>
      </c>
      <c r="C131" t="s">
        <v>876</v>
      </c>
      <c r="D131" t="s">
        <v>877</v>
      </c>
      <c r="E131" t="s">
        <v>241</v>
      </c>
      <c r="G131" t="s">
        <v>41</v>
      </c>
      <c r="H131" t="s">
        <v>42</v>
      </c>
      <c r="I131" t="s">
        <v>34</v>
      </c>
      <c r="J131" t="s">
        <v>74</v>
      </c>
      <c r="K131" t="s">
        <v>43</v>
      </c>
      <c r="L131" t="s">
        <v>44</v>
      </c>
      <c r="M131" t="s">
        <v>878</v>
      </c>
      <c r="N131" t="s">
        <v>244</v>
      </c>
      <c r="O131" t="s">
        <v>62</v>
      </c>
      <c r="P131" t="s">
        <v>879</v>
      </c>
      <c r="Q131" t="s">
        <v>59</v>
      </c>
      <c r="R131" t="s">
        <v>880</v>
      </c>
      <c r="S131">
        <v>20.260000000000002</v>
      </c>
      <c r="T131">
        <v>16698</v>
      </c>
      <c r="U131">
        <v>1439.94</v>
      </c>
      <c r="V131">
        <v>18137.939999999999</v>
      </c>
    </row>
    <row r="132" spans="1:22" x14ac:dyDescent="0.3">
      <c r="A132">
        <v>15741</v>
      </c>
      <c r="B132">
        <v>139084834</v>
      </c>
      <c r="C132" t="s">
        <v>881</v>
      </c>
      <c r="D132" t="s">
        <v>882</v>
      </c>
      <c r="E132" t="s">
        <v>241</v>
      </c>
      <c r="G132" t="s">
        <v>41</v>
      </c>
      <c r="H132" t="s">
        <v>42</v>
      </c>
      <c r="I132" t="s">
        <v>34</v>
      </c>
      <c r="J132" t="s">
        <v>74</v>
      </c>
      <c r="K132" t="s">
        <v>43</v>
      </c>
      <c r="L132" t="s">
        <v>44</v>
      </c>
      <c r="M132" t="s">
        <v>873</v>
      </c>
      <c r="N132" t="s">
        <v>244</v>
      </c>
      <c r="O132" t="s">
        <v>62</v>
      </c>
      <c r="P132" t="s">
        <v>874</v>
      </c>
      <c r="Q132" t="s">
        <v>121</v>
      </c>
      <c r="R132" t="s">
        <v>883</v>
      </c>
      <c r="S132">
        <v>0.72</v>
      </c>
      <c r="T132">
        <v>4072</v>
      </c>
      <c r="U132">
        <v>0</v>
      </c>
      <c r="V132">
        <v>4072</v>
      </c>
    </row>
    <row r="133" spans="1:22" x14ac:dyDescent="0.3">
      <c r="A133">
        <v>15741</v>
      </c>
      <c r="B133">
        <v>139172454</v>
      </c>
      <c r="C133" t="s">
        <v>884</v>
      </c>
      <c r="D133" t="s">
        <v>885</v>
      </c>
      <c r="E133" t="s">
        <v>241</v>
      </c>
      <c r="G133" t="s">
        <v>41</v>
      </c>
      <c r="H133" t="s">
        <v>42</v>
      </c>
      <c r="I133" t="s">
        <v>34</v>
      </c>
      <c r="J133" t="s">
        <v>74</v>
      </c>
      <c r="K133" t="s">
        <v>43</v>
      </c>
      <c r="L133" t="s">
        <v>44</v>
      </c>
      <c r="M133" t="s">
        <v>886</v>
      </c>
      <c r="N133" t="s">
        <v>244</v>
      </c>
      <c r="O133" t="s">
        <v>62</v>
      </c>
      <c r="P133" t="s">
        <v>887</v>
      </c>
      <c r="Q133" t="s">
        <v>78</v>
      </c>
      <c r="R133" t="s">
        <v>159</v>
      </c>
      <c r="S133">
        <v>8.92</v>
      </c>
      <c r="T133">
        <v>5465</v>
      </c>
      <c r="U133">
        <v>0</v>
      </c>
      <c r="V133">
        <v>5465</v>
      </c>
    </row>
    <row r="134" spans="1:22" x14ac:dyDescent="0.3">
      <c r="A134">
        <v>15741</v>
      </c>
      <c r="B134">
        <v>139243442</v>
      </c>
      <c r="C134" t="s">
        <v>888</v>
      </c>
      <c r="D134" t="s">
        <v>889</v>
      </c>
      <c r="E134" t="s">
        <v>241</v>
      </c>
      <c r="G134" t="s">
        <v>41</v>
      </c>
      <c r="H134" t="s">
        <v>42</v>
      </c>
      <c r="I134" t="s">
        <v>34</v>
      </c>
      <c r="J134" t="s">
        <v>74</v>
      </c>
      <c r="K134" t="s">
        <v>43</v>
      </c>
      <c r="L134" t="s">
        <v>44</v>
      </c>
      <c r="M134" t="s">
        <v>125</v>
      </c>
      <c r="N134" t="s">
        <v>244</v>
      </c>
      <c r="O134" t="s">
        <v>62</v>
      </c>
      <c r="P134" t="s">
        <v>890</v>
      </c>
      <c r="Q134" t="s">
        <v>119</v>
      </c>
      <c r="R134" t="s">
        <v>150</v>
      </c>
      <c r="S134">
        <v>22.08</v>
      </c>
      <c r="T134">
        <v>9248</v>
      </c>
      <c r="U134">
        <v>1559.82</v>
      </c>
      <c r="V134">
        <v>10807.82</v>
      </c>
    </row>
    <row r="135" spans="1:22" x14ac:dyDescent="0.3">
      <c r="A135">
        <v>15741</v>
      </c>
      <c r="B135">
        <v>139191500</v>
      </c>
      <c r="C135" t="s">
        <v>891</v>
      </c>
      <c r="D135" t="s">
        <v>892</v>
      </c>
      <c r="E135" t="s">
        <v>241</v>
      </c>
      <c r="G135" t="s">
        <v>41</v>
      </c>
      <c r="H135" t="s">
        <v>42</v>
      </c>
      <c r="I135" t="s">
        <v>34</v>
      </c>
      <c r="J135" t="s">
        <v>74</v>
      </c>
      <c r="K135" t="s">
        <v>43</v>
      </c>
      <c r="L135" t="s">
        <v>44</v>
      </c>
      <c r="M135" t="s">
        <v>893</v>
      </c>
      <c r="N135" t="s">
        <v>244</v>
      </c>
      <c r="O135" t="s">
        <v>62</v>
      </c>
      <c r="P135" t="s">
        <v>894</v>
      </c>
      <c r="Q135" t="s">
        <v>75</v>
      </c>
      <c r="R135" t="s">
        <v>97</v>
      </c>
      <c r="S135">
        <v>2.2200000000000002</v>
      </c>
      <c r="T135">
        <v>7370</v>
      </c>
      <c r="U135">
        <v>0</v>
      </c>
      <c r="V135">
        <v>7370</v>
      </c>
    </row>
    <row r="136" spans="1:22" x14ac:dyDescent="0.3">
      <c r="A136">
        <v>15741</v>
      </c>
      <c r="B136">
        <v>139124113</v>
      </c>
      <c r="C136" t="s">
        <v>895</v>
      </c>
      <c r="D136" t="s">
        <v>896</v>
      </c>
      <c r="E136" t="s">
        <v>241</v>
      </c>
      <c r="G136" t="s">
        <v>41</v>
      </c>
      <c r="H136" t="s">
        <v>42</v>
      </c>
      <c r="I136" t="s">
        <v>34</v>
      </c>
      <c r="J136" t="s">
        <v>74</v>
      </c>
      <c r="K136" t="s">
        <v>43</v>
      </c>
      <c r="L136" t="s">
        <v>44</v>
      </c>
      <c r="M136" t="s">
        <v>897</v>
      </c>
      <c r="N136" t="s">
        <v>244</v>
      </c>
      <c r="O136" t="s">
        <v>62</v>
      </c>
      <c r="P136" t="s">
        <v>898</v>
      </c>
      <c r="Q136" t="s">
        <v>54</v>
      </c>
      <c r="R136" t="s">
        <v>899</v>
      </c>
      <c r="S136">
        <v>8.9499999999999993</v>
      </c>
      <c r="T136">
        <v>5465</v>
      </c>
      <c r="U136">
        <v>0</v>
      </c>
      <c r="V136">
        <v>5465</v>
      </c>
    </row>
    <row r="137" spans="1:22" x14ac:dyDescent="0.3">
      <c r="A137">
        <v>15741</v>
      </c>
      <c r="B137">
        <v>139243331</v>
      </c>
      <c r="C137" t="s">
        <v>900</v>
      </c>
      <c r="D137" t="s">
        <v>901</v>
      </c>
      <c r="E137" t="s">
        <v>241</v>
      </c>
      <c r="G137" t="s">
        <v>41</v>
      </c>
      <c r="H137" t="s">
        <v>42</v>
      </c>
      <c r="I137" t="s">
        <v>34</v>
      </c>
      <c r="J137" t="s">
        <v>74</v>
      </c>
      <c r="K137" t="s">
        <v>43</v>
      </c>
      <c r="L137" t="s">
        <v>44</v>
      </c>
      <c r="M137" t="s">
        <v>902</v>
      </c>
      <c r="N137" t="s">
        <v>244</v>
      </c>
      <c r="O137" t="s">
        <v>62</v>
      </c>
      <c r="P137" t="s">
        <v>903</v>
      </c>
      <c r="Q137" t="s">
        <v>117</v>
      </c>
      <c r="R137" t="s">
        <v>904</v>
      </c>
      <c r="S137">
        <v>48.4</v>
      </c>
      <c r="T137">
        <v>21527</v>
      </c>
      <c r="U137">
        <v>3359.76</v>
      </c>
      <c r="V137">
        <v>24886.760000000002</v>
      </c>
    </row>
    <row r="138" spans="1:22" x14ac:dyDescent="0.3">
      <c r="A138">
        <v>15741</v>
      </c>
      <c r="B138">
        <v>139210007</v>
      </c>
      <c r="C138" t="s">
        <v>905</v>
      </c>
      <c r="D138" t="s">
        <v>906</v>
      </c>
      <c r="E138" t="s">
        <v>241</v>
      </c>
      <c r="G138" t="s">
        <v>41</v>
      </c>
      <c r="H138" t="s">
        <v>42</v>
      </c>
      <c r="I138" t="s">
        <v>34</v>
      </c>
      <c r="J138" t="s">
        <v>74</v>
      </c>
      <c r="K138" t="s">
        <v>43</v>
      </c>
      <c r="L138" t="s">
        <v>44</v>
      </c>
      <c r="M138" t="s">
        <v>907</v>
      </c>
      <c r="N138" t="s">
        <v>244</v>
      </c>
      <c r="O138" t="s">
        <v>62</v>
      </c>
      <c r="P138" t="s">
        <v>908</v>
      </c>
      <c r="Q138" t="s">
        <v>66</v>
      </c>
      <c r="R138" t="s">
        <v>138</v>
      </c>
      <c r="S138">
        <v>53.58</v>
      </c>
      <c r="T138">
        <v>23635</v>
      </c>
      <c r="U138">
        <v>2373.5500000000002</v>
      </c>
      <c r="V138">
        <v>26008.55</v>
      </c>
    </row>
    <row r="139" spans="1:22" x14ac:dyDescent="0.3">
      <c r="A139">
        <v>15741</v>
      </c>
      <c r="B139">
        <v>139194363</v>
      </c>
      <c r="C139" t="s">
        <v>909</v>
      </c>
      <c r="D139" t="s">
        <v>910</v>
      </c>
      <c r="E139" t="s">
        <v>241</v>
      </c>
      <c r="G139" t="s">
        <v>41</v>
      </c>
      <c r="H139" t="s">
        <v>42</v>
      </c>
      <c r="I139" t="s">
        <v>34</v>
      </c>
      <c r="J139" t="s">
        <v>74</v>
      </c>
      <c r="K139" t="s">
        <v>43</v>
      </c>
      <c r="L139" t="s">
        <v>44</v>
      </c>
      <c r="M139" t="s">
        <v>911</v>
      </c>
      <c r="N139" t="s">
        <v>244</v>
      </c>
      <c r="O139" t="s">
        <v>62</v>
      </c>
      <c r="P139" t="s">
        <v>912</v>
      </c>
      <c r="Q139" t="s">
        <v>55</v>
      </c>
      <c r="R139" t="s">
        <v>913</v>
      </c>
      <c r="S139">
        <v>19.13</v>
      </c>
      <c r="T139">
        <v>7831</v>
      </c>
      <c r="U139">
        <v>1679.88</v>
      </c>
      <c r="V139">
        <v>9510.880000000001</v>
      </c>
    </row>
    <row r="140" spans="1:22" x14ac:dyDescent="0.3">
      <c r="A140">
        <v>15741</v>
      </c>
      <c r="B140">
        <v>138195200</v>
      </c>
      <c r="C140" t="s">
        <v>914</v>
      </c>
      <c r="D140" t="s">
        <v>915</v>
      </c>
      <c r="E140" t="s">
        <v>241</v>
      </c>
      <c r="G140" t="s">
        <v>41</v>
      </c>
      <c r="H140" t="s">
        <v>42</v>
      </c>
      <c r="I140" t="s">
        <v>34</v>
      </c>
      <c r="J140" t="s">
        <v>74</v>
      </c>
      <c r="K140" t="s">
        <v>71</v>
      </c>
      <c r="L140" t="s">
        <v>72</v>
      </c>
      <c r="M140" t="s">
        <v>916</v>
      </c>
      <c r="N140" t="s">
        <v>244</v>
      </c>
      <c r="O140" t="s">
        <v>62</v>
      </c>
      <c r="P140" t="s">
        <v>917</v>
      </c>
      <c r="Q140" t="s">
        <v>228</v>
      </c>
      <c r="R140" t="s">
        <v>918</v>
      </c>
      <c r="S140">
        <v>125.29</v>
      </c>
      <c r="T140">
        <v>72972</v>
      </c>
      <c r="U140">
        <v>3148.17</v>
      </c>
      <c r="V140">
        <v>76120.17</v>
      </c>
    </row>
    <row r="141" spans="1:22" x14ac:dyDescent="0.3">
      <c r="A141">
        <v>15741</v>
      </c>
      <c r="B141">
        <v>139344028</v>
      </c>
      <c r="C141" t="s">
        <v>919</v>
      </c>
      <c r="D141" t="s">
        <v>920</v>
      </c>
      <c r="E141" t="s">
        <v>241</v>
      </c>
      <c r="G141" t="s">
        <v>41</v>
      </c>
      <c r="H141" t="s">
        <v>42</v>
      </c>
      <c r="I141" t="s">
        <v>34</v>
      </c>
      <c r="J141" t="s">
        <v>74</v>
      </c>
      <c r="K141" t="s">
        <v>43</v>
      </c>
      <c r="L141" t="s">
        <v>44</v>
      </c>
      <c r="M141" t="s">
        <v>921</v>
      </c>
      <c r="N141" t="s">
        <v>244</v>
      </c>
      <c r="O141" t="s">
        <v>62</v>
      </c>
      <c r="P141" t="s">
        <v>922</v>
      </c>
      <c r="Q141" t="s">
        <v>57</v>
      </c>
      <c r="R141" t="s">
        <v>152</v>
      </c>
      <c r="S141">
        <v>0.98</v>
      </c>
      <c r="T141">
        <v>6232</v>
      </c>
      <c r="U141">
        <v>0</v>
      </c>
      <c r="V141">
        <v>6232</v>
      </c>
    </row>
    <row r="142" spans="1:22" x14ac:dyDescent="0.3">
      <c r="A142">
        <v>15741</v>
      </c>
      <c r="B142">
        <v>139285993</v>
      </c>
      <c r="C142" t="s">
        <v>923</v>
      </c>
      <c r="D142" t="s">
        <v>924</v>
      </c>
      <c r="E142" t="s">
        <v>241</v>
      </c>
      <c r="G142" t="s">
        <v>41</v>
      </c>
      <c r="H142" t="s">
        <v>42</v>
      </c>
      <c r="I142" t="s">
        <v>34</v>
      </c>
      <c r="J142" t="s">
        <v>74</v>
      </c>
      <c r="K142" t="s">
        <v>43</v>
      </c>
      <c r="L142" t="s">
        <v>44</v>
      </c>
      <c r="M142" t="s">
        <v>925</v>
      </c>
      <c r="N142" t="s">
        <v>244</v>
      </c>
      <c r="O142" t="s">
        <v>62</v>
      </c>
      <c r="P142" t="s">
        <v>926</v>
      </c>
      <c r="Q142" t="s">
        <v>69</v>
      </c>
      <c r="R142" t="s">
        <v>139</v>
      </c>
      <c r="S142">
        <v>10.5</v>
      </c>
      <c r="T142">
        <v>5943</v>
      </c>
      <c r="U142">
        <v>0</v>
      </c>
      <c r="V142">
        <v>5943</v>
      </c>
    </row>
    <row r="143" spans="1:22" x14ac:dyDescent="0.3">
      <c r="A143">
        <v>15741</v>
      </c>
      <c r="B143">
        <v>139330596</v>
      </c>
      <c r="C143" t="s">
        <v>927</v>
      </c>
      <c r="D143" t="s">
        <v>928</v>
      </c>
      <c r="E143" t="s">
        <v>241</v>
      </c>
      <c r="G143" t="s">
        <v>41</v>
      </c>
      <c r="H143" t="s">
        <v>42</v>
      </c>
      <c r="I143" t="s">
        <v>34</v>
      </c>
      <c r="J143" t="s">
        <v>74</v>
      </c>
      <c r="K143" t="s">
        <v>43</v>
      </c>
      <c r="L143" t="s">
        <v>44</v>
      </c>
      <c r="M143" t="s">
        <v>929</v>
      </c>
      <c r="N143" t="s">
        <v>244</v>
      </c>
      <c r="O143" t="s">
        <v>62</v>
      </c>
      <c r="P143" t="s">
        <v>930</v>
      </c>
      <c r="Q143" t="s">
        <v>52</v>
      </c>
      <c r="R143" t="s">
        <v>168</v>
      </c>
      <c r="S143">
        <v>20.94</v>
      </c>
      <c r="T143">
        <v>15903</v>
      </c>
      <c r="U143">
        <v>0</v>
      </c>
      <c r="V143">
        <v>15903</v>
      </c>
    </row>
    <row r="144" spans="1:22" x14ac:dyDescent="0.3">
      <c r="A144">
        <v>15741</v>
      </c>
      <c r="B144">
        <v>139377428</v>
      </c>
      <c r="C144" t="s">
        <v>931</v>
      </c>
      <c r="D144" t="s">
        <v>932</v>
      </c>
      <c r="E144" t="s">
        <v>241</v>
      </c>
      <c r="G144" t="s">
        <v>41</v>
      </c>
      <c r="H144" t="s">
        <v>42</v>
      </c>
      <c r="I144" t="s">
        <v>34</v>
      </c>
      <c r="J144" t="s">
        <v>74</v>
      </c>
      <c r="K144" t="s">
        <v>43</v>
      </c>
      <c r="L144" t="s">
        <v>44</v>
      </c>
      <c r="M144" t="s">
        <v>933</v>
      </c>
      <c r="N144" t="s">
        <v>244</v>
      </c>
      <c r="O144" t="s">
        <v>62</v>
      </c>
      <c r="P144" t="s">
        <v>934</v>
      </c>
      <c r="Q144" t="s">
        <v>76</v>
      </c>
      <c r="R144" t="s">
        <v>935</v>
      </c>
      <c r="S144">
        <v>88.27</v>
      </c>
      <c r="T144">
        <v>64208</v>
      </c>
      <c r="U144">
        <v>2373.5500000000002</v>
      </c>
      <c r="V144">
        <v>66581.55</v>
      </c>
    </row>
    <row r="145" spans="1:22" x14ac:dyDescent="0.3">
      <c r="A145">
        <v>15741</v>
      </c>
      <c r="B145">
        <v>139370682</v>
      </c>
      <c r="C145" t="s">
        <v>936</v>
      </c>
      <c r="D145" t="s">
        <v>937</v>
      </c>
      <c r="E145" t="s">
        <v>241</v>
      </c>
      <c r="G145" t="s">
        <v>41</v>
      </c>
      <c r="H145" t="s">
        <v>42</v>
      </c>
      <c r="I145" t="s">
        <v>34</v>
      </c>
      <c r="J145" t="s">
        <v>74</v>
      </c>
      <c r="K145" t="s">
        <v>43</v>
      </c>
      <c r="L145" t="s">
        <v>44</v>
      </c>
      <c r="M145" t="s">
        <v>938</v>
      </c>
      <c r="N145" t="s">
        <v>244</v>
      </c>
      <c r="O145" t="s">
        <v>62</v>
      </c>
      <c r="P145" t="s">
        <v>939</v>
      </c>
      <c r="Q145" t="s">
        <v>63</v>
      </c>
      <c r="R145" t="s">
        <v>940</v>
      </c>
      <c r="S145">
        <v>162.24</v>
      </c>
      <c r="T145">
        <v>83274</v>
      </c>
      <c r="U145">
        <v>3479.94</v>
      </c>
      <c r="V145">
        <v>86753.94</v>
      </c>
    </row>
    <row r="146" spans="1:22" x14ac:dyDescent="0.3">
      <c r="A146">
        <v>15741</v>
      </c>
      <c r="B146">
        <v>139327684</v>
      </c>
      <c r="C146" t="s">
        <v>941</v>
      </c>
      <c r="D146" t="s">
        <v>942</v>
      </c>
      <c r="E146" t="s">
        <v>241</v>
      </c>
      <c r="G146" t="s">
        <v>41</v>
      </c>
      <c r="H146" t="s">
        <v>42</v>
      </c>
      <c r="I146" t="s">
        <v>34</v>
      </c>
      <c r="J146" t="s">
        <v>74</v>
      </c>
      <c r="K146" t="s">
        <v>43</v>
      </c>
      <c r="L146" t="s">
        <v>44</v>
      </c>
      <c r="M146" t="s">
        <v>943</v>
      </c>
      <c r="N146" t="s">
        <v>244</v>
      </c>
      <c r="O146" t="s">
        <v>62</v>
      </c>
      <c r="P146" t="s">
        <v>944</v>
      </c>
      <c r="Q146" t="s">
        <v>77</v>
      </c>
      <c r="R146" t="s">
        <v>945</v>
      </c>
      <c r="S146">
        <v>20.350000000000001</v>
      </c>
      <c r="T146">
        <v>17221</v>
      </c>
      <c r="U146">
        <v>1079.94</v>
      </c>
      <c r="V146">
        <v>18300.939999999999</v>
      </c>
    </row>
    <row r="147" spans="1:22" x14ac:dyDescent="0.3">
      <c r="A147">
        <v>15741</v>
      </c>
      <c r="B147">
        <v>139265748</v>
      </c>
      <c r="C147" t="s">
        <v>946</v>
      </c>
      <c r="D147" t="s">
        <v>947</v>
      </c>
      <c r="E147" t="s">
        <v>241</v>
      </c>
      <c r="G147" t="s">
        <v>41</v>
      </c>
      <c r="H147" t="s">
        <v>42</v>
      </c>
      <c r="I147" t="s">
        <v>34</v>
      </c>
      <c r="J147" t="s">
        <v>74</v>
      </c>
      <c r="K147" t="s">
        <v>43</v>
      </c>
      <c r="L147" t="s">
        <v>44</v>
      </c>
      <c r="M147" t="s">
        <v>948</v>
      </c>
      <c r="N147" t="s">
        <v>244</v>
      </c>
      <c r="O147" t="s">
        <v>62</v>
      </c>
      <c r="P147" t="s">
        <v>949</v>
      </c>
      <c r="Q147" t="s">
        <v>60</v>
      </c>
      <c r="R147" t="s">
        <v>172</v>
      </c>
      <c r="S147">
        <v>10.4</v>
      </c>
      <c r="T147">
        <v>12809</v>
      </c>
      <c r="U147">
        <v>0</v>
      </c>
      <c r="V147">
        <v>12809</v>
      </c>
    </row>
    <row r="148" spans="1:22" x14ac:dyDescent="0.3">
      <c r="A148">
        <v>15741</v>
      </c>
      <c r="B148">
        <v>138977512</v>
      </c>
      <c r="C148" t="s">
        <v>950</v>
      </c>
      <c r="D148" t="s">
        <v>951</v>
      </c>
      <c r="E148" t="s">
        <v>241</v>
      </c>
      <c r="G148" t="s">
        <v>41</v>
      </c>
      <c r="H148" t="s">
        <v>42</v>
      </c>
      <c r="I148" t="s">
        <v>34</v>
      </c>
      <c r="J148" t="s">
        <v>74</v>
      </c>
      <c r="K148" t="s">
        <v>43</v>
      </c>
      <c r="L148" t="s">
        <v>44</v>
      </c>
      <c r="M148" t="s">
        <v>952</v>
      </c>
      <c r="N148" t="s">
        <v>244</v>
      </c>
      <c r="O148" t="s">
        <v>62</v>
      </c>
      <c r="P148" t="s">
        <v>953</v>
      </c>
      <c r="Q148" t="s">
        <v>121</v>
      </c>
      <c r="R148" t="s">
        <v>236</v>
      </c>
      <c r="S148">
        <v>2.15</v>
      </c>
      <c r="T148">
        <v>4335</v>
      </c>
      <c r="U148">
        <v>0</v>
      </c>
      <c r="V148">
        <v>4335</v>
      </c>
    </row>
    <row r="149" spans="1:22" x14ac:dyDescent="0.3">
      <c r="A149">
        <v>15741</v>
      </c>
      <c r="B149">
        <v>139115302</v>
      </c>
      <c r="C149" t="s">
        <v>954</v>
      </c>
      <c r="D149" t="s">
        <v>955</v>
      </c>
      <c r="E149" t="s">
        <v>241</v>
      </c>
      <c r="G149" t="s">
        <v>41</v>
      </c>
      <c r="H149" t="s">
        <v>42</v>
      </c>
      <c r="I149" t="s">
        <v>34</v>
      </c>
      <c r="J149" t="s">
        <v>74</v>
      </c>
      <c r="K149" t="s">
        <v>43</v>
      </c>
      <c r="L149" t="s">
        <v>44</v>
      </c>
      <c r="M149" t="s">
        <v>956</v>
      </c>
      <c r="N149" t="s">
        <v>244</v>
      </c>
      <c r="O149" t="s">
        <v>62</v>
      </c>
      <c r="P149" t="s">
        <v>957</v>
      </c>
      <c r="Q149" t="s">
        <v>103</v>
      </c>
      <c r="R149" t="s">
        <v>958</v>
      </c>
      <c r="S149">
        <v>21.09</v>
      </c>
      <c r="T149">
        <v>8777</v>
      </c>
      <c r="U149">
        <v>0</v>
      </c>
      <c r="V149">
        <v>8777</v>
      </c>
    </row>
    <row r="150" spans="1:22" x14ac:dyDescent="0.3">
      <c r="A150">
        <v>15741</v>
      </c>
      <c r="B150">
        <v>138892328</v>
      </c>
      <c r="C150" t="s">
        <v>959</v>
      </c>
      <c r="D150" t="s">
        <v>960</v>
      </c>
      <c r="E150" t="s">
        <v>241</v>
      </c>
      <c r="G150" t="s">
        <v>41</v>
      </c>
      <c r="H150" t="s">
        <v>42</v>
      </c>
      <c r="I150" t="s">
        <v>34</v>
      </c>
      <c r="J150" t="s">
        <v>74</v>
      </c>
      <c r="K150" t="s">
        <v>43</v>
      </c>
      <c r="L150" t="s">
        <v>44</v>
      </c>
      <c r="M150" t="s">
        <v>961</v>
      </c>
      <c r="N150" t="s">
        <v>244</v>
      </c>
      <c r="O150" t="s">
        <v>62</v>
      </c>
      <c r="P150" t="s">
        <v>962</v>
      </c>
      <c r="Q150" t="s">
        <v>73</v>
      </c>
      <c r="R150" t="s">
        <v>963</v>
      </c>
      <c r="S150">
        <v>32.69</v>
      </c>
      <c r="T150">
        <v>32651</v>
      </c>
      <c r="U150">
        <v>2159.94</v>
      </c>
      <c r="V150">
        <v>34810.94</v>
      </c>
    </row>
    <row r="151" spans="1:22" x14ac:dyDescent="0.3">
      <c r="A151">
        <v>15741</v>
      </c>
      <c r="B151">
        <v>139023835</v>
      </c>
      <c r="C151" t="s">
        <v>964</v>
      </c>
      <c r="D151" t="s">
        <v>965</v>
      </c>
      <c r="E151" t="s">
        <v>241</v>
      </c>
      <c r="G151" t="s">
        <v>41</v>
      </c>
      <c r="H151" t="s">
        <v>42</v>
      </c>
      <c r="I151" t="s">
        <v>34</v>
      </c>
      <c r="J151" t="s">
        <v>74</v>
      </c>
      <c r="K151" t="s">
        <v>43</v>
      </c>
      <c r="L151" t="s">
        <v>44</v>
      </c>
      <c r="M151" t="s">
        <v>966</v>
      </c>
      <c r="N151" t="s">
        <v>244</v>
      </c>
      <c r="O151" t="s">
        <v>62</v>
      </c>
      <c r="P151" t="s">
        <v>967</v>
      </c>
      <c r="Q151" t="s">
        <v>128</v>
      </c>
      <c r="R151" t="s">
        <v>166</v>
      </c>
      <c r="S151">
        <v>9.01</v>
      </c>
      <c r="T151">
        <v>5465</v>
      </c>
      <c r="U151">
        <v>0</v>
      </c>
      <c r="V151">
        <v>5465</v>
      </c>
    </row>
    <row r="152" spans="1:22" x14ac:dyDescent="0.3">
      <c r="A152">
        <v>15741</v>
      </c>
      <c r="B152">
        <v>139042889</v>
      </c>
      <c r="C152" t="s">
        <v>968</v>
      </c>
      <c r="D152" t="s">
        <v>969</v>
      </c>
      <c r="E152" t="s">
        <v>241</v>
      </c>
      <c r="G152" t="s">
        <v>41</v>
      </c>
      <c r="H152" t="s">
        <v>42</v>
      </c>
      <c r="I152" t="s">
        <v>34</v>
      </c>
      <c r="J152" t="s">
        <v>74</v>
      </c>
      <c r="K152" t="s">
        <v>43</v>
      </c>
      <c r="L152" t="s">
        <v>44</v>
      </c>
      <c r="M152" t="s">
        <v>970</v>
      </c>
      <c r="N152" t="s">
        <v>244</v>
      </c>
      <c r="O152" t="s">
        <v>62</v>
      </c>
      <c r="P152" t="s">
        <v>971</v>
      </c>
      <c r="Q152" t="s">
        <v>48</v>
      </c>
      <c r="R152" t="s">
        <v>227</v>
      </c>
      <c r="S152">
        <v>20.76</v>
      </c>
      <c r="T152">
        <v>15903</v>
      </c>
      <c r="U152">
        <v>1079.94</v>
      </c>
      <c r="V152">
        <v>16982.939999999999</v>
      </c>
    </row>
    <row r="153" spans="1:22" x14ac:dyDescent="0.3">
      <c r="A153">
        <v>15741</v>
      </c>
      <c r="B153">
        <v>139115463</v>
      </c>
      <c r="C153" t="s">
        <v>972</v>
      </c>
      <c r="D153" t="s">
        <v>973</v>
      </c>
      <c r="E153" t="s">
        <v>241</v>
      </c>
      <c r="G153" t="s">
        <v>41</v>
      </c>
      <c r="H153" t="s">
        <v>42</v>
      </c>
      <c r="I153" t="s">
        <v>34</v>
      </c>
      <c r="J153" t="s">
        <v>74</v>
      </c>
      <c r="K153" t="s">
        <v>43</v>
      </c>
      <c r="L153" t="s">
        <v>44</v>
      </c>
      <c r="M153" t="s">
        <v>974</v>
      </c>
      <c r="N153" t="s">
        <v>244</v>
      </c>
      <c r="O153" t="s">
        <v>62</v>
      </c>
      <c r="P153" t="s">
        <v>975</v>
      </c>
      <c r="Q153" t="s">
        <v>65</v>
      </c>
      <c r="R153" t="s">
        <v>976</v>
      </c>
      <c r="S153">
        <v>10.33</v>
      </c>
      <c r="T153">
        <v>10408</v>
      </c>
      <c r="U153">
        <v>0</v>
      </c>
      <c r="V153">
        <v>10408</v>
      </c>
    </row>
    <row r="154" spans="1:22" x14ac:dyDescent="0.3">
      <c r="A154">
        <v>15741</v>
      </c>
      <c r="B154">
        <v>139081847</v>
      </c>
      <c r="C154" t="s">
        <v>977</v>
      </c>
      <c r="D154" t="s">
        <v>978</v>
      </c>
      <c r="E154" t="s">
        <v>241</v>
      </c>
      <c r="G154" t="s">
        <v>41</v>
      </c>
      <c r="H154" t="s">
        <v>42</v>
      </c>
      <c r="I154" t="s">
        <v>34</v>
      </c>
      <c r="J154" t="s">
        <v>74</v>
      </c>
      <c r="K154" t="s">
        <v>43</v>
      </c>
      <c r="L154" t="s">
        <v>44</v>
      </c>
      <c r="M154" t="s">
        <v>979</v>
      </c>
      <c r="N154" t="s">
        <v>244</v>
      </c>
      <c r="O154" t="s">
        <v>62</v>
      </c>
      <c r="P154" t="s">
        <v>980</v>
      </c>
      <c r="Q154" t="s">
        <v>47</v>
      </c>
      <c r="R154" t="s">
        <v>981</v>
      </c>
      <c r="S154">
        <v>23.17</v>
      </c>
      <c r="T154">
        <v>18368</v>
      </c>
      <c r="U154">
        <v>1200</v>
      </c>
      <c r="V154">
        <v>19568</v>
      </c>
    </row>
    <row r="155" spans="1:22" x14ac:dyDescent="0.3">
      <c r="A155">
        <v>15741</v>
      </c>
      <c r="B155">
        <v>138997593</v>
      </c>
      <c r="C155" t="s">
        <v>982</v>
      </c>
      <c r="D155" t="s">
        <v>983</v>
      </c>
      <c r="E155" t="s">
        <v>241</v>
      </c>
      <c r="G155" t="s">
        <v>41</v>
      </c>
      <c r="H155" t="s">
        <v>42</v>
      </c>
      <c r="I155" t="s">
        <v>34</v>
      </c>
      <c r="J155" t="s">
        <v>74</v>
      </c>
      <c r="K155" t="s">
        <v>43</v>
      </c>
      <c r="L155" t="s">
        <v>44</v>
      </c>
      <c r="M155" t="s">
        <v>984</v>
      </c>
      <c r="N155" t="s">
        <v>244</v>
      </c>
      <c r="O155" t="s">
        <v>62</v>
      </c>
      <c r="P155" t="s">
        <v>985</v>
      </c>
      <c r="Q155" t="s">
        <v>63</v>
      </c>
      <c r="R155" t="s">
        <v>234</v>
      </c>
      <c r="S155">
        <v>4.5</v>
      </c>
      <c r="T155">
        <v>7414</v>
      </c>
      <c r="U155">
        <v>0</v>
      </c>
      <c r="V155">
        <v>7414</v>
      </c>
    </row>
    <row r="156" spans="1:22" x14ac:dyDescent="0.3">
      <c r="A156">
        <v>15741</v>
      </c>
      <c r="B156">
        <v>139048556</v>
      </c>
      <c r="C156" t="s">
        <v>986</v>
      </c>
      <c r="D156" t="s">
        <v>987</v>
      </c>
      <c r="E156" t="s">
        <v>241</v>
      </c>
      <c r="G156" t="s">
        <v>41</v>
      </c>
      <c r="H156" t="s">
        <v>42</v>
      </c>
      <c r="I156" t="s">
        <v>34</v>
      </c>
      <c r="J156" t="s">
        <v>74</v>
      </c>
      <c r="K156" t="s">
        <v>43</v>
      </c>
      <c r="L156" t="s">
        <v>44</v>
      </c>
      <c r="M156" t="s">
        <v>988</v>
      </c>
      <c r="N156" t="s">
        <v>244</v>
      </c>
      <c r="O156" t="s">
        <v>62</v>
      </c>
      <c r="P156" t="s">
        <v>989</v>
      </c>
      <c r="Q156" t="s">
        <v>116</v>
      </c>
      <c r="R156" t="s">
        <v>990</v>
      </c>
      <c r="S156">
        <v>21.19</v>
      </c>
      <c r="T156">
        <v>31467</v>
      </c>
      <c r="U156">
        <v>0</v>
      </c>
      <c r="V156">
        <v>31467</v>
      </c>
    </row>
    <row r="157" spans="1:22" x14ac:dyDescent="0.3">
      <c r="A157">
        <v>15741</v>
      </c>
      <c r="B157">
        <v>139020347</v>
      </c>
      <c r="C157" t="s">
        <v>991</v>
      </c>
      <c r="D157" t="s">
        <v>992</v>
      </c>
      <c r="E157" t="s">
        <v>241</v>
      </c>
      <c r="G157" t="s">
        <v>41</v>
      </c>
      <c r="H157" t="s">
        <v>42</v>
      </c>
      <c r="I157" t="s">
        <v>34</v>
      </c>
      <c r="J157" t="s">
        <v>74</v>
      </c>
      <c r="K157" t="s">
        <v>43</v>
      </c>
      <c r="L157" t="s">
        <v>44</v>
      </c>
      <c r="M157" t="s">
        <v>993</v>
      </c>
      <c r="N157" t="s">
        <v>244</v>
      </c>
      <c r="O157" t="s">
        <v>62</v>
      </c>
      <c r="P157" t="s">
        <v>994</v>
      </c>
      <c r="Q157" t="s">
        <v>124</v>
      </c>
      <c r="R157" t="s">
        <v>164</v>
      </c>
      <c r="S157">
        <v>0.1</v>
      </c>
      <c r="T157">
        <v>3927</v>
      </c>
      <c r="U157">
        <v>1649.94</v>
      </c>
      <c r="V157">
        <v>5576.9400000000005</v>
      </c>
    </row>
    <row r="158" spans="1:22" x14ac:dyDescent="0.3">
      <c r="A158">
        <v>15741</v>
      </c>
      <c r="B158">
        <v>139115400</v>
      </c>
      <c r="C158" t="s">
        <v>995</v>
      </c>
      <c r="D158" t="s">
        <v>996</v>
      </c>
      <c r="E158" t="s">
        <v>241</v>
      </c>
      <c r="G158" t="s">
        <v>41</v>
      </c>
      <c r="H158" t="s">
        <v>42</v>
      </c>
      <c r="I158" t="s">
        <v>34</v>
      </c>
      <c r="J158" t="s">
        <v>74</v>
      </c>
      <c r="K158" t="s">
        <v>43</v>
      </c>
      <c r="L158" t="s">
        <v>44</v>
      </c>
      <c r="M158" t="s">
        <v>997</v>
      </c>
      <c r="N158" t="s">
        <v>244</v>
      </c>
      <c r="O158" t="s">
        <v>62</v>
      </c>
      <c r="P158" t="s">
        <v>998</v>
      </c>
      <c r="Q158" t="s">
        <v>81</v>
      </c>
      <c r="R158" t="s">
        <v>191</v>
      </c>
      <c r="S158">
        <v>10.59</v>
      </c>
      <c r="T158">
        <v>13380</v>
      </c>
      <c r="U158">
        <v>0</v>
      </c>
      <c r="V158">
        <v>13380</v>
      </c>
    </row>
    <row r="159" spans="1:22" x14ac:dyDescent="0.3">
      <c r="A159">
        <v>15741</v>
      </c>
      <c r="B159">
        <v>139021796</v>
      </c>
      <c r="C159" t="s">
        <v>999</v>
      </c>
      <c r="D159" t="s">
        <v>1000</v>
      </c>
      <c r="E159" t="s">
        <v>241</v>
      </c>
      <c r="G159" t="s">
        <v>41</v>
      </c>
      <c r="H159" t="s">
        <v>42</v>
      </c>
      <c r="I159" t="s">
        <v>34</v>
      </c>
      <c r="J159" t="s">
        <v>74</v>
      </c>
      <c r="K159" t="s">
        <v>43</v>
      </c>
      <c r="L159" t="s">
        <v>44</v>
      </c>
      <c r="M159" t="s">
        <v>1001</v>
      </c>
      <c r="N159" t="s">
        <v>244</v>
      </c>
      <c r="O159" t="s">
        <v>62</v>
      </c>
      <c r="P159" t="s">
        <v>1002</v>
      </c>
      <c r="Q159" t="s">
        <v>121</v>
      </c>
      <c r="R159" t="s">
        <v>165</v>
      </c>
      <c r="S159">
        <v>76.39</v>
      </c>
      <c r="T159">
        <v>33040</v>
      </c>
      <c r="U159">
        <v>7499.94</v>
      </c>
      <c r="V159">
        <v>40539.94</v>
      </c>
    </row>
    <row r="160" spans="1:22" x14ac:dyDescent="0.3">
      <c r="A160">
        <v>15741</v>
      </c>
      <c r="B160">
        <v>138958220</v>
      </c>
      <c r="C160" t="s">
        <v>1003</v>
      </c>
      <c r="D160" t="s">
        <v>1004</v>
      </c>
      <c r="E160" t="s">
        <v>241</v>
      </c>
      <c r="G160" t="s">
        <v>41</v>
      </c>
      <c r="H160" t="s">
        <v>42</v>
      </c>
      <c r="I160" t="s">
        <v>34</v>
      </c>
      <c r="J160" t="s">
        <v>74</v>
      </c>
      <c r="K160" t="s">
        <v>43</v>
      </c>
      <c r="L160" t="s">
        <v>44</v>
      </c>
      <c r="M160" t="s">
        <v>1005</v>
      </c>
      <c r="N160" t="s">
        <v>244</v>
      </c>
      <c r="O160" t="s">
        <v>62</v>
      </c>
      <c r="P160" t="s">
        <v>1006</v>
      </c>
      <c r="Q160" t="s">
        <v>135</v>
      </c>
      <c r="R160" t="s">
        <v>1007</v>
      </c>
      <c r="S160">
        <v>12.73</v>
      </c>
      <c r="T160">
        <v>5943</v>
      </c>
      <c r="U160">
        <v>0</v>
      </c>
      <c r="V160">
        <v>5943</v>
      </c>
    </row>
    <row r="161" spans="1:22" x14ac:dyDescent="0.3">
      <c r="A161">
        <v>15741</v>
      </c>
      <c r="B161">
        <v>138925403</v>
      </c>
      <c r="C161" t="s">
        <v>1008</v>
      </c>
      <c r="D161" t="s">
        <v>1009</v>
      </c>
      <c r="E161" t="s">
        <v>241</v>
      </c>
      <c r="G161" t="s">
        <v>41</v>
      </c>
      <c r="H161" t="s">
        <v>42</v>
      </c>
      <c r="I161" t="s">
        <v>34</v>
      </c>
      <c r="J161" t="s">
        <v>74</v>
      </c>
      <c r="K161" t="s">
        <v>43</v>
      </c>
      <c r="L161" t="s">
        <v>44</v>
      </c>
      <c r="M161" t="s">
        <v>1010</v>
      </c>
      <c r="N161" t="s">
        <v>244</v>
      </c>
      <c r="O161" t="s">
        <v>62</v>
      </c>
      <c r="P161" t="s">
        <v>1011</v>
      </c>
      <c r="Q161" t="s">
        <v>121</v>
      </c>
      <c r="R161" t="s">
        <v>174</v>
      </c>
      <c r="S161">
        <v>10.47</v>
      </c>
      <c r="T161">
        <v>5943</v>
      </c>
      <c r="U161">
        <v>0</v>
      </c>
      <c r="V161">
        <v>5943</v>
      </c>
    </row>
    <row r="162" spans="1:22" x14ac:dyDescent="0.3">
      <c r="A162">
        <v>15741</v>
      </c>
      <c r="B162">
        <v>138958463</v>
      </c>
      <c r="C162" t="s">
        <v>1012</v>
      </c>
      <c r="D162" t="s">
        <v>1013</v>
      </c>
      <c r="E162" t="s">
        <v>241</v>
      </c>
      <c r="G162" t="s">
        <v>41</v>
      </c>
      <c r="H162" t="s">
        <v>42</v>
      </c>
      <c r="I162" t="s">
        <v>34</v>
      </c>
      <c r="J162" t="s">
        <v>74</v>
      </c>
      <c r="K162" t="s">
        <v>43</v>
      </c>
      <c r="L162" t="s">
        <v>44</v>
      </c>
      <c r="M162" t="s">
        <v>1014</v>
      </c>
      <c r="N162" t="s">
        <v>244</v>
      </c>
      <c r="O162" t="s">
        <v>62</v>
      </c>
      <c r="P162" t="s">
        <v>1015</v>
      </c>
      <c r="Q162" t="s">
        <v>61</v>
      </c>
      <c r="R162" t="s">
        <v>207</v>
      </c>
      <c r="S162">
        <v>214.96</v>
      </c>
      <c r="T162">
        <v>82351</v>
      </c>
      <c r="U162">
        <v>5399.94</v>
      </c>
      <c r="V162">
        <v>87750.94</v>
      </c>
    </row>
    <row r="163" spans="1:22" x14ac:dyDescent="0.3">
      <c r="A163">
        <v>15741</v>
      </c>
      <c r="B163">
        <v>138985117</v>
      </c>
      <c r="C163" t="s">
        <v>1016</v>
      </c>
      <c r="D163" t="s">
        <v>1017</v>
      </c>
      <c r="E163" t="s">
        <v>241</v>
      </c>
      <c r="G163" t="s">
        <v>41</v>
      </c>
      <c r="H163" t="s">
        <v>42</v>
      </c>
      <c r="I163" t="s">
        <v>34</v>
      </c>
      <c r="J163" t="s">
        <v>74</v>
      </c>
      <c r="K163" t="s">
        <v>43</v>
      </c>
      <c r="L163" t="s">
        <v>44</v>
      </c>
      <c r="M163" t="s">
        <v>1018</v>
      </c>
      <c r="N163" t="s">
        <v>244</v>
      </c>
      <c r="O163" t="s">
        <v>62</v>
      </c>
      <c r="P163" t="s">
        <v>1019</v>
      </c>
      <c r="Q163" t="s">
        <v>111</v>
      </c>
      <c r="R163" t="s">
        <v>1020</v>
      </c>
      <c r="S163">
        <v>36.22</v>
      </c>
      <c r="T163">
        <v>28704</v>
      </c>
      <c r="U163">
        <v>2159.94</v>
      </c>
      <c r="V163">
        <v>30863.94</v>
      </c>
    </row>
    <row r="164" spans="1:22" x14ac:dyDescent="0.3">
      <c r="A164">
        <v>15741</v>
      </c>
      <c r="B164">
        <v>138949891</v>
      </c>
      <c r="C164" t="s">
        <v>1021</v>
      </c>
      <c r="D164" t="s">
        <v>1022</v>
      </c>
      <c r="E164" t="s">
        <v>241</v>
      </c>
      <c r="G164" t="s">
        <v>41</v>
      </c>
      <c r="H164" t="s">
        <v>42</v>
      </c>
      <c r="I164" t="s">
        <v>34</v>
      </c>
      <c r="J164" t="s">
        <v>74</v>
      </c>
      <c r="K164" t="s">
        <v>43</v>
      </c>
      <c r="L164" t="s">
        <v>44</v>
      </c>
      <c r="M164" t="s">
        <v>1023</v>
      </c>
      <c r="N164" t="s">
        <v>244</v>
      </c>
      <c r="O164" t="s">
        <v>62</v>
      </c>
      <c r="P164" t="s">
        <v>1024</v>
      </c>
      <c r="Q164" t="s">
        <v>46</v>
      </c>
      <c r="R164" t="s">
        <v>196</v>
      </c>
      <c r="S164">
        <v>54.51</v>
      </c>
      <c r="T164">
        <v>43967</v>
      </c>
      <c r="U164">
        <v>2339.94</v>
      </c>
      <c r="V164">
        <v>46306.94</v>
      </c>
    </row>
    <row r="165" spans="1:22" x14ac:dyDescent="0.3">
      <c r="A165">
        <v>15741</v>
      </c>
      <c r="B165">
        <v>138924980</v>
      </c>
      <c r="C165" t="s">
        <v>1025</v>
      </c>
      <c r="D165" t="s">
        <v>1026</v>
      </c>
      <c r="E165" t="s">
        <v>241</v>
      </c>
      <c r="G165" t="s">
        <v>41</v>
      </c>
      <c r="H165" t="s">
        <v>42</v>
      </c>
      <c r="I165" t="s">
        <v>34</v>
      </c>
      <c r="J165" t="s">
        <v>74</v>
      </c>
      <c r="K165" t="s">
        <v>43</v>
      </c>
      <c r="L165" t="s">
        <v>44</v>
      </c>
      <c r="M165" t="s">
        <v>798</v>
      </c>
      <c r="N165" t="s">
        <v>244</v>
      </c>
      <c r="O165" t="s">
        <v>62</v>
      </c>
      <c r="P165" t="s">
        <v>799</v>
      </c>
      <c r="Q165" t="s">
        <v>121</v>
      </c>
      <c r="R165" t="s">
        <v>194</v>
      </c>
      <c r="S165">
        <v>20.79</v>
      </c>
      <c r="T165">
        <v>8303</v>
      </c>
      <c r="U165">
        <v>0</v>
      </c>
      <c r="V165">
        <v>8303</v>
      </c>
    </row>
    <row r="166" spans="1:22" x14ac:dyDescent="0.3">
      <c r="A166">
        <v>15741</v>
      </c>
      <c r="B166">
        <v>138983601</v>
      </c>
      <c r="C166" t="s">
        <v>1027</v>
      </c>
      <c r="D166" t="s">
        <v>1028</v>
      </c>
      <c r="E166" t="s">
        <v>241</v>
      </c>
      <c r="G166" t="s">
        <v>41</v>
      </c>
      <c r="H166" t="s">
        <v>42</v>
      </c>
      <c r="I166" t="s">
        <v>34</v>
      </c>
      <c r="J166" t="s">
        <v>74</v>
      </c>
      <c r="K166" t="s">
        <v>43</v>
      </c>
      <c r="L166" t="s">
        <v>44</v>
      </c>
      <c r="M166" t="s">
        <v>1029</v>
      </c>
      <c r="N166" t="s">
        <v>244</v>
      </c>
      <c r="O166" t="s">
        <v>62</v>
      </c>
      <c r="P166" t="s">
        <v>1030</v>
      </c>
      <c r="Q166" t="s">
        <v>67</v>
      </c>
      <c r="R166" t="s">
        <v>171</v>
      </c>
      <c r="S166">
        <v>72.16</v>
      </c>
      <c r="T166">
        <v>53411</v>
      </c>
      <c r="U166">
        <v>2159.94</v>
      </c>
      <c r="V166">
        <v>55570.94</v>
      </c>
    </row>
    <row r="167" spans="1:22" x14ac:dyDescent="0.3">
      <c r="A167">
        <v>15741</v>
      </c>
      <c r="B167">
        <v>138925351</v>
      </c>
      <c r="C167" t="s">
        <v>1031</v>
      </c>
      <c r="D167" t="s">
        <v>1032</v>
      </c>
      <c r="E167" t="s">
        <v>241</v>
      </c>
      <c r="G167" t="s">
        <v>41</v>
      </c>
      <c r="H167" t="s">
        <v>42</v>
      </c>
      <c r="I167" t="s">
        <v>34</v>
      </c>
      <c r="J167" t="s">
        <v>74</v>
      </c>
      <c r="K167" t="s">
        <v>43</v>
      </c>
      <c r="L167" t="s">
        <v>44</v>
      </c>
      <c r="M167" t="s">
        <v>1033</v>
      </c>
      <c r="N167" t="s">
        <v>244</v>
      </c>
      <c r="O167" t="s">
        <v>62</v>
      </c>
      <c r="P167" t="s">
        <v>1034</v>
      </c>
      <c r="Q167" t="s">
        <v>127</v>
      </c>
      <c r="R167" t="s">
        <v>1035</v>
      </c>
      <c r="S167">
        <v>2.23</v>
      </c>
      <c r="T167">
        <v>4335</v>
      </c>
      <c r="U167">
        <v>0</v>
      </c>
      <c r="V167">
        <v>4335</v>
      </c>
    </row>
    <row r="168" spans="1:22" x14ac:dyDescent="0.3">
      <c r="A168">
        <v>15741</v>
      </c>
      <c r="B168">
        <v>138990870</v>
      </c>
      <c r="C168" t="s">
        <v>1036</v>
      </c>
      <c r="D168" t="s">
        <v>1037</v>
      </c>
      <c r="E168" t="s">
        <v>241</v>
      </c>
      <c r="G168" t="s">
        <v>41</v>
      </c>
      <c r="H168" t="s">
        <v>42</v>
      </c>
      <c r="I168" t="s">
        <v>34</v>
      </c>
      <c r="J168" t="s">
        <v>74</v>
      </c>
      <c r="K168" t="s">
        <v>43</v>
      </c>
      <c r="L168" t="s">
        <v>44</v>
      </c>
      <c r="M168" t="s">
        <v>1038</v>
      </c>
      <c r="N168" t="s">
        <v>244</v>
      </c>
      <c r="O168" t="s">
        <v>62</v>
      </c>
      <c r="P168" t="s">
        <v>1039</v>
      </c>
      <c r="Q168" t="s">
        <v>86</v>
      </c>
      <c r="R168" t="s">
        <v>1040</v>
      </c>
      <c r="S168">
        <v>353.81</v>
      </c>
      <c r="T168">
        <v>181886</v>
      </c>
      <c r="U168">
        <v>11159.88</v>
      </c>
      <c r="V168">
        <v>193045.88</v>
      </c>
    </row>
    <row r="169" spans="1:22" x14ac:dyDescent="0.3">
      <c r="A169">
        <v>15741</v>
      </c>
      <c r="B169">
        <v>138981204</v>
      </c>
      <c r="C169" t="s">
        <v>1041</v>
      </c>
      <c r="D169" t="s">
        <v>1042</v>
      </c>
      <c r="E169" t="s">
        <v>241</v>
      </c>
      <c r="G169" t="s">
        <v>41</v>
      </c>
      <c r="H169" t="s">
        <v>42</v>
      </c>
      <c r="I169" t="s">
        <v>34</v>
      </c>
      <c r="J169" t="s">
        <v>74</v>
      </c>
      <c r="K169" t="s">
        <v>43</v>
      </c>
      <c r="L169" t="s">
        <v>44</v>
      </c>
      <c r="M169" t="s">
        <v>1043</v>
      </c>
      <c r="N169" t="s">
        <v>244</v>
      </c>
      <c r="O169" t="s">
        <v>62</v>
      </c>
      <c r="P169" t="s">
        <v>1044</v>
      </c>
      <c r="Q169" t="s">
        <v>104</v>
      </c>
      <c r="R169" t="s">
        <v>1045</v>
      </c>
      <c r="S169">
        <v>76.39</v>
      </c>
      <c r="T169">
        <v>56969</v>
      </c>
      <c r="U169">
        <v>7109.87</v>
      </c>
      <c r="V169">
        <v>64078.87</v>
      </c>
    </row>
    <row r="170" spans="1:22" x14ac:dyDescent="0.3">
      <c r="A170">
        <v>15741</v>
      </c>
      <c r="B170">
        <v>138923712</v>
      </c>
      <c r="C170" t="s">
        <v>1046</v>
      </c>
      <c r="D170" t="s">
        <v>1047</v>
      </c>
      <c r="E170" t="s">
        <v>241</v>
      </c>
      <c r="G170" t="s">
        <v>41</v>
      </c>
      <c r="H170" t="s">
        <v>42</v>
      </c>
      <c r="I170" t="s">
        <v>34</v>
      </c>
      <c r="J170" t="s">
        <v>74</v>
      </c>
      <c r="K170" t="s">
        <v>43</v>
      </c>
      <c r="L170" t="s">
        <v>44</v>
      </c>
      <c r="M170" t="s">
        <v>1048</v>
      </c>
      <c r="N170" t="s">
        <v>244</v>
      </c>
      <c r="O170" t="s">
        <v>62</v>
      </c>
      <c r="P170" t="s">
        <v>1049</v>
      </c>
      <c r="Q170" t="s">
        <v>82</v>
      </c>
      <c r="R170" t="s">
        <v>208</v>
      </c>
      <c r="S170">
        <v>6.12</v>
      </c>
      <c r="T170">
        <v>5465</v>
      </c>
      <c r="U170">
        <v>0</v>
      </c>
      <c r="V170">
        <v>5465</v>
      </c>
    </row>
    <row r="171" spans="1:22" x14ac:dyDescent="0.3">
      <c r="A171">
        <v>15741</v>
      </c>
      <c r="B171">
        <v>138923464</v>
      </c>
      <c r="C171" t="s">
        <v>1050</v>
      </c>
      <c r="D171" t="s">
        <v>1051</v>
      </c>
      <c r="E171" t="s">
        <v>241</v>
      </c>
      <c r="G171" t="s">
        <v>41</v>
      </c>
      <c r="H171" t="s">
        <v>42</v>
      </c>
      <c r="I171" t="s">
        <v>34</v>
      </c>
      <c r="J171" t="s">
        <v>74</v>
      </c>
      <c r="K171" t="s">
        <v>43</v>
      </c>
      <c r="L171" t="s">
        <v>44</v>
      </c>
      <c r="M171" t="s">
        <v>1052</v>
      </c>
      <c r="N171" t="s">
        <v>244</v>
      </c>
      <c r="O171" t="s">
        <v>62</v>
      </c>
      <c r="P171" t="s">
        <v>1053</v>
      </c>
      <c r="Q171" t="s">
        <v>65</v>
      </c>
      <c r="R171" t="s">
        <v>220</v>
      </c>
      <c r="S171">
        <v>20.82</v>
      </c>
      <c r="T171">
        <v>13306</v>
      </c>
      <c r="U171">
        <v>0</v>
      </c>
      <c r="V171">
        <v>13306</v>
      </c>
    </row>
    <row r="172" spans="1:22" x14ac:dyDescent="0.3">
      <c r="A172">
        <v>15741</v>
      </c>
      <c r="B172">
        <v>138958556</v>
      </c>
      <c r="C172" t="s">
        <v>1054</v>
      </c>
      <c r="D172" t="s">
        <v>1055</v>
      </c>
      <c r="E172" t="s">
        <v>241</v>
      </c>
      <c r="G172" t="s">
        <v>41</v>
      </c>
      <c r="H172" t="s">
        <v>42</v>
      </c>
      <c r="I172" t="s">
        <v>34</v>
      </c>
      <c r="J172" t="s">
        <v>74</v>
      </c>
      <c r="K172" t="s">
        <v>43</v>
      </c>
      <c r="L172" t="s">
        <v>44</v>
      </c>
      <c r="M172" t="s">
        <v>1056</v>
      </c>
      <c r="N172" t="s">
        <v>244</v>
      </c>
      <c r="O172" t="s">
        <v>62</v>
      </c>
      <c r="P172" t="s">
        <v>1057</v>
      </c>
      <c r="Q172" t="s">
        <v>69</v>
      </c>
      <c r="R172" t="s">
        <v>1058</v>
      </c>
      <c r="S172">
        <v>10.54</v>
      </c>
      <c r="T172">
        <v>5943</v>
      </c>
      <c r="U172">
        <v>0</v>
      </c>
      <c r="V172">
        <v>5943</v>
      </c>
    </row>
    <row r="173" spans="1:22" x14ac:dyDescent="0.3">
      <c r="A173">
        <v>15741</v>
      </c>
      <c r="B173">
        <v>138923804</v>
      </c>
      <c r="C173" t="s">
        <v>1059</v>
      </c>
      <c r="D173" t="s">
        <v>1060</v>
      </c>
      <c r="E173" t="s">
        <v>241</v>
      </c>
      <c r="G173" t="s">
        <v>41</v>
      </c>
      <c r="H173" t="s">
        <v>42</v>
      </c>
      <c r="I173" t="s">
        <v>34</v>
      </c>
      <c r="J173" t="s">
        <v>74</v>
      </c>
      <c r="K173" t="s">
        <v>43</v>
      </c>
      <c r="L173" t="s">
        <v>44</v>
      </c>
      <c r="M173" t="s">
        <v>1061</v>
      </c>
      <c r="N173" t="s">
        <v>244</v>
      </c>
      <c r="O173" t="s">
        <v>62</v>
      </c>
      <c r="P173" t="s">
        <v>1062</v>
      </c>
      <c r="Q173" t="s">
        <v>55</v>
      </c>
      <c r="R173" t="s">
        <v>1063</v>
      </c>
      <c r="S173">
        <v>88.02</v>
      </c>
      <c r="T173">
        <v>37948</v>
      </c>
      <c r="U173">
        <v>3059.76</v>
      </c>
      <c r="V173">
        <v>41007.760000000002</v>
      </c>
    </row>
    <row r="174" spans="1:22" x14ac:dyDescent="0.3">
      <c r="A174">
        <v>15741</v>
      </c>
      <c r="B174">
        <v>139505414</v>
      </c>
      <c r="C174" t="s">
        <v>1064</v>
      </c>
      <c r="D174" t="s">
        <v>1065</v>
      </c>
      <c r="E174" t="s">
        <v>241</v>
      </c>
      <c r="G174" t="s">
        <v>41</v>
      </c>
      <c r="H174" t="s">
        <v>42</v>
      </c>
      <c r="I174" t="s">
        <v>34</v>
      </c>
      <c r="J174" t="s">
        <v>74</v>
      </c>
      <c r="K174" t="s">
        <v>43</v>
      </c>
      <c r="L174" t="s">
        <v>44</v>
      </c>
      <c r="M174" t="s">
        <v>1066</v>
      </c>
      <c r="N174" t="s">
        <v>244</v>
      </c>
      <c r="O174" t="s">
        <v>62</v>
      </c>
      <c r="P174" t="s">
        <v>1067</v>
      </c>
      <c r="Q174" t="s">
        <v>68</v>
      </c>
      <c r="R174" t="s">
        <v>1068</v>
      </c>
      <c r="S174">
        <v>0.93</v>
      </c>
      <c r="T174">
        <v>6146</v>
      </c>
      <c r="U174">
        <v>0</v>
      </c>
      <c r="V174">
        <v>6146</v>
      </c>
    </row>
    <row r="175" spans="1:22" x14ac:dyDescent="0.3">
      <c r="A175">
        <v>15741</v>
      </c>
      <c r="B175">
        <v>139507640</v>
      </c>
      <c r="C175" t="s">
        <v>1069</v>
      </c>
      <c r="D175" t="s">
        <v>1070</v>
      </c>
      <c r="E175" t="s">
        <v>241</v>
      </c>
      <c r="G175" t="s">
        <v>41</v>
      </c>
      <c r="H175" t="s">
        <v>42</v>
      </c>
      <c r="I175" t="s">
        <v>34</v>
      </c>
      <c r="J175" t="s">
        <v>74</v>
      </c>
      <c r="K175" t="s">
        <v>43</v>
      </c>
      <c r="L175" t="s">
        <v>44</v>
      </c>
      <c r="M175" t="s">
        <v>1071</v>
      </c>
      <c r="N175" t="s">
        <v>244</v>
      </c>
      <c r="O175" t="s">
        <v>62</v>
      </c>
      <c r="P175" t="s">
        <v>1072</v>
      </c>
      <c r="Q175" t="s">
        <v>100</v>
      </c>
      <c r="R175" t="s">
        <v>1073</v>
      </c>
      <c r="S175">
        <v>43.53</v>
      </c>
      <c r="T175">
        <v>45861</v>
      </c>
      <c r="U175">
        <v>689.94</v>
      </c>
      <c r="V175">
        <v>46550.94</v>
      </c>
    </row>
    <row r="176" spans="1:22" x14ac:dyDescent="0.3">
      <c r="A176">
        <v>15741</v>
      </c>
      <c r="B176">
        <v>139577836</v>
      </c>
      <c r="C176" t="s">
        <v>1074</v>
      </c>
      <c r="D176" t="s">
        <v>1075</v>
      </c>
      <c r="E176" t="s">
        <v>241</v>
      </c>
      <c r="G176" t="s">
        <v>41</v>
      </c>
      <c r="H176" t="s">
        <v>42</v>
      </c>
      <c r="I176" t="s">
        <v>34</v>
      </c>
      <c r="J176" t="s">
        <v>74</v>
      </c>
      <c r="K176" t="s">
        <v>43</v>
      </c>
      <c r="L176" t="s">
        <v>44</v>
      </c>
      <c r="M176" t="s">
        <v>1076</v>
      </c>
      <c r="N176" t="s">
        <v>244</v>
      </c>
      <c r="O176" t="s">
        <v>62</v>
      </c>
      <c r="P176" t="s">
        <v>1077</v>
      </c>
      <c r="Q176" t="s">
        <v>78</v>
      </c>
      <c r="R176" t="s">
        <v>1078</v>
      </c>
      <c r="S176">
        <v>13.06</v>
      </c>
      <c r="T176">
        <v>5943</v>
      </c>
      <c r="U176">
        <v>0</v>
      </c>
      <c r="V176">
        <v>5943</v>
      </c>
    </row>
    <row r="177" spans="1:22" x14ac:dyDescent="0.3">
      <c r="A177">
        <v>15741</v>
      </c>
      <c r="B177">
        <v>139500027</v>
      </c>
      <c r="C177" t="s">
        <v>1079</v>
      </c>
      <c r="D177" t="s">
        <v>1080</v>
      </c>
      <c r="E177" t="s">
        <v>241</v>
      </c>
      <c r="G177" t="s">
        <v>41</v>
      </c>
      <c r="H177" t="s">
        <v>42</v>
      </c>
      <c r="I177" t="s">
        <v>34</v>
      </c>
      <c r="J177" t="s">
        <v>74</v>
      </c>
      <c r="K177" t="s">
        <v>43</v>
      </c>
      <c r="L177" t="s">
        <v>44</v>
      </c>
      <c r="M177" t="s">
        <v>1081</v>
      </c>
      <c r="N177" t="s">
        <v>244</v>
      </c>
      <c r="O177" t="s">
        <v>62</v>
      </c>
      <c r="P177" t="s">
        <v>1082</v>
      </c>
      <c r="Q177" t="s">
        <v>101</v>
      </c>
      <c r="R177" t="s">
        <v>1083</v>
      </c>
      <c r="S177">
        <v>8.44</v>
      </c>
      <c r="T177">
        <v>16298</v>
      </c>
      <c r="U177">
        <v>539.94000000000005</v>
      </c>
      <c r="V177">
        <v>16837.939999999999</v>
      </c>
    </row>
    <row r="178" spans="1:22" x14ac:dyDescent="0.3">
      <c r="A178">
        <v>15741</v>
      </c>
      <c r="B178">
        <v>139438613</v>
      </c>
      <c r="C178" t="s">
        <v>1084</v>
      </c>
      <c r="D178" t="s">
        <v>1085</v>
      </c>
      <c r="E178" t="s">
        <v>241</v>
      </c>
      <c r="G178" t="s">
        <v>41</v>
      </c>
      <c r="H178" t="s">
        <v>42</v>
      </c>
      <c r="I178" t="s">
        <v>34</v>
      </c>
      <c r="J178" t="s">
        <v>74</v>
      </c>
      <c r="K178" t="s">
        <v>43</v>
      </c>
      <c r="L178" t="s">
        <v>44</v>
      </c>
      <c r="M178" t="s">
        <v>1086</v>
      </c>
      <c r="N178" t="s">
        <v>244</v>
      </c>
      <c r="O178" t="s">
        <v>62</v>
      </c>
      <c r="P178" t="s">
        <v>1087</v>
      </c>
      <c r="Q178" t="s">
        <v>82</v>
      </c>
      <c r="R178" t="s">
        <v>156</v>
      </c>
      <c r="S178">
        <v>20.51</v>
      </c>
      <c r="T178">
        <v>8303</v>
      </c>
      <c r="U178">
        <v>1439.94</v>
      </c>
      <c r="V178">
        <v>9742.94</v>
      </c>
    </row>
    <row r="179" spans="1:22" x14ac:dyDescent="0.3">
      <c r="A179">
        <v>15741</v>
      </c>
      <c r="B179">
        <v>139523267</v>
      </c>
      <c r="C179" t="s">
        <v>1088</v>
      </c>
      <c r="D179" t="s">
        <v>1089</v>
      </c>
      <c r="E179" t="s">
        <v>241</v>
      </c>
      <c r="G179" t="s">
        <v>41</v>
      </c>
      <c r="H179" t="s">
        <v>42</v>
      </c>
      <c r="I179" t="s">
        <v>34</v>
      </c>
      <c r="J179" t="s">
        <v>74</v>
      </c>
      <c r="K179" t="s">
        <v>43</v>
      </c>
      <c r="L179" t="s">
        <v>44</v>
      </c>
      <c r="M179" t="s">
        <v>1090</v>
      </c>
      <c r="N179" t="s">
        <v>244</v>
      </c>
      <c r="O179" t="s">
        <v>62</v>
      </c>
      <c r="P179" t="s">
        <v>1091</v>
      </c>
      <c r="Q179" t="s">
        <v>147</v>
      </c>
      <c r="R179" t="s">
        <v>221</v>
      </c>
      <c r="S179">
        <v>28.37</v>
      </c>
      <c r="T179">
        <v>43534</v>
      </c>
      <c r="U179">
        <v>899.94</v>
      </c>
      <c r="V179">
        <v>44433.94</v>
      </c>
    </row>
    <row r="180" spans="1:22" x14ac:dyDescent="0.3">
      <c r="A180">
        <v>15741</v>
      </c>
      <c r="B180">
        <v>139488063</v>
      </c>
      <c r="C180" t="s">
        <v>1092</v>
      </c>
      <c r="D180" t="s">
        <v>1093</v>
      </c>
      <c r="E180" t="s">
        <v>241</v>
      </c>
      <c r="G180" t="s">
        <v>41</v>
      </c>
      <c r="H180" t="s">
        <v>42</v>
      </c>
      <c r="I180" t="s">
        <v>34</v>
      </c>
      <c r="J180" t="s">
        <v>74</v>
      </c>
      <c r="K180" t="s">
        <v>43</v>
      </c>
      <c r="L180" t="s">
        <v>44</v>
      </c>
      <c r="M180" t="s">
        <v>1094</v>
      </c>
      <c r="N180" t="s">
        <v>244</v>
      </c>
      <c r="O180" t="s">
        <v>62</v>
      </c>
      <c r="P180" t="s">
        <v>1095</v>
      </c>
      <c r="Q180" t="s">
        <v>99</v>
      </c>
      <c r="R180" t="s">
        <v>133</v>
      </c>
      <c r="S180">
        <v>10.91</v>
      </c>
      <c r="T180">
        <v>18067</v>
      </c>
      <c r="U180">
        <v>599.94000000000005</v>
      </c>
      <c r="V180">
        <v>18666.939999999999</v>
      </c>
    </row>
    <row r="181" spans="1:22" x14ac:dyDescent="0.3">
      <c r="A181">
        <v>15741</v>
      </c>
      <c r="B181">
        <v>139458028</v>
      </c>
      <c r="C181" t="s">
        <v>1096</v>
      </c>
      <c r="D181" t="s">
        <v>1097</v>
      </c>
      <c r="E181" t="s">
        <v>241</v>
      </c>
      <c r="G181" t="s">
        <v>41</v>
      </c>
      <c r="H181" t="s">
        <v>42</v>
      </c>
      <c r="I181" t="s">
        <v>34</v>
      </c>
      <c r="J181" t="s">
        <v>74</v>
      </c>
      <c r="K181" t="s">
        <v>43</v>
      </c>
      <c r="L181" t="s">
        <v>44</v>
      </c>
      <c r="M181" t="s">
        <v>1098</v>
      </c>
      <c r="N181" t="s">
        <v>244</v>
      </c>
      <c r="O181" t="s">
        <v>62</v>
      </c>
      <c r="P181" t="s">
        <v>1099</v>
      </c>
      <c r="Q181" t="s">
        <v>77</v>
      </c>
      <c r="R181" t="s">
        <v>1100</v>
      </c>
      <c r="S181">
        <v>1.42</v>
      </c>
      <c r="T181">
        <v>8391</v>
      </c>
      <c r="U181">
        <v>0</v>
      </c>
      <c r="V181">
        <v>8391</v>
      </c>
    </row>
    <row r="182" spans="1:22" x14ac:dyDescent="0.3">
      <c r="A182">
        <v>15741</v>
      </c>
      <c r="B182">
        <v>139438366</v>
      </c>
      <c r="C182" t="s">
        <v>1101</v>
      </c>
      <c r="D182" t="s">
        <v>1102</v>
      </c>
      <c r="E182" t="s">
        <v>241</v>
      </c>
      <c r="G182" t="s">
        <v>41</v>
      </c>
      <c r="H182" t="s">
        <v>42</v>
      </c>
      <c r="I182" t="s">
        <v>34</v>
      </c>
      <c r="J182" t="s">
        <v>74</v>
      </c>
      <c r="K182" t="s">
        <v>43</v>
      </c>
      <c r="L182" t="s">
        <v>44</v>
      </c>
      <c r="M182" t="s">
        <v>1103</v>
      </c>
      <c r="N182" t="s">
        <v>244</v>
      </c>
      <c r="O182" t="s">
        <v>62</v>
      </c>
      <c r="P182" t="s">
        <v>1104</v>
      </c>
      <c r="Q182" t="s">
        <v>78</v>
      </c>
      <c r="R182" t="s">
        <v>155</v>
      </c>
      <c r="S182">
        <v>69.23</v>
      </c>
      <c r="T182">
        <v>30177</v>
      </c>
      <c r="U182">
        <v>1199.94</v>
      </c>
      <c r="V182">
        <v>31376.94</v>
      </c>
    </row>
    <row r="183" spans="1:22" x14ac:dyDescent="0.3">
      <c r="A183">
        <v>15741</v>
      </c>
      <c r="B183">
        <v>139488148</v>
      </c>
      <c r="C183" t="s">
        <v>1105</v>
      </c>
      <c r="D183" t="s">
        <v>1106</v>
      </c>
      <c r="E183" t="s">
        <v>241</v>
      </c>
      <c r="G183" t="s">
        <v>41</v>
      </c>
      <c r="H183" t="s">
        <v>42</v>
      </c>
      <c r="I183" t="s">
        <v>34</v>
      </c>
      <c r="J183" t="s">
        <v>74</v>
      </c>
      <c r="K183" t="s">
        <v>43</v>
      </c>
      <c r="L183" t="s">
        <v>44</v>
      </c>
      <c r="M183" t="s">
        <v>1107</v>
      </c>
      <c r="N183" t="s">
        <v>244</v>
      </c>
      <c r="O183" t="s">
        <v>62</v>
      </c>
      <c r="P183" t="s">
        <v>1108</v>
      </c>
      <c r="Q183" t="s">
        <v>69</v>
      </c>
      <c r="R183" t="s">
        <v>216</v>
      </c>
      <c r="S183">
        <v>10.56</v>
      </c>
      <c r="T183">
        <v>5943</v>
      </c>
      <c r="U183">
        <v>0</v>
      </c>
      <c r="V183">
        <v>5943</v>
      </c>
    </row>
    <row r="184" spans="1:22" x14ac:dyDescent="0.3">
      <c r="A184">
        <v>15741</v>
      </c>
      <c r="B184">
        <v>138477285</v>
      </c>
      <c r="C184" t="s">
        <v>1109</v>
      </c>
      <c r="D184" t="s">
        <v>1110</v>
      </c>
      <c r="E184" t="s">
        <v>241</v>
      </c>
      <c r="G184" t="s">
        <v>41</v>
      </c>
      <c r="H184" t="s">
        <v>42</v>
      </c>
      <c r="I184" t="s">
        <v>34</v>
      </c>
      <c r="J184" t="s">
        <v>74</v>
      </c>
      <c r="K184" t="s">
        <v>142</v>
      </c>
      <c r="L184" t="s">
        <v>1111</v>
      </c>
      <c r="M184" t="s">
        <v>548</v>
      </c>
      <c r="N184" t="s">
        <v>244</v>
      </c>
      <c r="O184" t="s">
        <v>62</v>
      </c>
      <c r="P184" t="s">
        <v>1112</v>
      </c>
      <c r="Q184" t="s">
        <v>146</v>
      </c>
      <c r="R184" t="s">
        <v>1113</v>
      </c>
      <c r="S184">
        <v>20.74</v>
      </c>
      <c r="T184">
        <v>15903</v>
      </c>
      <c r="U184">
        <v>3599.94</v>
      </c>
      <c r="V184">
        <v>19502.939999999999</v>
      </c>
    </row>
    <row r="185" spans="1:22" x14ac:dyDescent="0.3">
      <c r="A185">
        <v>15741</v>
      </c>
      <c r="B185">
        <v>138470051</v>
      </c>
      <c r="C185" t="s">
        <v>1114</v>
      </c>
      <c r="D185" t="s">
        <v>1115</v>
      </c>
      <c r="E185" t="s">
        <v>241</v>
      </c>
      <c r="G185" t="s">
        <v>41</v>
      </c>
      <c r="H185" t="s">
        <v>42</v>
      </c>
      <c r="I185" t="s">
        <v>34</v>
      </c>
      <c r="J185" t="s">
        <v>74</v>
      </c>
      <c r="K185" t="s">
        <v>71</v>
      </c>
      <c r="L185" t="s">
        <v>72</v>
      </c>
      <c r="M185" t="s">
        <v>1116</v>
      </c>
      <c r="N185" t="s">
        <v>244</v>
      </c>
      <c r="O185" t="s">
        <v>62</v>
      </c>
      <c r="P185" t="s">
        <v>1117</v>
      </c>
      <c r="Q185" t="s">
        <v>128</v>
      </c>
      <c r="R185" t="s">
        <v>1118</v>
      </c>
      <c r="S185">
        <v>31.51</v>
      </c>
      <c r="T185">
        <v>13499</v>
      </c>
      <c r="U185">
        <v>1799.82</v>
      </c>
      <c r="V185">
        <v>15298.82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Michael Estepa</cp:lastModifiedBy>
  <cp:lastPrinted>2023-05-10T17:03:30Z</cp:lastPrinted>
  <dcterms:created xsi:type="dcterms:W3CDTF">2015-10-14T18:59:17Z</dcterms:created>
  <dcterms:modified xsi:type="dcterms:W3CDTF">2026-03-10T19:14:53Z</dcterms:modified>
</cp:coreProperties>
</file>