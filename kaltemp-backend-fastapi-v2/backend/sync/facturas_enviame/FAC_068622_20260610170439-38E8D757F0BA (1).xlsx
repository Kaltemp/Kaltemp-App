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5 Mayo\Detalles\"/>
    </mc:Choice>
  </mc:AlternateContent>
  <xr:revisionPtr revIDLastSave="0" documentId="8_{37B81316-8691-4101-96F8-A6104274686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Detalle!$A$1:$X$557725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2" l="1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19" i="2" l="1"/>
  <c r="E21" i="2" s="1"/>
  <c r="E22" i="2" s="1"/>
  <c r="D2" i="2"/>
</calcChain>
</file>

<file path=xl/sharedStrings.xml><?xml version="1.0" encoding="utf-8"?>
<sst xmlns="http://schemas.openxmlformats.org/spreadsheetml/2006/main" count="5073" uniqueCount="1694">
  <si>
    <t>IVA</t>
  </si>
  <si>
    <t>Total</t>
  </si>
  <si>
    <t>Envíos</t>
  </si>
  <si>
    <t>Facturación: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</si>
  <si>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</si>
  <si>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</si>
  <si>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</si>
  <si>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</si>
  <si>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</si>
  <si>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</si>
  <si>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</si>
  <si>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</si>
  <si>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</si>
  <si>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</si>
  <si>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</si>
  <si>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</si>
  <si>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</si>
  <si>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</si>
  <si>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</si>
  <si>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</si>
  <si>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</si>
  <si>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company_id</t>
  </si>
  <si>
    <t>precio</t>
  </si>
  <si>
    <t>total</t>
  </si>
  <si>
    <t>contract_type</t>
  </si>
  <si>
    <t>peso informado por carrier</t>
  </si>
  <si>
    <t>mkp</t>
  </si>
  <si>
    <t>carrier_service_name</t>
  </si>
  <si>
    <t>seguro</t>
  </si>
  <si>
    <t>Entregado</t>
  </si>
  <si>
    <t>Peñalolén</t>
  </si>
  <si>
    <t>Ñuñoa</t>
  </si>
  <si>
    <t>Colina</t>
  </si>
  <si>
    <t>Lo Barnechea</t>
  </si>
  <si>
    <t>Servicio Enviame Connect</t>
  </si>
  <si>
    <t>Servicio Enviame Connect Plus</t>
  </si>
  <si>
    <t>Servicio Enviame Distribucion</t>
  </si>
  <si>
    <t>Servicio Enviame Enviatrack</t>
  </si>
  <si>
    <t>Servicio Enviame Flex</t>
  </si>
  <si>
    <t>Servicio Enviame Marketcenter</t>
  </si>
  <si>
    <t>Servicio Enviame Mensajeria</t>
  </si>
  <si>
    <t>Servicio Enviame por Pagar</t>
  </si>
  <si>
    <t>Servicio Enviame Retiros</t>
  </si>
  <si>
    <t>Servicio Enviame Soporte Tecnico</t>
  </si>
  <si>
    <t>Sevicio Enviame Modelo Cross Dock</t>
  </si>
  <si>
    <t>Recoleta</t>
  </si>
  <si>
    <t>Santiago</t>
  </si>
  <si>
    <t>Maipú</t>
  </si>
  <si>
    <t>La Florida</t>
  </si>
  <si>
    <t>Macul</t>
  </si>
  <si>
    <t>Cerrillos</t>
  </si>
  <si>
    <t>Servicio</t>
  </si>
  <si>
    <t>Express</t>
  </si>
  <si>
    <t>BLUEXPRESS</t>
  </si>
  <si>
    <t>BLX</t>
  </si>
  <si>
    <t>ENTREGADO</t>
  </si>
  <si>
    <t>2026-04-27 09:47</t>
  </si>
  <si>
    <t>2026-05-18 09:56</t>
  </si>
  <si>
    <t>STARKEN</t>
  </si>
  <si>
    <t>SKN</t>
  </si>
  <si>
    <t>Normal</t>
  </si>
  <si>
    <t>Talcahuano</t>
  </si>
  <si>
    <t>Iquique</t>
  </si>
  <si>
    <t>Antofagasta</t>
  </si>
  <si>
    <t>Quilpué</t>
  </si>
  <si>
    <t>Ovalle</t>
  </si>
  <si>
    <t>Viña del Mar</t>
  </si>
  <si>
    <t>Los Ángeles</t>
  </si>
  <si>
    <t>San Bernardo</t>
  </si>
  <si>
    <t>Las Condes</t>
  </si>
  <si>
    <t>Puente Alto</t>
  </si>
  <si>
    <t>Huechuraba</t>
  </si>
  <si>
    <t>La Cisterna</t>
  </si>
  <si>
    <t>Conchalí</t>
  </si>
  <si>
    <t>Providencia</t>
  </si>
  <si>
    <t>Pudahuel</t>
  </si>
  <si>
    <t>San Miguel</t>
  </si>
  <si>
    <t>La Serena</t>
  </si>
  <si>
    <t>Valdivia</t>
  </si>
  <si>
    <t>Valparaíso</t>
  </si>
  <si>
    <t>Temuco</t>
  </si>
  <si>
    <t>Coquimbo</t>
  </si>
  <si>
    <t>Buin</t>
  </si>
  <si>
    <t>Vicuña</t>
  </si>
  <si>
    <t>San Fernando</t>
  </si>
  <si>
    <t>Rancagua</t>
  </si>
  <si>
    <t>Osorno</t>
  </si>
  <si>
    <t>Concón</t>
  </si>
  <si>
    <t>Pucón</t>
  </si>
  <si>
    <t>Talca</t>
  </si>
  <si>
    <t>Concepción</t>
  </si>
  <si>
    <t>Puerto Montt</t>
  </si>
  <si>
    <t>Curicó</t>
  </si>
  <si>
    <t>Chiguayante</t>
  </si>
  <si>
    <t>Lampa</t>
  </si>
  <si>
    <t>2026-05-04 13:53</t>
  </si>
  <si>
    <t>Requínoa</t>
  </si>
  <si>
    <t>Coronel</t>
  </si>
  <si>
    <t>Villa Alemana</t>
  </si>
  <si>
    <t>San Felipe</t>
  </si>
  <si>
    <t>Melipilla</t>
  </si>
  <si>
    <t>Curacaví</t>
  </si>
  <si>
    <t>Coyhaique</t>
  </si>
  <si>
    <t>Chillán</t>
  </si>
  <si>
    <t>2026-04-27 09:45</t>
  </si>
  <si>
    <t>Pinto</t>
  </si>
  <si>
    <t>2026-04-27 10:40</t>
  </si>
  <si>
    <t>2026-04-27 09:39</t>
  </si>
  <si>
    <t>San Carlos</t>
  </si>
  <si>
    <t>Pichilemu</t>
  </si>
  <si>
    <t>San Pedro de la Paz</t>
  </si>
  <si>
    <t>Casablanca</t>
  </si>
  <si>
    <t>Villarrica</t>
  </si>
  <si>
    <t>Lautaro</t>
  </si>
  <si>
    <t>San Antonio</t>
  </si>
  <si>
    <t>Puerto Varas</t>
  </si>
  <si>
    <t>Rengo</t>
  </si>
  <si>
    <t>Llanquihue</t>
  </si>
  <si>
    <t>Algarrobo</t>
  </si>
  <si>
    <t>San José de Maipo</t>
  </si>
  <si>
    <t>Frutillar</t>
  </si>
  <si>
    <t>San Pedro de Atacama</t>
  </si>
  <si>
    <t>Gorbea</t>
  </si>
  <si>
    <t>2026-05-05 17:27</t>
  </si>
  <si>
    <t>Purranque</t>
  </si>
  <si>
    <t>2026-05-22 09:36</t>
  </si>
  <si>
    <t>Codegua</t>
  </si>
  <si>
    <t>El Quisco</t>
  </si>
  <si>
    <t>2026-05-18 10:10</t>
  </si>
  <si>
    <t>2026-05-18 10:06</t>
  </si>
  <si>
    <t>2026-05-18 10:05</t>
  </si>
  <si>
    <t>2026-05-14 09:44</t>
  </si>
  <si>
    <t>2026-05-14 09:43</t>
  </si>
  <si>
    <t>Estación Central</t>
  </si>
  <si>
    <t>SameDay</t>
  </si>
  <si>
    <t>Quinta Normal</t>
  </si>
  <si>
    <t>En Reparto</t>
  </si>
  <si>
    <t>EN REPARTO</t>
  </si>
  <si>
    <t>Alto Hospicio</t>
  </si>
  <si>
    <t>Curacautín</t>
  </si>
  <si>
    <t>Quilicura</t>
  </si>
  <si>
    <t>Victoria</t>
  </si>
  <si>
    <t>Diego de Almagro</t>
  </si>
  <si>
    <t>Litueche</t>
  </si>
  <si>
    <t>2026-05-19 10:41</t>
  </si>
  <si>
    <t>Graneros</t>
  </si>
  <si>
    <t>2026-05-19 10:38</t>
  </si>
  <si>
    <t>Lota</t>
  </si>
  <si>
    <t>2026-05-19 10:36</t>
  </si>
  <si>
    <t>Río Bueno</t>
  </si>
  <si>
    <t>2026-05-18 10:44</t>
  </si>
  <si>
    <t>Padre Hurtado</t>
  </si>
  <si>
    <t>Lo Prado</t>
  </si>
  <si>
    <t>Vitacura</t>
  </si>
  <si>
    <t>Pedro Aguirre Cerda</t>
  </si>
  <si>
    <t>Pirque</t>
  </si>
  <si>
    <t>Tiltil</t>
  </si>
  <si>
    <t>La Reina</t>
  </si>
  <si>
    <t>2026-05-13 16:04</t>
  </si>
  <si>
    <t>2026-05-11 11:04</t>
  </si>
  <si>
    <t>La Granja</t>
  </si>
  <si>
    <t>San Ramón</t>
  </si>
  <si>
    <t>Consolidacion tracking MultiOS</t>
  </si>
  <si>
    <t>2026-05-19 10:48</t>
  </si>
  <si>
    <t>2026-05-18 10:45</t>
  </si>
  <si>
    <t>2026-05-14 09:55</t>
  </si>
  <si>
    <t>2026-05-11 10:45</t>
  </si>
  <si>
    <t>2026-05-11 10:43</t>
  </si>
  <si>
    <t>2026-05-11 10:46</t>
  </si>
  <si>
    <t>2026-05-11 10:48</t>
  </si>
  <si>
    <t>2026-05-08 10:02</t>
  </si>
  <si>
    <t>2026-05-05 10:30</t>
  </si>
  <si>
    <t>2026-05-11 10:37</t>
  </si>
  <si>
    <t>2026-05-18 09:52</t>
  </si>
  <si>
    <t>Kaltemp</t>
  </si>
  <si>
    <t>CONSTRUCTORA POCURO SPA / CRISTIAN ZUÑIGA</t>
  </si>
  <si>
    <t>Av. Américo Vespucio 400</t>
  </si>
  <si>
    <t>CIRCUNVALACION ALTOS LLANCOLEN N250</t>
  </si>
  <si>
    <t>Felix Pinaleo Farias</t>
  </si>
  <si>
    <t>CUADRO VERDE, TORRE H, 20</t>
  </si>
  <si>
    <t>NOMBRE RETIRA: EDUIN DUN D RUT RETIRA: 44616808-8</t>
  </si>
  <si>
    <t>María Camila Rojas Ramirez</t>
  </si>
  <si>
    <t>Oficina Pedro de Valdivia 228 condominio Rhodes</t>
  </si>
  <si>
    <t>servicio15052026</t>
  </si>
  <si>
    <t>NOMBRE RETIRA: EMILIO CABALLERO MARTINEZ RUT RETIRA: 15342857-3</t>
  </si>
  <si>
    <t>Emilio Caballero</t>
  </si>
  <si>
    <t>AVDA. VICUNA MACKENNA 302 LOCAL 104</t>
  </si>
  <si>
    <t>NOMBRE RETIRA: NICOLAS NUNEZ . RUT RETIRA: 14157087-0</t>
  </si>
  <si>
    <t>Nicolas Nunez Berrios</t>
  </si>
  <si>
    <t>José Zapiola, 7397</t>
  </si>
  <si>
    <t>NOMBRE RETIRA: BORIS CIFUENTES . RUT RETIRA: 7680880-5</t>
  </si>
  <si>
    <t>BORIS CIFUENTES</t>
  </si>
  <si>
    <t>30 de octubre 414-C Villa Nonguén</t>
  </si>
  <si>
    <t>NOMBRE RETIRA: FRANCISCO BENAVENTE A RUT RETIRA: 13698844-1</t>
  </si>
  <si>
    <t>Francisco Benavente</t>
  </si>
  <si>
    <t>Los Alerces 7152, Condominio Jardín de la Foresta</t>
  </si>
  <si>
    <t>NOMBRE RETIRA: YESENIA GARCIA A RUT RETIRA: 19061636-3</t>
  </si>
  <si>
    <t>MARCO MARIHUAN</t>
  </si>
  <si>
    <t>CAMINO DEL ROBLE, 1750, DEPTO 39</t>
  </si>
  <si>
    <t>NOMBRE RETIRA: MAX HIDALGO J RUT RETIRA: 21310838-7</t>
  </si>
  <si>
    <t>Ernesto Eduardo Hidalgo Valdivia</t>
  </si>
  <si>
    <t>Andalién, 7310, Casa J</t>
  </si>
  <si>
    <t>NOMBRE RETIRA: JAIME CORONADO . RUT RETIRA: 1568817-3</t>
  </si>
  <si>
    <t>jaime carmona</t>
  </si>
  <si>
    <t>los carreras, 2020</t>
  </si>
  <si>
    <t>NOMBRE RETIRA: JUAN M P RUT RETIRA: 19419776-4</t>
  </si>
  <si>
    <t>Juan Manuel Munoz Adasme</t>
  </si>
  <si>
    <t>quintay, 4516, DEPTO 22</t>
  </si>
  <si>
    <t>NOMBRE RETIRA: ORIETA . . RUT RETIRA: 7976836-7</t>
  </si>
  <si>
    <t>Enrique Brinkmann Luco</t>
  </si>
  <si>
    <t>Camino de las hojas, 12099</t>
  </si>
  <si>
    <t>NOMBRE RETIRA: JESUS MANZARRAGA M RUT RETIRA: 16015062-9</t>
  </si>
  <si>
    <t>Jesus Manzarraga danovaro</t>
  </si>
  <si>
    <t>Nuestra Señora de la Luz, 7563</t>
  </si>
  <si>
    <t>NOMBRE RETIRA: JPRGE ESPINOZA C RUT RETIRA: 56066240-8</t>
  </si>
  <si>
    <t>Felipe Coeymans</t>
  </si>
  <si>
    <t>La Gioconda 4344, DEPTO 43</t>
  </si>
  <si>
    <t>NOMBRE RETIRA: RAUL IRQUIER . RUT RETIRA: 28101465-K</t>
  </si>
  <si>
    <t>Francisca Valdebenito</t>
  </si>
  <si>
    <t>Maipu 1740, departamento 307</t>
  </si>
  <si>
    <t>NOMBRE RETIRA: PAULINA QUESADA MORALES RUT RETIRA: 53335218-9</t>
  </si>
  <si>
    <t>Rolando Sepúlveda Cortés</t>
  </si>
  <si>
    <t>Prieto Norte 421, dpto 207</t>
  </si>
  <si>
    <t>NOMBRE RETIRA: JIMENA AGUILERA . RUT RETIRA: 10390855-8</t>
  </si>
  <si>
    <t>Feiruz Chamy Loyola</t>
  </si>
  <si>
    <t>Santa paula 335 casa 12, concepcion</t>
  </si>
  <si>
    <t>NOMBRE RETIRA: PAULA QUIROZ N RUT RETIRA: 20390103-8</t>
  </si>
  <si>
    <t>DIEGO MUÑOZ CEBALLOS</t>
  </si>
  <si>
    <t>AVENIDA DEL CANAL INTERIOR 0135, CASA 73</t>
  </si>
  <si>
    <t>18206-(2)</t>
  </si>
  <si>
    <t>NOMBRE RETIRA: MIGUEL ALFONSO . RUT RETIRA: 8920791-6</t>
  </si>
  <si>
    <t>Maria Arecheta</t>
  </si>
  <si>
    <t>Martin Alonso Pinzon 4836</t>
  </si>
  <si>
    <t>NOMBRE RETIRA: CRISTIAN CISTERNA J RUT RETIRA: 10973843-3</t>
  </si>
  <si>
    <t>Cristian Cisterna Fuentealba</t>
  </si>
  <si>
    <t>Vía del mediterráneo 2201, altos de Mackenna II Puerto Montt</t>
  </si>
  <si>
    <t>NOMBRE RETIRA: NINON MUNOZ . RUT RETIRA: 16724500-5</t>
  </si>
  <si>
    <t>Ninon Muñoz</t>
  </si>
  <si>
    <t>Sixto Cortés Alcayaga 1517, casa 7</t>
  </si>
  <si>
    <t>NOMBRE RETIRA: SUSANA GARCIA U RUT RETIRA: 22588048-4</t>
  </si>
  <si>
    <t>Miguel Portilla Perez</t>
  </si>
  <si>
    <t>Rio Tajo 8286</t>
  </si>
  <si>
    <t>NOMBRE RETIRA: VIOLETA DELGADO . RUT RETIRA: 9194357-3</t>
  </si>
  <si>
    <t>Maria José Guzmán Delgado</t>
  </si>
  <si>
    <t>Avenida Real 1088 Rahue Alto</t>
  </si>
  <si>
    <t>NOMBRE RETIRA: CLAUDIA . . RUT RETIRA: 14604245-7</t>
  </si>
  <si>
    <t>benjamin trajtman</t>
  </si>
  <si>
    <t>av santa maria 8710 depto 201 vitacura</t>
  </si>
  <si>
    <t>NOMBRE RETIRA: ROBERTO DIAZ HH H RUT RETIRA: 56005500-5</t>
  </si>
  <si>
    <t>carlos caceres</t>
  </si>
  <si>
    <t>roman diaz, 26, Floor 55</t>
  </si>
  <si>
    <t>NOMBRE RETIRA: RODDIZ CHALLAPA . RUT RETIRA: 22466391-9</t>
  </si>
  <si>
    <t>Samuel challapa mamani</t>
  </si>
  <si>
    <t>Pasaje Azucenas 2993-A, alto hospicio</t>
  </si>
  <si>
    <t>NOMBRE RETIRA: JIMENA SALINAS . RUT RETIRA: 11338341-0</t>
  </si>
  <si>
    <t>Isamar Cuminao</t>
  </si>
  <si>
    <t>Franklin 393, Franklin 393 santiago</t>
  </si>
  <si>
    <t>NOMBRE RETIRA: LIZ JORNET H RUT RETIRA: 8037827-0</t>
  </si>
  <si>
    <t>Liz Jornet</t>
  </si>
  <si>
    <t>Martin Rivas, 6840</t>
  </si>
  <si>
    <t>NOMBRE RETIRA: SANDRA MESSAROS C RUT RETIRA: 21339685-4</t>
  </si>
  <si>
    <t>Sandra Cavalcante</t>
  </si>
  <si>
    <t>ANTUCO, 8064</t>
  </si>
  <si>
    <t>NOMBRE RETIRA: ANTONIO PERALTA R RUT RETIRA: 9738853-9</t>
  </si>
  <si>
    <t>EVA FRANCH</t>
  </si>
  <si>
    <t>Av general ogiggins 1421, padre hurtado</t>
  </si>
  <si>
    <t>NOMBRE RETIRA: ARIEL CORNEJO . RUT RETIRA: 15330490-4</t>
  </si>
  <si>
    <t>Ariel Cornejo vilche</t>
  </si>
  <si>
    <t>Camino longitudinal antiguo la rubiana h190 sin número</t>
  </si>
  <si>
    <t>NOMBRE RETIRA: KENYA PIQUERO D RUT RETIRA: 28801527-9</t>
  </si>
  <si>
    <t>Raimundo Alcalde Sorolla</t>
  </si>
  <si>
    <t>Pasaje Nocedal 6713, casa G.</t>
  </si>
  <si>
    <t>NOMBRE RETIRA: PASCUAL NUNEZ . RUT RETIRA: 53333310-9</t>
  </si>
  <si>
    <t>Ronnie Ponce</t>
  </si>
  <si>
    <t>Alcalde Pedro Alarcón 900, departamento 313 torre B</t>
  </si>
  <si>
    <t>NOMBRE RETIRA: FELIX CONSERJE . RUT RETIRA: 53311319-2</t>
  </si>
  <si>
    <t>Ana Cruz</t>
  </si>
  <si>
    <t>Marin 80, 410</t>
  </si>
  <si>
    <t>NOMBRE RETIRA: CAROLINA ARIAS . RUT RETIRA: 15345400-0</t>
  </si>
  <si>
    <t>Fernando Alejandro Arias Tapia</t>
  </si>
  <si>
    <t>Pedro Aguirre Cerda 196 Casa 26</t>
  </si>
  <si>
    <t>NOMBRE RETIRA: PAULINA PALMA MERINO RUT RETIRA: 10785706-0</t>
  </si>
  <si>
    <t>Jorge Weis</t>
  </si>
  <si>
    <t>Virginia subercaseaux 4000, parcela 53, pirque</t>
  </si>
  <si>
    <t>NOMBRE RETIRA: WILLIAM MORA GARCIA RUT RETIRA: 1-9</t>
  </si>
  <si>
    <t>TERMINACION Y ACABADO DE EDIFICIOS NELSON FEDOR</t>
  </si>
  <si>
    <t>Tucapel 530</t>
  </si>
  <si>
    <t>NOMBRE RETIRA: ANDEA MOHR MOHR RUT RETIRA: 11709229-1</t>
  </si>
  <si>
    <t>Andrea Mohr</t>
  </si>
  <si>
    <t>Mackenna 1004 depto 53</t>
  </si>
  <si>
    <t>servicio12052026</t>
  </si>
  <si>
    <t>NOMBRE RETIRA: PATRICIO ESCOBAR X RUT RETIRA: 8228164-9</t>
  </si>
  <si>
    <t>Paula Fernández Cajas</t>
  </si>
  <si>
    <t>Entrelomas 380</t>
  </si>
  <si>
    <t>servicio12052026(2)</t>
  </si>
  <si>
    <t>NOMBRE RETIRA: ALEJANDRA BAPTISTA B RUT RETIRA: 27212878-2</t>
  </si>
  <si>
    <t>Luis Javier Melendez Narvaez</t>
  </si>
  <si>
    <t>Avenida del Valle 11500 Casa 24 B Condominio Santa Catalina</t>
  </si>
  <si>
    <t>NOMBRE RETIRA: JAIME CPNSERJE O RUT RETIRA: 53313673-7</t>
  </si>
  <si>
    <t>PILAR MENA HENRIQUEZ</t>
  </si>
  <si>
    <t>ejercito, 560, Floor 407</t>
  </si>
  <si>
    <t>NOMBRE RETIRA: EVELYN GONZALWA . RUT RETIRA: 15423593-0</t>
  </si>
  <si>
    <t>Evelyn González Cabrera</t>
  </si>
  <si>
    <t>Fabiola 6204</t>
  </si>
  <si>
    <t>NOMBRE RETIRA: AMAURY IBACACHE . RUT RETIRA: 17533305-3</t>
  </si>
  <si>
    <t>Amaury Ibacache Silva</t>
  </si>
  <si>
    <t>Dieciocho de septiembre, 629</t>
  </si>
  <si>
    <t>NOMBRE RETIRA: GIANINA OSIO . RUT RETIRA: 16349036-6</t>
  </si>
  <si>
    <t>Gianina Paola Ossio Calderon</t>
  </si>
  <si>
    <t>Cespedes y gonzalez #757</t>
  </si>
  <si>
    <t>NOMBRE RETIRA: CLARISE ESCOBAR . RUT RETIRA: 12323768-4</t>
  </si>
  <si>
    <t>Sergio Galaz Cid</t>
  </si>
  <si>
    <t>Gaspar de Toro, 1461</t>
  </si>
  <si>
    <t>54464-2</t>
  </si>
  <si>
    <t>NOMBRE RETIRA: MARIA A A RUT RETIRA: 13263787-3</t>
  </si>
  <si>
    <t>MARIA CECILIA RAKELA GONZALEZ</t>
  </si>
  <si>
    <t>Dirgente Walterio Salazar Meneses 2720, DEPTO 2720</t>
  </si>
  <si>
    <t>NOMBRE RETIRA: CARKOS BASUAL . RUT RETIRA: 56029050-0</t>
  </si>
  <si>
    <t>TATIANA Hlousek</t>
  </si>
  <si>
    <t>Duble Almeyda #3264 depto 102</t>
  </si>
  <si>
    <t>NOMBRE RETIRA: NELSON CESPEDES . RUT RETIRA: 53324500-5</t>
  </si>
  <si>
    <t>Edith Pavez Lagos</t>
  </si>
  <si>
    <t>Avenida Salesianos, 961,  Dept 1102</t>
  </si>
  <si>
    <t>NOMBRE RETIRA: S S S RUT RETIRA: 19378127-6</t>
  </si>
  <si>
    <t>Hilda del Carmen Jeldres Labra</t>
  </si>
  <si>
    <t>Echaurren, 508, DEPTO 707</t>
  </si>
  <si>
    <t>NOMBRE RETIRA: ANDRES VILLANUEVA . RUT RETIRA: 17403675-6</t>
  </si>
  <si>
    <t>Cristian Suazo</t>
  </si>
  <si>
    <t>San Francisco de Asis 2300 Casa 72</t>
  </si>
  <si>
    <t>Diego Junqueras</t>
  </si>
  <si>
    <t>Andres Villanueva</t>
  </si>
  <si>
    <t>NOMBRE RETIRA: CARLOS MILLAR . RUT RETIRA: 19109789-0</t>
  </si>
  <si>
    <t>Elvis Reyes</t>
  </si>
  <si>
    <t>AV, Las Rosas 1935 depto 503 A  Huertos familiares ,San Pedro de la paz</t>
  </si>
  <si>
    <t>NOMBRE RETIRA: PABLO PEREZ . RUT RETIRA: 7995281-8</t>
  </si>
  <si>
    <t>Pablo Perez Rojo</t>
  </si>
  <si>
    <t>Las Lilas, 1015,</t>
  </si>
  <si>
    <t>NOMBRE RETIRA: EVELYN RETAMALES A RUT RETIRA: 18128278-9</t>
  </si>
  <si>
    <t>Miguel Retamales</t>
  </si>
  <si>
    <t>Pasaje Apostol Lucas, 2934</t>
  </si>
  <si>
    <t>NOMBRE RETIRA: MIRIAM CUBILLOS O RUT RETIRA: 20924060-2</t>
  </si>
  <si>
    <t>myriam cubillos</t>
  </si>
  <si>
    <t>vasco nuñez de balboa 0733</t>
  </si>
  <si>
    <t>NOMBRE RETIRA: LIA IGNACIA A RUT RETIRA: 53316829-9</t>
  </si>
  <si>
    <t>Meritxell Ubach Gili</t>
  </si>
  <si>
    <t>Renato Sánchez, 4000, DEPTO 603,</t>
  </si>
  <si>
    <t>NOMBRE RETIRA: LUIS . . RUT RETIRA: 22154314-9</t>
  </si>
  <si>
    <t>Jessica Ramos</t>
  </si>
  <si>
    <t>Nueva Providencia 1765, depto 1311, Providencia</t>
  </si>
  <si>
    <t>NOMBRE RETIRA: ROSA GOMEZ ESPOSA RUT RETIRA: 5675332-K</t>
  </si>
  <si>
    <t>PEDRO TOBAR</t>
  </si>
  <si>
    <t>Vicente Pérez Rosales, 1903, DEPTO 12</t>
  </si>
  <si>
    <t>NOMBRE RETIRA: FERNANDO GIUZ C RUT RETIRA: 56080140-8</t>
  </si>
  <si>
    <t>Victoria Campos</t>
  </si>
  <si>
    <t>martin alonso pinzon 6600, DEPTO 53,</t>
  </si>
  <si>
    <t>NOMBRE RETIRA: MARCOS ARANCIBIA . RUT RETIRA: 65172331-0</t>
  </si>
  <si>
    <t>Pedro Gavilan</t>
  </si>
  <si>
    <t>José Pedro Alessandri, 1495, Floor 401B</t>
  </si>
  <si>
    <t>NOMBRE RETIRA: YUDI XONSERJE . RUT RETIRA: 65172331-0</t>
  </si>
  <si>
    <t>Gabriela Farias</t>
  </si>
  <si>
    <t>José Pedro Alessandri, 1495, DEPTO 401B</t>
  </si>
  <si>
    <t>NOMBRE RETIRA: MARCELA . . RUT RETIRA: 8038295-2</t>
  </si>
  <si>
    <t>MARCELA MARTINEZ</t>
  </si>
  <si>
    <t>ISABEL RIQUELME SUR, 1769, DEPTO42</t>
  </si>
  <si>
    <t>NOMBRE RETIRA: NICOLAS LAMICH A RUT RETIRA: 21803765-8</t>
  </si>
  <si>
    <t>Alvaro Roman</t>
  </si>
  <si>
    <t>las chacras 8391</t>
  </si>
  <si>
    <t>NOMBRE RETIRA: EUGENIA CONTADOR M RUT RETIRA: 26339838-6</t>
  </si>
  <si>
    <t>Ricardo Contador</t>
  </si>
  <si>
    <t>Andres de Ustariz, 4246</t>
  </si>
  <si>
    <t>NOMBRE RETIRA: CARLOA VILLALOBOA . . RUT RETIRA: 56082870-5</t>
  </si>
  <si>
    <t>Ximena Norambuena</t>
  </si>
  <si>
    <t>av españa 683, DEPTO 511</t>
  </si>
  <si>
    <t>NOMBRE RETIRA: EDUARDO RODRIGUEZ R RUT RETIRA: 50002600-6</t>
  </si>
  <si>
    <t>Samuel Navarro</t>
  </si>
  <si>
    <t>Los Leones, 80, DEPTO 42 A</t>
  </si>
  <si>
    <t>NOMBRE RETIRA: MARIA PERLAZA . RUT RETIRA: 33676648-6</t>
  </si>
  <si>
    <t>MARIA LUISA VERGARA</t>
  </si>
  <si>
    <t>LOS GLADIOLOS, 10274</t>
  </si>
  <si>
    <t>EDUARDO HESKIA</t>
  </si>
  <si>
    <t>NOMBRE RETIRA: PATRICIO BURZIO M RUT RETIRA: 8154760-2</t>
  </si>
  <si>
    <t>Patricio Burzio Oneto</t>
  </si>
  <si>
    <t>Condominio Canto del Lago, parcela 3.</t>
  </si>
  <si>
    <t>NOMBRE RETIRA: MACARENA CABALLERO T RUT RETIRA: 18064851-8</t>
  </si>
  <si>
    <t>Alejandro Caballero</t>
  </si>
  <si>
    <t>Gran almirante, 594</t>
  </si>
  <si>
    <t>NOMBRE RETIRA: MIGUEL BUSTOS . RUT RETIRA: 16510588-5</t>
  </si>
  <si>
    <t>Francisco Bustos</t>
  </si>
  <si>
    <t>Las Viscachas 1624, San Antonio</t>
  </si>
  <si>
    <t>NOMBRE RETIRA: RODRIGO QUIN BS RUT RETIRA: 18019933-0</t>
  </si>
  <si>
    <t>Rodrigo Enrique Quintana López</t>
  </si>
  <si>
    <t>4 poniente 12 1/2 sur 360</t>
  </si>
  <si>
    <t>NOMBRE RETIRA: AUGUSTO ARAVENA ROBLES RUT RETIRA: 17982987-8</t>
  </si>
  <si>
    <t>Augusto Aravena Robles</t>
  </si>
  <si>
    <t>Antonio Varas 609</t>
  </si>
  <si>
    <t>NOMBRE RETIRA: ELIZABETH MANRIQUWZ . RUT RETIRA: 7247519-4</t>
  </si>
  <si>
    <t>Elizabeth Manríquez</t>
  </si>
  <si>
    <t>Egaña 198</t>
  </si>
  <si>
    <t>NOMBRE RETIRA: ALEJANDRA DONOSO DONOSO RUT RETIRA: 12822268-5</t>
  </si>
  <si>
    <t>Víctor Torres</t>
  </si>
  <si>
    <t>Ruta 41 Km. 28</t>
  </si>
  <si>
    <t>NOMBRE RETIRA: JOSE LEIVA . RUT RETIRA: 7641630-3</t>
  </si>
  <si>
    <t>José Leiva</t>
  </si>
  <si>
    <t>Chilcaya 4229</t>
  </si>
  <si>
    <t>NOMBRE RETIRA: KATYA OYARZUN . RUT RETIRA: 18114654-0</t>
  </si>
  <si>
    <t>KATIA OYARZUN</t>
  </si>
  <si>
    <t>TRAPILHUE 767</t>
  </si>
  <si>
    <t>NOMBRE RETIRA: CECILIA JIMENEZ G RUT RETIRA: 8348890-5</t>
  </si>
  <si>
    <t>DANIEL ALEJANDRO JORDAN PAREDES</t>
  </si>
  <si>
    <t>Camino Padre Hurtado, 1120</t>
  </si>
  <si>
    <t>NOMBRE RETIRA: LORENA CABALLERO CLIENTE RUT RETIRA: 10338041-3</t>
  </si>
  <si>
    <t>LORENA CABALLERO MUNOZ</t>
  </si>
  <si>
    <t>COVENTRY, 580 B, Floor 103</t>
  </si>
  <si>
    <t>NOMBRE RETIRA: MARIO OVALLE X RUT RETIRA: 76915332-2</t>
  </si>
  <si>
    <t>Marcela Ovalle</t>
  </si>
  <si>
    <t>Raquel, 557, Floor Casa</t>
  </si>
  <si>
    <t>NOMBRE RETIRA: MARGARITA ZUNIGA X RUT RETIRA: 12005849-5</t>
  </si>
  <si>
    <t>Cristian Ponce</t>
  </si>
  <si>
    <t>Ana Zúñiga, 4429</t>
  </si>
  <si>
    <t>NOMBRE RETIRA: RUBEN IPINZA CLIENTE RUT RETIRA: 24968681-6</t>
  </si>
  <si>
    <t>Ruben Ipinza Tapia</t>
  </si>
  <si>
    <t>San Vicente de Paul, 5971</t>
  </si>
  <si>
    <t>NOMBRE RETIRA: CAROLA PARRA . RUT RETIRA: 15321567-7</t>
  </si>
  <si>
    <t>Miguel Angel Retamales</t>
  </si>
  <si>
    <t>avenida gran alicura 80, casa 18, condominio los notros, Pucón, Región de la Araucania.</t>
  </si>
  <si>
    <t>NOMBRE RETIRA: FERNANDO PRIETO GANDARILLAS RUT RETIRA: 8667520-K</t>
  </si>
  <si>
    <t>WILLIAMSON GROUP SPA</t>
  </si>
  <si>
    <t>Del Salvador 1093</t>
  </si>
  <si>
    <t>NOMBRE RETIRA: JOSE BARRIENTOS A RUT RETIRA: 65244702-3</t>
  </si>
  <si>
    <t>maria soledad Valenzuela</t>
  </si>
  <si>
    <t>av Las Condes, 7548, DEPTO 407</t>
  </si>
  <si>
    <t>NOMBRE RETIRA: ANDRES LISTERCHTEIN . RUT RETIRA: 7012437-8</t>
  </si>
  <si>
    <t>Andres Lichtenstern G</t>
  </si>
  <si>
    <t>Condom inio Kawellucó, Campo 15, lote 8, Sector El Cerdúo</t>
  </si>
  <si>
    <t>NOMBRE RETIRA: EDUARDO CONSERJE O RUT RETIRA: 53309176-8</t>
  </si>
  <si>
    <t>PEDRO CALDERON</t>
  </si>
  <si>
    <t>SAN PABLO, 1391, Floor 205</t>
  </si>
  <si>
    <t>NOMBRE RETIRA: ALVARO CAMPOS MUENA RUT RETIRA: 12962688-7</t>
  </si>
  <si>
    <t>Jimena Munoz Olave</t>
  </si>
  <si>
    <t>Fernandez Albano, 9430</t>
  </si>
  <si>
    <t>NOMBRE RETIRA: GONZALO LOPEZ L RUT RETIRA: 16797172-5</t>
  </si>
  <si>
    <t>Gonzalo Lopez</t>
  </si>
  <si>
    <t>Guillermo Subiabre, 721, Floor B22</t>
  </si>
  <si>
    <t>NOMBRE RETIRA: JUANA AVILA . RUT RETIRA: 3986607-2</t>
  </si>
  <si>
    <t>Marcela Figueroa</t>
  </si>
  <si>
    <t>Félix Mendelssohn, 5065, Floor Casa</t>
  </si>
  <si>
    <t>NOMBRE RETIRA: JUAN TORRES LOPEZ RUT RETIRA: 22415360-0</t>
  </si>
  <si>
    <t>jose Letelier</t>
  </si>
  <si>
    <t>cardenal newman 486 las condes</t>
  </si>
  <si>
    <t>NOMBRE RETIRA: MANUEL LONCON A RUT RETIRA: 56014130-0</t>
  </si>
  <si>
    <t>Jose Manuel Jerez Diaz</t>
  </si>
  <si>
    <t>Martin de Zamora 5375, DEPTO 124B</t>
  </si>
  <si>
    <t>NOMBRE RETIRA: JAIRO ANSEUME H RUT RETIRA: 21852550-4</t>
  </si>
  <si>
    <t>FELIPE LAVAGNINO</t>
  </si>
  <si>
    <t>VOLCAN LLAIMA, 7283</t>
  </si>
  <si>
    <t>NOMBRE RETIRA: JHONATAN ROSALES A RUT RETIRA: 56064240-7</t>
  </si>
  <si>
    <t>Enzo Biagini</t>
  </si>
  <si>
    <t>Martin de zamora, 3371, Floor Depto 203</t>
  </si>
  <si>
    <t>NOMBRE RETIRA: DANITZA FLANDEZ G RUT RETIRA: 17286691-3</t>
  </si>
  <si>
    <t>Danitza Flandez</t>
  </si>
  <si>
    <t>Parroco Damián Acuña 1331, casa 9. Condominio Caicura</t>
  </si>
  <si>
    <t>NOMBRE RETIRA: ELIAS PACHO X RUT RETIRA: 25438524-7</t>
  </si>
  <si>
    <t>Eduardo Calvo</t>
  </si>
  <si>
    <t>Camino de la Aguada, 14055, Floor A</t>
  </si>
  <si>
    <t>NOMBRE RETIRA: JHON MACKENZIE M RUT RETIRA: 5193123-8</t>
  </si>
  <si>
    <t>John Mackenzie</t>
  </si>
  <si>
    <t>Av. Simón Bolívar, 8819, Floor Casa A</t>
  </si>
  <si>
    <t>NOMBRE RETIRA: RUBI FARIAS J RUT RETIRA: 12154516-0</t>
  </si>
  <si>
    <t>guillermina pereira miranda</t>
  </si>
  <si>
    <t>pasaje Victoria Morales B.Las Rosas, 4300, Floor casa, Stair x calle las rosas hasta A.M.Cotapos</t>
  </si>
  <si>
    <t>NOMBRE RETIRA: ALFREDO LOPEZ CONSERJE RUT RETIRA: 21838987-2</t>
  </si>
  <si>
    <t>Juan Carlos Jarpa</t>
  </si>
  <si>
    <t>Fracisco de Asis, 970, Floor 341</t>
  </si>
  <si>
    <t>NOMBRE RETIRA: MARCO LOVOS . RUT RETIRA: 56056370-1</t>
  </si>
  <si>
    <t>Kareen Mercado</t>
  </si>
  <si>
    <t>Marchant pereira, 1931G, Floor 106H</t>
  </si>
  <si>
    <t>NOMBRE RETIRA: IGMACIO AMDRES . RUT RETIRA: 19109789-0</t>
  </si>
  <si>
    <t>Ignacio Andres Gutierrez Danton</t>
  </si>
  <si>
    <t>Malen Oriente, 2591</t>
  </si>
  <si>
    <t>NOMBRE RETIRA: PATRICIA GAETE GAETE RUT RETIRA: 19053460-K</t>
  </si>
  <si>
    <t>Hernan Farias Orellana</t>
  </si>
  <si>
    <t>Av. Republica de Chile #397. Rancagua</t>
  </si>
  <si>
    <t>NOMBRE RETIRA: ROSA FERNADEZ . RUT RETIRA: 8346972-2</t>
  </si>
  <si>
    <t>Paloma Diaz</t>
  </si>
  <si>
    <t>Gante, 01049, Floor Casa</t>
  </si>
  <si>
    <t>NOMBRE RETIRA: SERGIO BUGUENO C RUT RETIRA: 20448649-2</t>
  </si>
  <si>
    <t>Claudia Cocio</t>
  </si>
  <si>
    <t>Luz, 2989, Floor 37</t>
  </si>
  <si>
    <t>NOMBRE RETIRA: ROSA GONZALES A RUT RETIRA: 53312889-0</t>
  </si>
  <si>
    <t>Raquel Harboe</t>
  </si>
  <si>
    <t>BREMEN, 420, Floor 304</t>
  </si>
  <si>
    <t>NOMBRE RETIRA: MARISOL PINO . RUT RETIRA: 65227738-1</t>
  </si>
  <si>
    <t>Marisol Pino</t>
  </si>
  <si>
    <t>García Moreno 960 depto 103</t>
  </si>
  <si>
    <t>NOMBRE RETIRA: JORGE PORTANDA D RUT RETIRA: 19026284-7</t>
  </si>
  <si>
    <t>Gaston Cummins</t>
  </si>
  <si>
    <t>Camino el cajon, 17121</t>
  </si>
  <si>
    <t>NOMBRE RETIRA: JORGE PORTANDA Z RUT RETIRA: 19026284-7</t>
  </si>
  <si>
    <t>soledad benavente</t>
  </si>
  <si>
    <t>NOMBRE RETIRA: RODRIGO VIVES . RUT RETIRA: 53326286-4</t>
  </si>
  <si>
    <t>Rodrigo Vives</t>
  </si>
  <si>
    <t>Avenida La florida, 10695, Floor 508</t>
  </si>
  <si>
    <t>38565-2</t>
  </si>
  <si>
    <t>NOMBRE RETIRA: EMILIO PLAZA . RUT RETIRA: 15455326-6</t>
  </si>
  <si>
    <t>Emilio Plaza</t>
  </si>
  <si>
    <t>Gral Jose Bernales Ramirez 2865, Terra Noble</t>
  </si>
  <si>
    <t>NOMBRE RETIRA: CESAR TOLEDO CARDENAS RUT RETIRA: 13592275-7</t>
  </si>
  <si>
    <t>Francisco Javier Korff Pfeiffer</t>
  </si>
  <si>
    <t>Fundo El Venado se Ruta V500, Km 5,7 Nueva Braunau, Puerto Varas (llamar a cliente para la recepcion)</t>
  </si>
  <si>
    <t>NOMBRE RETIRA: MARIA ISABEL . RUT RETIRA: 18099341-K</t>
  </si>
  <si>
    <t>Maria Isabel Fuentes</t>
  </si>
  <si>
    <t>ELEUTERIO RAMIREZ 0161</t>
  </si>
  <si>
    <t>NOMBRE RETIRA: OSCAR ARAVENA LOPEZ RUT RETIRA: 7015067-0</t>
  </si>
  <si>
    <t>Oscar Aravena LOpez</t>
  </si>
  <si>
    <t>alcalde hernan prieto 5380, condominio terranova parcela 3, comuna de Pirque (pasar rio clarillo, ( puente blanco ), frente lo arcaya , llamar al celular 992003552 para abrir porton de e[...]</t>
  </si>
  <si>
    <t>servicio210126(2)</t>
  </si>
  <si>
    <t>NOMBRE RETIRA: YORDY CARCAMO VERA RUT RETIRA: 14534075-6</t>
  </si>
  <si>
    <t>Yordy Cárcamo</t>
  </si>
  <si>
    <t>38766</t>
  </si>
  <si>
    <t>9466849943</t>
  </si>
  <si>
    <t>Khris Peters Chenevier</t>
  </si>
  <si>
    <t>Candelaria 080 - Temuco (Khris Peters Chenevier 15.682.358-9)</t>
  </si>
  <si>
    <t>2026-04-28 10:38</t>
  </si>
  <si>
    <t>18126</t>
  </si>
  <si>
    <t>9466826655</t>
  </si>
  <si>
    <t>Ruht Bernales Rubio</t>
  </si>
  <si>
    <t>Ignacio Carrera Pinto 0356, Edificio Viena depto 107, lado norte.</t>
  </si>
  <si>
    <t>2026-04-27 15:56</t>
  </si>
  <si>
    <t>18080</t>
  </si>
  <si>
    <t>9466813764</t>
  </si>
  <si>
    <t>Cristian Vidal</t>
  </si>
  <si>
    <t>Carretera austral km 8.5, Local 1</t>
  </si>
  <si>
    <t>2026-04-22 11:15</t>
  </si>
  <si>
    <t>18134</t>
  </si>
  <si>
    <t>9466797664</t>
  </si>
  <si>
    <t>Gerardo Zamora Lira</t>
  </si>
  <si>
    <t>Gertrudis Echeñique 165, Departamento 22</t>
  </si>
  <si>
    <t>2026-04-29 09:59</t>
  </si>
  <si>
    <t>servicio280426</t>
  </si>
  <si>
    <t>9466739936</t>
  </si>
  <si>
    <t>Paula Olave Pérez</t>
  </si>
  <si>
    <t>Chacabuco 637</t>
  </si>
  <si>
    <t>2026-04-28 14:32</t>
  </si>
  <si>
    <t>18133</t>
  </si>
  <si>
    <t>9466707165</t>
  </si>
  <si>
    <t>Guillermo Ferraro</t>
  </si>
  <si>
    <t>Las Ñipas 4178</t>
  </si>
  <si>
    <t>2026-04-28 14:20</t>
  </si>
  <si>
    <t>18088</t>
  </si>
  <si>
    <t>9466691264</t>
  </si>
  <si>
    <t>Luis Briceño</t>
  </si>
  <si>
    <t>Calle Siria 2887</t>
  </si>
  <si>
    <t>2026-04-28 16:50</t>
  </si>
  <si>
    <t>18108</t>
  </si>
  <si>
    <t>9466654050</t>
  </si>
  <si>
    <t>Isadora Caro paredes</t>
  </si>
  <si>
    <t>Mencia de los nidos 1111 85A, Mencia de los nidos 1111 85A</t>
  </si>
  <si>
    <t>2026-04-27 09:53</t>
  </si>
  <si>
    <t>18119</t>
  </si>
  <si>
    <t>9466645241</t>
  </si>
  <si>
    <t>Francisco Salinas</t>
  </si>
  <si>
    <t>Avda Jorge Alessandri 2070, Maipú, casa 112, condominio los canelos de maipú</t>
  </si>
  <si>
    <t>18116</t>
  </si>
  <si>
    <t>9466594675</t>
  </si>
  <si>
    <t>R Djana D’Ottone Morales</t>
  </si>
  <si>
    <t>Del Inca 5730, Departamento 203</t>
  </si>
  <si>
    <t>2026-04-27 09:57</t>
  </si>
  <si>
    <t>18104</t>
  </si>
  <si>
    <t>9466590630</t>
  </si>
  <si>
    <t>gianina parada</t>
  </si>
  <si>
    <t>av poniente n 300, villa galilea, Edison 260</t>
  </si>
  <si>
    <t>18117</t>
  </si>
  <si>
    <t>9466439684</t>
  </si>
  <si>
    <t>Arturo Lyon</t>
  </si>
  <si>
    <t>Av Presidente Riesco 4270 depto 3, Las Condes</t>
  </si>
  <si>
    <t>2026-04-27 09:58</t>
  </si>
  <si>
    <t>18123</t>
  </si>
  <si>
    <t>9466417822</t>
  </si>
  <si>
    <t>Ricardo Ureta Urzua</t>
  </si>
  <si>
    <t>Madrigal 1111, Depto 803</t>
  </si>
  <si>
    <t>2026-04-27 14:08</t>
  </si>
  <si>
    <t>18125</t>
  </si>
  <si>
    <t>9466403785</t>
  </si>
  <si>
    <t>Camila Moraga</t>
  </si>
  <si>
    <t>Pasaje BUQUE O HIGGINS 1064, Pasaje buque o hoggins 2064</t>
  </si>
  <si>
    <t>2026-04-27 15:54</t>
  </si>
  <si>
    <t>18136</t>
  </si>
  <si>
    <t>9466378740</t>
  </si>
  <si>
    <t>Javiera Moreno</t>
  </si>
  <si>
    <t>Manuel Matta 35, Manuel Matta 35</t>
  </si>
  <si>
    <t>2026-04-29 10:02</t>
  </si>
  <si>
    <t>18106</t>
  </si>
  <si>
    <t>9466281591</t>
  </si>
  <si>
    <t>julia feger</t>
  </si>
  <si>
    <t>Lo beltran 2230, casa3, casa 3</t>
  </si>
  <si>
    <t>2026-04-27 09:49</t>
  </si>
  <si>
    <t>18010</t>
  </si>
  <si>
    <t>9466272701</t>
  </si>
  <si>
    <t>Fabrizio Conta</t>
  </si>
  <si>
    <t>Las 3 marias 95</t>
  </si>
  <si>
    <t>2026-04-22 11:04</t>
  </si>
  <si>
    <t>18141</t>
  </si>
  <si>
    <t>9466249391</t>
  </si>
  <si>
    <t>Rosa Avendaño</t>
  </si>
  <si>
    <t>Los llameros 3160, Los llameros 3160</t>
  </si>
  <si>
    <t>2026-04-30 10:14</t>
  </si>
  <si>
    <t>18105</t>
  </si>
  <si>
    <t>9466121383</t>
  </si>
  <si>
    <t>Nancy Velasquez</t>
  </si>
  <si>
    <t>Matias Doggenweiler 283 ,poblacion Manuel Montt, Puerto montt, Región de los Lagos</t>
  </si>
  <si>
    <t>18109</t>
  </si>
  <si>
    <t>9466018553</t>
  </si>
  <si>
    <t>Mauricio Balbi Campos</t>
  </si>
  <si>
    <t>Cerro Las Bandurrias 12146, Por Bernardo Larrain Casa</t>
  </si>
  <si>
    <t>2026-04-27 09:55</t>
  </si>
  <si>
    <t>18131</t>
  </si>
  <si>
    <t>9465996886</t>
  </si>
  <si>
    <t>Joaquín Hernández Catalán</t>
  </si>
  <si>
    <t>Carmen 1528, Casa</t>
  </si>
  <si>
    <t>2026-04-28 10:51</t>
  </si>
  <si>
    <t>18127</t>
  </si>
  <si>
    <t>9465966834</t>
  </si>
  <si>
    <t>Francisca Bozo Cepeda</t>
  </si>
  <si>
    <t>Avenida troncal san francisco 2083, depto F309,</t>
  </si>
  <si>
    <t>2026-04-28 10:45</t>
  </si>
  <si>
    <t>18196</t>
  </si>
  <si>
    <t>9465889521</t>
  </si>
  <si>
    <t>Washington Gaete</t>
  </si>
  <si>
    <t>Dublé Almeyda 2020 Depto 501</t>
  </si>
  <si>
    <t>2026-05-07 17:56</t>
  </si>
  <si>
    <t>18235</t>
  </si>
  <si>
    <t>9465886404</t>
  </si>
  <si>
    <t>LORETO CORTES RIOS</t>
  </si>
  <si>
    <t>LUIS CRUZ MARTINEZ 1842</t>
  </si>
  <si>
    <t>2026-05-11 10:58</t>
  </si>
  <si>
    <t>18240</t>
  </si>
  <si>
    <t>9465857446</t>
  </si>
  <si>
    <t>Thomas Neumann salse</t>
  </si>
  <si>
    <t>Ohiggins 854-B, Ohiggins 854-B</t>
  </si>
  <si>
    <t>2026-05-11 11:08</t>
  </si>
  <si>
    <t>18233</t>
  </si>
  <si>
    <t>9465852701</t>
  </si>
  <si>
    <t>Exequiel Gonzalez</t>
  </si>
  <si>
    <t>Ramón de Rojas Carabante 1217, Depto 201 C</t>
  </si>
  <si>
    <t>2026-05-11 10:54</t>
  </si>
  <si>
    <t>18208</t>
  </si>
  <si>
    <t>9465850435</t>
  </si>
  <si>
    <t>Felipe Chacon Contreras</t>
  </si>
  <si>
    <t>Camino del roble 1578 dpto 105</t>
  </si>
  <si>
    <t>2026-05-11 10:17</t>
  </si>
  <si>
    <t>18223</t>
  </si>
  <si>
    <t>9465814702</t>
  </si>
  <si>
    <t>Consuelo Fuenzalida</t>
  </si>
  <si>
    <t>Almirante Miguel Aguirre 72</t>
  </si>
  <si>
    <t>18214</t>
  </si>
  <si>
    <t>9465788286</t>
  </si>
  <si>
    <t>Mario Santos</t>
  </si>
  <si>
    <t>Comuna Las Condes, Ibsen 6445, Depto 101</t>
  </si>
  <si>
    <t>2026-05-11 10:22</t>
  </si>
  <si>
    <t>18220</t>
  </si>
  <si>
    <t>9465746080</t>
  </si>
  <si>
    <t>Antonia Arias</t>
  </si>
  <si>
    <t>El Peñón 2130, Las Brisas de Chicureo, El Peñón 2130, Las Brisas de Chicureo</t>
  </si>
  <si>
    <t>18238</t>
  </si>
  <si>
    <t>9465674256</t>
  </si>
  <si>
    <t>Diego Polanco Camán</t>
  </si>
  <si>
    <t>Austral 618, Austral 618</t>
  </si>
  <si>
    <t>18244</t>
  </si>
  <si>
    <t>9465660400</t>
  </si>
  <si>
    <t>Ismael Luna Molina</t>
  </si>
  <si>
    <t>Chañarcillo #691</t>
  </si>
  <si>
    <t>2026-05-11 14:10</t>
  </si>
  <si>
    <t>18241</t>
  </si>
  <si>
    <t>9465660363</t>
  </si>
  <si>
    <t>SILVANA HENRIQUEZ</t>
  </si>
  <si>
    <t>CALLE MADRE PAULA MONTAL 0130</t>
  </si>
  <si>
    <t>2026-05-11 11:13</t>
  </si>
  <si>
    <t>18228</t>
  </si>
  <si>
    <t>9465645663</t>
  </si>
  <si>
    <t>Veronica TORO</t>
  </si>
  <si>
    <t>Algeciras 712, Algeciras 712</t>
  </si>
  <si>
    <t>18215</t>
  </si>
  <si>
    <t>9465616333</t>
  </si>
  <si>
    <t>MARIA LORENA ZOPPI PIMENTEL</t>
  </si>
  <si>
    <t>AV PRESIDENTE RIESCO 4680 DEPARTAMENTO 1305 ENTRADA POR PRESIDENTE RIESCO 4550 VILLA MILITAR DEL ESTE</t>
  </si>
  <si>
    <t>2026-05-11 10:24</t>
  </si>
  <si>
    <t>18205</t>
  </si>
  <si>
    <t>9465580810</t>
  </si>
  <si>
    <t>Hector Morales</t>
  </si>
  <si>
    <t>Los Cipreses 1351,</t>
  </si>
  <si>
    <t>2026-05-08 13:34</t>
  </si>
  <si>
    <t>39085</t>
  </si>
  <si>
    <t>9465556542</t>
  </si>
  <si>
    <t>Carlos Seguel</t>
  </si>
  <si>
    <t>Errazuriz 2099,Valdivia, Los Ríos</t>
  </si>
  <si>
    <t>2026-05-11 11:49</t>
  </si>
  <si>
    <t>18204</t>
  </si>
  <si>
    <t>9465550721</t>
  </si>
  <si>
    <t>Joaquín Risopatrón Montero</t>
  </si>
  <si>
    <t>Los Choroyes 11</t>
  </si>
  <si>
    <t>18200</t>
  </si>
  <si>
    <t>9465519770</t>
  </si>
  <si>
    <t>Jorge Jara Sáez</t>
  </si>
  <si>
    <t>San isidro 25</t>
  </si>
  <si>
    <t>2026-05-08 09:57</t>
  </si>
  <si>
    <t>18237</t>
  </si>
  <si>
    <t>9465496924</t>
  </si>
  <si>
    <t>felipe santander</t>
  </si>
  <si>
    <t>catedral 2202, dep 906</t>
  </si>
  <si>
    <t>2026-05-11 11:02</t>
  </si>
  <si>
    <t>18251</t>
  </si>
  <si>
    <t>9465485864</t>
  </si>
  <si>
    <t>Claudia Chavez</t>
  </si>
  <si>
    <t>Martin Rivas 6850</t>
  </si>
  <si>
    <t>2026-05-12 11:30</t>
  </si>
  <si>
    <t>18198</t>
  </si>
  <si>
    <t>9465402870</t>
  </si>
  <si>
    <t>julia pizarro</t>
  </si>
  <si>
    <t>El litre 120 casa 3</t>
  </si>
  <si>
    <t>Santo Domingo</t>
  </si>
  <si>
    <t>2026-05-08 09:56</t>
  </si>
  <si>
    <t>18236</t>
  </si>
  <si>
    <t>9465188876</t>
  </si>
  <si>
    <t>Francisco Romero Vivero</t>
  </si>
  <si>
    <t>Los Aliaga 557 dpto 1201 B</t>
  </si>
  <si>
    <t>2026-05-11 10:59</t>
  </si>
  <si>
    <t>18201</t>
  </si>
  <si>
    <t>9465166141</t>
  </si>
  <si>
    <t>Av Del Valle 11500, Casa 24B, Condominio Santa Catalina, casa 24B</t>
  </si>
  <si>
    <t>2026-05-08 09:58</t>
  </si>
  <si>
    <t>18232</t>
  </si>
  <si>
    <t>9465157623</t>
  </si>
  <si>
    <t>Loreto Chesta</t>
  </si>
  <si>
    <t>Upsala 350, Dpto 103</t>
  </si>
  <si>
    <t>2026-05-11 10:52</t>
  </si>
  <si>
    <t>18224</t>
  </si>
  <si>
    <t>9465125246</t>
  </si>
  <si>
    <t>Daniela Stephanie Gallardo Tapia</t>
  </si>
  <si>
    <t>Villa la florida Pasaje el Jacinto 125</t>
  </si>
  <si>
    <t>39060</t>
  </si>
  <si>
    <t>9465100562</t>
  </si>
  <si>
    <t>Cristian Alejandro Vargas</t>
  </si>
  <si>
    <t>Santa Elena 1960</t>
  </si>
  <si>
    <t>2026-05-11 11:52</t>
  </si>
  <si>
    <t>18260</t>
  </si>
  <si>
    <t>9465088964</t>
  </si>
  <si>
    <t>Jorge Illanes La Mura</t>
  </si>
  <si>
    <t>paseo delas rompientes 1150</t>
  </si>
  <si>
    <t>2026-05-13 09:18</t>
  </si>
  <si>
    <t>18234</t>
  </si>
  <si>
    <t>9465087424</t>
  </si>
  <si>
    <t>jose luis tirado paredes</t>
  </si>
  <si>
    <t>el descanso 284</t>
  </si>
  <si>
    <t>2026-05-11 10:56</t>
  </si>
  <si>
    <t>18227</t>
  </si>
  <si>
    <t>9465043556</t>
  </si>
  <si>
    <t>ROBERTO ALMONACID CASTRO</t>
  </si>
  <si>
    <t>AV. OBISPO VALDES SUBERCASEAUX 1857 DPTO. 214, CURAUMA</t>
  </si>
  <si>
    <t>18164</t>
  </si>
  <si>
    <t>9464035571</t>
  </si>
  <si>
    <t>Camila Morales Guzman</t>
  </si>
  <si>
    <t>Toconao 405, San Pedro de Atacama, Región de Antofagasta</t>
  </si>
  <si>
    <t>2026-05-04 10:46</t>
  </si>
  <si>
    <t>18096</t>
  </si>
  <si>
    <t>9464019191</t>
  </si>
  <si>
    <t>Ernesto Aguilar</t>
  </si>
  <si>
    <t>Zanzibar Oriente 7635</t>
  </si>
  <si>
    <t>18163</t>
  </si>
  <si>
    <t>9463976756</t>
  </si>
  <si>
    <t>Paulina Santelices</t>
  </si>
  <si>
    <t>Camino Turístico Int 11750, Casa 4</t>
  </si>
  <si>
    <t>2026-05-04 10:45</t>
  </si>
  <si>
    <t>20466</t>
  </si>
  <si>
    <t>9463893154</t>
  </si>
  <si>
    <t>Cristóbal Galleguillos</t>
  </si>
  <si>
    <t>Jose Julio Nieto parcela 15, Pirque (Referencia: Porton de madera, paredes blancas, letrero dice P15 Favor antes de llamarme al celular, toque el timbre, siempre hay alguien.)</t>
  </si>
  <si>
    <t>2026-04-30 13:30</t>
  </si>
  <si>
    <t>18140</t>
  </si>
  <si>
    <t>9463870054</t>
  </si>
  <si>
    <t>Jean-Jacques Duhart</t>
  </si>
  <si>
    <t>María Monvel, 739 casa O</t>
  </si>
  <si>
    <t>2026-04-30 10:08</t>
  </si>
  <si>
    <t>18142</t>
  </si>
  <si>
    <t>9463818873</t>
  </si>
  <si>
    <t>Graciela Bravo</t>
  </si>
  <si>
    <t>Río Tabasco 164</t>
  </si>
  <si>
    <t>2026-05-04 10:15</t>
  </si>
  <si>
    <t>18046</t>
  </si>
  <si>
    <t>9463807216</t>
  </si>
  <si>
    <t>Maximiliano Urrutia Guzman</t>
  </si>
  <si>
    <t>Lo Beltran 2323</t>
  </si>
  <si>
    <t>2026-05-04 14:11</t>
  </si>
  <si>
    <t>18160</t>
  </si>
  <si>
    <t>9463805746</t>
  </si>
  <si>
    <t>Gaston Alvear</t>
  </si>
  <si>
    <t>Fray Luis de León 11694 D102</t>
  </si>
  <si>
    <t>2026-05-04 10:43</t>
  </si>
  <si>
    <t>18149</t>
  </si>
  <si>
    <t>9463776722</t>
  </si>
  <si>
    <t>Pablo Moraga</t>
  </si>
  <si>
    <t>Los Cancilleres 1828, Maipú, Departamento 23, torre 6</t>
  </si>
  <si>
    <t>2026-05-04 10:23</t>
  </si>
  <si>
    <t>18153</t>
  </si>
  <si>
    <t>9463771376</t>
  </si>
  <si>
    <t>Lilian Pereira</t>
  </si>
  <si>
    <t>Tolouse 8900, Casa M</t>
  </si>
  <si>
    <t>2026-05-04 10:27</t>
  </si>
  <si>
    <t>18154</t>
  </si>
  <si>
    <t>9463762140</t>
  </si>
  <si>
    <t>Lía Hojman Cano</t>
  </si>
  <si>
    <t>Vespucio norte 1300, Depto 70</t>
  </si>
  <si>
    <t>2026-05-04 10:28</t>
  </si>
  <si>
    <t>18157</t>
  </si>
  <si>
    <t>9463760202</t>
  </si>
  <si>
    <t>Julian Loosli</t>
  </si>
  <si>
    <t>Las Araucarias 20 casa 21chiguayante</t>
  </si>
  <si>
    <t>2026-05-04 10:40</t>
  </si>
  <si>
    <t>18159</t>
  </si>
  <si>
    <t>9463716231</t>
  </si>
  <si>
    <t>Lorena Zurita</t>
  </si>
  <si>
    <t>Av. Manuel Rodriguez 1283, Avenida Manuel Rodriguez 1283</t>
  </si>
  <si>
    <t>2026-05-04 10:42</t>
  </si>
  <si>
    <t>38909</t>
  </si>
  <si>
    <t>9463705974</t>
  </si>
  <si>
    <t>Francesca Javiera dañobeitía Mezzano</t>
  </si>
  <si>
    <t>Los Navegantes 538, Con-Con (Referencia: Casa principal)</t>
  </si>
  <si>
    <t>2026-04-30 09:44</t>
  </si>
  <si>
    <t>18019</t>
  </si>
  <si>
    <t>9463661152</t>
  </si>
  <si>
    <t>Ignacio Gonzalez Muñoz</t>
  </si>
  <si>
    <t>Av. Sta. Isabel 0122</t>
  </si>
  <si>
    <t>18143</t>
  </si>
  <si>
    <t>9463585541</t>
  </si>
  <si>
    <t>Barbara Martin</t>
  </si>
  <si>
    <t>Arturo Prat 29, 708A</t>
  </si>
  <si>
    <t>2026-05-04 10:16</t>
  </si>
  <si>
    <t>18156</t>
  </si>
  <si>
    <t>9463570535</t>
  </si>
  <si>
    <t>Nicolás Gálvez</t>
  </si>
  <si>
    <t>OHiggins 501</t>
  </si>
  <si>
    <t>2026-05-04 10:29</t>
  </si>
  <si>
    <t>18144</t>
  </si>
  <si>
    <t>9463554892</t>
  </si>
  <si>
    <t>JORGE OLEA MORALES</t>
  </si>
  <si>
    <t>Avenida Laguna redonda 2640</t>
  </si>
  <si>
    <t>2026-05-04 10:17</t>
  </si>
  <si>
    <t>18161</t>
  </si>
  <si>
    <t>9463527916</t>
  </si>
  <si>
    <t>Ricardo Salazar Tobar</t>
  </si>
  <si>
    <t>Murmullo de las olas 1609, Murmullo de las olas 1609</t>
  </si>
  <si>
    <t>2026-05-04 10:44</t>
  </si>
  <si>
    <t>18139</t>
  </si>
  <si>
    <t>9463502510</t>
  </si>
  <si>
    <t>Martin Sandgren</t>
  </si>
  <si>
    <t>Av. Cristobal Colon 3940, Dpto 412</t>
  </si>
  <si>
    <t>2026-04-29 14:52</t>
  </si>
  <si>
    <t>18146</t>
  </si>
  <si>
    <t>9463442074</t>
  </si>
  <si>
    <t>PAULA Donoso delgado</t>
  </si>
  <si>
    <t>Miraflores 455, depto 203</t>
  </si>
  <si>
    <t>2026-05-04 10:52</t>
  </si>
  <si>
    <t>18152</t>
  </si>
  <si>
    <t>9463424972</t>
  </si>
  <si>
    <t>Lorena Oyarce</t>
  </si>
  <si>
    <t>Avenida suiza 815, Avenida suiza 815</t>
  </si>
  <si>
    <t>2026-05-04 10:25</t>
  </si>
  <si>
    <t>18165</t>
  </si>
  <si>
    <t>9463337590</t>
  </si>
  <si>
    <t>Guido Thieck</t>
  </si>
  <si>
    <t>Balmaceda 45, Casa</t>
  </si>
  <si>
    <t>2026-05-04 10:47</t>
  </si>
  <si>
    <t>18151</t>
  </si>
  <si>
    <t>9463144423</t>
  </si>
  <si>
    <t>Yessica Sanhueza</t>
  </si>
  <si>
    <t>La Horqueta 451</t>
  </si>
  <si>
    <t>2026-05-04 10:53</t>
  </si>
  <si>
    <t>18147</t>
  </si>
  <si>
    <t>9463131952</t>
  </si>
  <si>
    <t>PATRICIO ALEJANDRO CONCHA PÉREZ</t>
  </si>
  <si>
    <t>Los Nísperos 0678, departamento 710 - A, 710 - A, Condominio Terrazas del Sol</t>
  </si>
  <si>
    <t>2026-05-04 10:20</t>
  </si>
  <si>
    <t>18249</t>
  </si>
  <si>
    <t>9462022371</t>
  </si>
  <si>
    <t>Jorge Farah Ojeda</t>
  </si>
  <si>
    <t>Avenida La Marina 1397</t>
  </si>
  <si>
    <t>2026-05-11 16:04</t>
  </si>
  <si>
    <t>18259</t>
  </si>
  <si>
    <t>9461907070</t>
  </si>
  <si>
    <t>Pablo Beltrami</t>
  </si>
  <si>
    <t>Holanda, 745</t>
  </si>
  <si>
    <t>2026-05-13 09:15</t>
  </si>
  <si>
    <t>18264</t>
  </si>
  <si>
    <t>9461839730</t>
  </si>
  <si>
    <t>Nicole Diaz castillo</t>
  </si>
  <si>
    <t>Juan maisonave 988 batuco</t>
  </si>
  <si>
    <t>2026-05-13 11:37</t>
  </si>
  <si>
    <t>18180</t>
  </si>
  <si>
    <t>9461777942</t>
  </si>
  <si>
    <t>Joaquín Martínez</t>
  </si>
  <si>
    <t>2035, Dario urzua</t>
  </si>
  <si>
    <t>2026-05-06 09:29</t>
  </si>
  <si>
    <t>18206</t>
  </si>
  <si>
    <t>9461631351</t>
  </si>
  <si>
    <t>maria Arecheta</t>
  </si>
  <si>
    <t>Martin alonso Pinzon 4836</t>
  </si>
  <si>
    <t>2026-05-11 10:16</t>
  </si>
  <si>
    <t>18225</t>
  </si>
  <si>
    <t>9461628890</t>
  </si>
  <si>
    <t>Renata Bustos NORAMBUENA</t>
  </si>
  <si>
    <t>Isla del Rosario 6821</t>
  </si>
  <si>
    <t>2026-05-11 12:42</t>
  </si>
  <si>
    <t>servicio13052026</t>
  </si>
  <si>
    <t>9461576073</t>
  </si>
  <si>
    <t>Sociedad Hotelera Termas de Chillán Spa</t>
  </si>
  <si>
    <t>Km 80 ruta N 55</t>
  </si>
  <si>
    <t>2026-05-13 13:19</t>
  </si>
  <si>
    <t>11166</t>
  </si>
  <si>
    <t>9461415062</t>
  </si>
  <si>
    <t>Elson Eduardo San Martin Ramirez</t>
  </si>
  <si>
    <t>Comandante Máximo Humbser 287</t>
  </si>
  <si>
    <t>2026-05-13 09:53</t>
  </si>
  <si>
    <t>18261</t>
  </si>
  <si>
    <t>9461328015</t>
  </si>
  <si>
    <t>Cristian Candia Cid</t>
  </si>
  <si>
    <t>Ines de suarez 7858, Departamento 710</t>
  </si>
  <si>
    <t>2026-05-13 09:27</t>
  </si>
  <si>
    <t>18253</t>
  </si>
  <si>
    <t>9461323410</t>
  </si>
  <si>
    <t>Claudio Rojas Vargas</t>
  </si>
  <si>
    <t>Bucarest 598, Bucarest 598</t>
  </si>
  <si>
    <t>2026-05-12 11:31</t>
  </si>
  <si>
    <t>18250</t>
  </si>
  <si>
    <t>9461265671</t>
  </si>
  <si>
    <t>Erika Andrea Figueroa Estrada</t>
  </si>
  <si>
    <t>Calle Bio Bio, 343</t>
  </si>
  <si>
    <t>2026-05-12 11:28</t>
  </si>
  <si>
    <t>18175</t>
  </si>
  <si>
    <t>9461170003</t>
  </si>
  <si>
    <t>Matias Flores Soto</t>
  </si>
  <si>
    <t>Calle 1 6575, Torre don carlo 504</t>
  </si>
  <si>
    <t>2026-05-05 12:39</t>
  </si>
  <si>
    <t>18187</t>
  </si>
  <si>
    <t>9461067011</t>
  </si>
  <si>
    <t>Omar Faúndez Ramos</t>
  </si>
  <si>
    <t>San Martín 553 oficina 1104</t>
  </si>
  <si>
    <t>2026-05-06 17:11</t>
  </si>
  <si>
    <t>18172</t>
  </si>
  <si>
    <t>9461062660</t>
  </si>
  <si>
    <t>Veronica Acevedo</t>
  </si>
  <si>
    <t>Los pamperos 322</t>
  </si>
  <si>
    <t>2026-05-05 10:39</t>
  </si>
  <si>
    <t>38953</t>
  </si>
  <si>
    <t>9460975650</t>
  </si>
  <si>
    <t>Karina Maria Derisi</t>
  </si>
  <si>
    <t>Av Paseo Colina Sur 14000, colina (Referencia: LA VIÑA 42 CASAS DE HACIENDA - Colina, Colina, RM (Metropolitana))</t>
  </si>
  <si>
    <t>2026-05-04 18:05</t>
  </si>
  <si>
    <t>18178</t>
  </si>
  <si>
    <t>9460952034</t>
  </si>
  <si>
    <t>Manuela Montes</t>
  </si>
  <si>
    <t>Del Inca 4859</t>
  </si>
  <si>
    <t>2026-05-06 09:26</t>
  </si>
  <si>
    <t>18183</t>
  </si>
  <si>
    <t>9460875163</t>
  </si>
  <si>
    <t>Jorge Ignacio</t>
  </si>
  <si>
    <t>Colina 1878, ⁠Santiago</t>
  </si>
  <si>
    <t>2026-05-06 09:43</t>
  </si>
  <si>
    <t>11161</t>
  </si>
  <si>
    <t>9460872400</t>
  </si>
  <si>
    <t>Rofael Montoya De la Maza</t>
  </si>
  <si>
    <t>Quilin Sur 10501, casa 2</t>
  </si>
  <si>
    <t>2026-05-02 14:02</t>
  </si>
  <si>
    <t>18167</t>
  </si>
  <si>
    <t>9460856963</t>
  </si>
  <si>
    <t>Paulina Donoso</t>
  </si>
  <si>
    <t>Isidora Goyenechea 3434, Depto 61</t>
  </si>
  <si>
    <t>2026-05-04 18:36</t>
  </si>
  <si>
    <t>18192</t>
  </si>
  <si>
    <t>9460837492</t>
  </si>
  <si>
    <t>Rocio Basualto Carbonell</t>
  </si>
  <si>
    <t>Cochrane 590 Depto 3</t>
  </si>
  <si>
    <t>2026-05-07 10:51</t>
  </si>
  <si>
    <t>18189</t>
  </si>
  <si>
    <t>9460807510</t>
  </si>
  <si>
    <t>Beatriz Rebolledo</t>
  </si>
  <si>
    <t>José Pedro Alessandri 1620 depto 616</t>
  </si>
  <si>
    <t>2026-05-07 10:47</t>
  </si>
  <si>
    <t>38949</t>
  </si>
  <si>
    <t>9460801420</t>
  </si>
  <si>
    <t>Maximiliano Sandoval</t>
  </si>
  <si>
    <t>Parcela 38 sitio 1 santa Matilde tiltil (Referencia al lado del colegio)</t>
  </si>
  <si>
    <t>2026-05-06 10:56</t>
  </si>
  <si>
    <t>18174</t>
  </si>
  <si>
    <t>9460754225</t>
  </si>
  <si>
    <t>cristobal hernan cardemil besa</t>
  </si>
  <si>
    <t>los angeles, avenida alemania 368</t>
  </si>
  <si>
    <t>2026-05-05 12:38</t>
  </si>
  <si>
    <t>11162</t>
  </si>
  <si>
    <t>9460667101</t>
  </si>
  <si>
    <t>orlando espinoza</t>
  </si>
  <si>
    <t>Pasaje la serena 408</t>
  </si>
  <si>
    <t>2026-05-05 13:09</t>
  </si>
  <si>
    <t>38930</t>
  </si>
  <si>
    <t>9460594161</t>
  </si>
  <si>
    <t>Daniel Alejandro velasquez argandoña</t>
  </si>
  <si>
    <t>Litoral 1087 , Diego de almagro,  Comuna Chañaral</t>
  </si>
  <si>
    <t>2026-05-04 17:41</t>
  </si>
  <si>
    <t>18181</t>
  </si>
  <si>
    <t>9460556033</t>
  </si>
  <si>
    <t>Ignacio Javier Riquelme Alvarez</t>
  </si>
  <si>
    <t>Pasaje doctor Eugenio Ampuero, 632</t>
  </si>
  <si>
    <t>2026-05-06 09:30</t>
  </si>
  <si>
    <t>18182</t>
  </si>
  <si>
    <t>9460496791</t>
  </si>
  <si>
    <t>Lucas Bizzarri</t>
  </si>
  <si>
    <t>Tupungato 10051, dpto 1104</t>
  </si>
  <si>
    <t>38987</t>
  </si>
  <si>
    <t>9460363566</t>
  </si>
  <si>
    <t>Moisés Alarcón</t>
  </si>
  <si>
    <t>Rio don 03164</t>
  </si>
  <si>
    <t>2026-05-06 10:05</t>
  </si>
  <si>
    <t>18184</t>
  </si>
  <si>
    <t>9460332022</t>
  </si>
  <si>
    <t>Isabel Uriarte Gilabert</t>
  </si>
  <si>
    <t>Camino El Huinganal 3674, casa 25</t>
  </si>
  <si>
    <t>2026-05-06 09:45</t>
  </si>
  <si>
    <t>11159</t>
  </si>
  <si>
    <t>9431804911</t>
  </si>
  <si>
    <t>Conny Nettle</t>
  </si>
  <si>
    <t>Andalien 7320, Depto 202</t>
  </si>
  <si>
    <t>2026-04-20 00:15</t>
  </si>
  <si>
    <t>18095</t>
  </si>
  <si>
    <t>9431146233</t>
  </si>
  <si>
    <t>LUIS FELIPE BARRIA MANSILLA</t>
  </si>
  <si>
    <t>VOLCAN CORCOVADO 5800 DEPARTAMENTO B-315, DEJAR EN CONSERJERIA</t>
  </si>
  <si>
    <t>2026-04-23 10:01</t>
  </si>
  <si>
    <t>18101</t>
  </si>
  <si>
    <t>9431068824</t>
  </si>
  <si>
    <t>Marco Caro</t>
  </si>
  <si>
    <t>Avenida Perez Canto 765</t>
  </si>
  <si>
    <t>2026-04-24 09:49</t>
  </si>
  <si>
    <t>18097</t>
  </si>
  <si>
    <t>9431037534</t>
  </si>
  <si>
    <t>Pablo Ibáñez Beltrami</t>
  </si>
  <si>
    <t>2026-04-23 17:54</t>
  </si>
  <si>
    <t>18099</t>
  </si>
  <si>
    <t>9430987204</t>
  </si>
  <si>
    <t>Mauricio De la Rivera</t>
  </si>
  <si>
    <t>Camino La Cumbre 4122, Depto 224</t>
  </si>
  <si>
    <t>2026-04-24 09:48</t>
  </si>
  <si>
    <t>18098</t>
  </si>
  <si>
    <t>9430972040</t>
  </si>
  <si>
    <t>PABLO SEPULVEDA</t>
  </si>
  <si>
    <t>PRAT 955</t>
  </si>
  <si>
    <t>2026-04-24 09:46</t>
  </si>
  <si>
    <t>18070</t>
  </si>
  <si>
    <t>9430423192</t>
  </si>
  <si>
    <t>Richard Carrillo robles</t>
  </si>
  <si>
    <t>Camino a coronel km20 parque escuadron, empresa ewos, Planta ewos</t>
  </si>
  <si>
    <t>2026-04-21 10:02</t>
  </si>
  <si>
    <t>18051</t>
  </si>
  <si>
    <t>9430264410</t>
  </si>
  <si>
    <t>Ximena Mellado inostroza</t>
  </si>
  <si>
    <t>Casa 346 pasaje 1 la marquesa 2 curico, Pasaje 1 la marquesa 2 frente tottus curico</t>
  </si>
  <si>
    <t>2026-04-23 11:23</t>
  </si>
  <si>
    <t>18103</t>
  </si>
  <si>
    <t>9430171984</t>
  </si>
  <si>
    <t>Luciano Cerrigone</t>
  </si>
  <si>
    <t>Av Suecia 810 Depa 404</t>
  </si>
  <si>
    <t>18112</t>
  </si>
  <si>
    <t>9430114853</t>
  </si>
  <si>
    <t>Rodrigo Calderon</t>
  </si>
  <si>
    <t>San Juan 157</t>
  </si>
  <si>
    <t>2026-04-27 09:56</t>
  </si>
  <si>
    <t>20569</t>
  </si>
  <si>
    <t>2292722950</t>
  </si>
  <si>
    <t>Miguel Luengo</t>
  </si>
  <si>
    <t>av santa isabel 176, dpto 513, Santiago,</t>
  </si>
  <si>
    <t>2026-05-22 10:43</t>
  </si>
  <si>
    <t>18400</t>
  </si>
  <si>
    <t>2292712590</t>
  </si>
  <si>
    <t>Bernardita Flores</t>
  </si>
  <si>
    <t>Chelin 1928</t>
  </si>
  <si>
    <t>2026-05-22 13:27</t>
  </si>
  <si>
    <t>18397</t>
  </si>
  <si>
    <t>2292712531</t>
  </si>
  <si>
    <t>Jorge Vásquez Alemany</t>
  </si>
  <si>
    <t>21 de mayo #3650, octava avenida 1358</t>
  </si>
  <si>
    <t>2026-05-22 10:29</t>
  </si>
  <si>
    <t>18396</t>
  </si>
  <si>
    <t>2292712520</t>
  </si>
  <si>
    <t>Joshua Espinoza</t>
  </si>
  <si>
    <t>Las Margaritas 843</t>
  </si>
  <si>
    <t>2026-05-22 10:27</t>
  </si>
  <si>
    <t>18395</t>
  </si>
  <si>
    <t>2292712402</t>
  </si>
  <si>
    <t>Fabian Duarte Valeria</t>
  </si>
  <si>
    <t>Calle El Lucero 457</t>
  </si>
  <si>
    <t>2026-05-22 10:25</t>
  </si>
  <si>
    <t>18394</t>
  </si>
  <si>
    <t>2292712343</t>
  </si>
  <si>
    <t>Felipe Olivares Pastene</t>
  </si>
  <si>
    <t>Avenida Cristobal Colon 5196 Departamento 301 Torre 1, Avenida Cristobal Colon 5196 Departamento 301 Torre 1</t>
  </si>
  <si>
    <t>18393</t>
  </si>
  <si>
    <t>2292712284</t>
  </si>
  <si>
    <t>Diego Riffo</t>
  </si>
  <si>
    <t>Rodríguez 99, Valparaíso, Chile, depto 2001, Rodríguez 99, Valparaíso, Chile, depto 2001</t>
  </si>
  <si>
    <t>2026-05-22 10:23</t>
  </si>
  <si>
    <t>18392</t>
  </si>
  <si>
    <t>2292712214</t>
  </si>
  <si>
    <t>Cristian Aguilera</t>
  </si>
  <si>
    <t>padre miguel de olivares 1444 depto 722</t>
  </si>
  <si>
    <t>2026-05-22 10:16</t>
  </si>
  <si>
    <t>18391</t>
  </si>
  <si>
    <t>2292712170</t>
  </si>
  <si>
    <t>Felipe Yañez</t>
  </si>
  <si>
    <t>20 sur 4 poniente #491</t>
  </si>
  <si>
    <t>2026-05-22 10:14</t>
  </si>
  <si>
    <t>18389</t>
  </si>
  <si>
    <t>2292712111</t>
  </si>
  <si>
    <t>Matias Letter</t>
  </si>
  <si>
    <t>La pirca 4340, Condominio las brisas de chicureo</t>
  </si>
  <si>
    <t>2026-05-22 10:07</t>
  </si>
  <si>
    <t>18388</t>
  </si>
  <si>
    <t>2292712026</t>
  </si>
  <si>
    <t>Paola HORMAZABAL</t>
  </si>
  <si>
    <t>AVENIDA CHICUREO 1100, Condominio Chicureo II / Parcela 23</t>
  </si>
  <si>
    <t>2026-05-22 10:05</t>
  </si>
  <si>
    <t>18387</t>
  </si>
  <si>
    <t>2292711982</t>
  </si>
  <si>
    <t>Roberto Collao</t>
  </si>
  <si>
    <t>Avenida Luis Thayer Ojeda 641, depto 42, Providencia, Chile</t>
  </si>
  <si>
    <t>2026-05-22 10:04</t>
  </si>
  <si>
    <t>18386</t>
  </si>
  <si>
    <t>2292711934</t>
  </si>
  <si>
    <t>Jeanette Oliva Canales</t>
  </si>
  <si>
    <t>Reñaca Norte 145, departamento 113, Condominio Stella Maris</t>
  </si>
  <si>
    <t>2026-05-22 10:03</t>
  </si>
  <si>
    <t>18385</t>
  </si>
  <si>
    <t>2292711890</t>
  </si>
  <si>
    <t>Amada Avendaño Silva</t>
  </si>
  <si>
    <t>Enrique Mac Iver 524, Departamento 504</t>
  </si>
  <si>
    <t>2026-05-22 10:02</t>
  </si>
  <si>
    <t>18384</t>
  </si>
  <si>
    <t>2292711820</t>
  </si>
  <si>
    <t>CAROLA AGUAYO</t>
  </si>
  <si>
    <t>Riesling Sur 0150, Paseo Central Oriente</t>
  </si>
  <si>
    <t>2026-05-22 09:54</t>
  </si>
  <si>
    <t>18383</t>
  </si>
  <si>
    <t>2292711735</t>
  </si>
  <si>
    <t>Constanza Gaete Peña</t>
  </si>
  <si>
    <t>El agricultor 51, aires melipilla etapa 3, El agricultor 51 aires melipilla etapa 3</t>
  </si>
  <si>
    <t>2026-05-22 09:53</t>
  </si>
  <si>
    <t>18382</t>
  </si>
  <si>
    <t>2292711536</t>
  </si>
  <si>
    <t>Alexis Olivares</t>
  </si>
  <si>
    <t>San Diego 161 Depto 810, San Diego 161 Depto 810</t>
  </si>
  <si>
    <t>2026-05-22 09:52</t>
  </si>
  <si>
    <t>18381</t>
  </si>
  <si>
    <t>2292711492</t>
  </si>
  <si>
    <t>Carla Ljubetic</t>
  </si>
  <si>
    <t>Mariategui 2476, 305</t>
  </si>
  <si>
    <t>18380</t>
  </si>
  <si>
    <t>2292711444</t>
  </si>
  <si>
    <t>Javiera Gaviño Cruz</t>
  </si>
  <si>
    <t>Berlín 1726, 307A</t>
  </si>
  <si>
    <t>2026-05-22 09:35</t>
  </si>
  <si>
    <t>18379</t>
  </si>
  <si>
    <t>2292672675</t>
  </si>
  <si>
    <t>Daniela Rodriguez D'Amico</t>
  </si>
  <si>
    <t>Av bosques de Montemar 400 dpto 123</t>
  </si>
  <si>
    <t>2026-05-22 09:34</t>
  </si>
  <si>
    <t>18378</t>
  </si>
  <si>
    <t>2292672620</t>
  </si>
  <si>
    <t>Pinchazo de evento</t>
  </si>
  <si>
    <t>Jorge Araya</t>
  </si>
  <si>
    <t>Los Hibiscus 9, Condominio el Algarrobal 1</t>
  </si>
  <si>
    <t>2026-05-22 09:32</t>
  </si>
  <si>
    <t>18376</t>
  </si>
  <si>
    <t>2292669083</t>
  </si>
  <si>
    <t>osvaldo del valle</t>
  </si>
  <si>
    <t>Calle Alto Laguna nro 60 casa 17, Condominio Aires de Curauma II</t>
  </si>
  <si>
    <t>2026-05-22 09:28</t>
  </si>
  <si>
    <t>18375</t>
  </si>
  <si>
    <t>2292669072</t>
  </si>
  <si>
    <t>Gladys Pasmiño</t>
  </si>
  <si>
    <t>Psje. Río Cisnes 9460, C</t>
  </si>
  <si>
    <t>2026-05-22 09:27</t>
  </si>
  <si>
    <t>18373</t>
  </si>
  <si>
    <t>2292669002</t>
  </si>
  <si>
    <t>Bernardita del Real Hobon</t>
  </si>
  <si>
    <t>Pedro de Valdivia 090, 404</t>
  </si>
  <si>
    <t>2026-05-22 09:25</t>
  </si>
  <si>
    <t>18372</t>
  </si>
  <si>
    <t>2292668954</t>
  </si>
  <si>
    <t>Cristian Gutierrez</t>
  </si>
  <si>
    <t>Arenales 131, Depto 1704</t>
  </si>
  <si>
    <t>2026-05-22 09:23</t>
  </si>
  <si>
    <t>18371</t>
  </si>
  <si>
    <t>2291404721</t>
  </si>
  <si>
    <t>Jaime Silva</t>
  </si>
  <si>
    <t>Romeo Salinas 1529 depto 309, Romeo Salinas 1529 depto 309</t>
  </si>
  <si>
    <t>2026-05-20 13:30</t>
  </si>
  <si>
    <t>18368</t>
  </si>
  <si>
    <t>2291404684</t>
  </si>
  <si>
    <t>Héctor Eyzaguirre</t>
  </si>
  <si>
    <t>Los Sargazos 1544 depto 1 Renaca Viña del Mar</t>
  </si>
  <si>
    <t>2026-05-20 13:26</t>
  </si>
  <si>
    <t>18366</t>
  </si>
  <si>
    <t>2291293955</t>
  </si>
  <si>
    <t>Osvaldo Guerrero castillo</t>
  </si>
  <si>
    <t>Docamavida int 614, Docamavida int 614</t>
  </si>
  <si>
    <t>2026-05-20 09:32</t>
  </si>
  <si>
    <t>18365</t>
  </si>
  <si>
    <t>2291293885</t>
  </si>
  <si>
    <t>Paola Canelo Prado</t>
  </si>
  <si>
    <t>Vargas Buston 958, Casa 7</t>
  </si>
  <si>
    <t>2026-05-20 09:30</t>
  </si>
  <si>
    <t>18364</t>
  </si>
  <si>
    <t>2291293852</t>
  </si>
  <si>
    <t>Gabriel Gallegos Aqueveque</t>
  </si>
  <si>
    <t>Avenida Jardinea de Reñaca 50 (torre Costa parque dpto 101)</t>
  </si>
  <si>
    <t>2026-05-20 09:28</t>
  </si>
  <si>
    <t>18363</t>
  </si>
  <si>
    <t>2291293841</t>
  </si>
  <si>
    <t>Isidora Allendes</t>
  </si>
  <si>
    <t>Santa Paula 692, Santa Paula 692</t>
  </si>
  <si>
    <t>2026-05-20 09:27</t>
  </si>
  <si>
    <t>18362</t>
  </si>
  <si>
    <t>2291293756</t>
  </si>
  <si>
    <t>Valeria Calderon</t>
  </si>
  <si>
    <t>Los Mirlos 181, Los mirlos 181, dpto 2001</t>
  </si>
  <si>
    <t>2026-05-19 18:14</t>
  </si>
  <si>
    <t>18361</t>
  </si>
  <si>
    <t>2291293690</t>
  </si>
  <si>
    <t>Enrique Fernandez</t>
  </si>
  <si>
    <t>San Vicente de Paul 5855 Depto 801</t>
  </si>
  <si>
    <t>2026-05-19 18:13</t>
  </si>
  <si>
    <t>18359</t>
  </si>
  <si>
    <t>2291293546</t>
  </si>
  <si>
    <t>Liria González</t>
  </si>
  <si>
    <t>Pirita 10.455, Condominio los Volcanes</t>
  </si>
  <si>
    <t>2026-05-19 18:12</t>
  </si>
  <si>
    <t>18358</t>
  </si>
  <si>
    <t>2291293480</t>
  </si>
  <si>
    <t>Francisco Miranda soto</t>
  </si>
  <si>
    <t>Los Alpes 960 dpto 1005</t>
  </si>
  <si>
    <t>2026-05-19 18:08</t>
  </si>
  <si>
    <t>18357</t>
  </si>
  <si>
    <t>2291293421</t>
  </si>
  <si>
    <t>Entrega parcial</t>
  </si>
  <si>
    <t>ENTREGADO. Entregados: 1 de 2</t>
  </si>
  <si>
    <t>julian PAREDES ACOSTA</t>
  </si>
  <si>
    <t>Algarrobo 265, por av lo ovalle entre Marcoleta y las torres.  Llamar para abrir porton condominio</t>
  </si>
  <si>
    <t>2026-05-19 18:05</t>
  </si>
  <si>
    <t>18356</t>
  </si>
  <si>
    <t>2291293384</t>
  </si>
  <si>
    <t>Teresa Hernández Bernal</t>
  </si>
  <si>
    <t>Marcos Gallo Vergara 536b. Dpto 235, Condominio Vicenza II</t>
  </si>
  <si>
    <t>2026-05-19 18:02</t>
  </si>
  <si>
    <t>18355</t>
  </si>
  <si>
    <t>2291293303</t>
  </si>
  <si>
    <t>francisca hitschfeld</t>
  </si>
  <si>
    <t>ohiggins 1158, dpto 6B</t>
  </si>
  <si>
    <t>2026-05-19 17:58</t>
  </si>
  <si>
    <t>18354</t>
  </si>
  <si>
    <t>2291293244</t>
  </si>
  <si>
    <t>Paulina Oyarzun</t>
  </si>
  <si>
    <t>Baquedano 1414</t>
  </si>
  <si>
    <t>2026-05-19 17:56</t>
  </si>
  <si>
    <t>18353</t>
  </si>
  <si>
    <t>2291293200</t>
  </si>
  <si>
    <t>Mauricio Toledo</t>
  </si>
  <si>
    <t>Avenida santa herminia 220 ⁠220, Casa 75</t>
  </si>
  <si>
    <t>2026-05-19 17:53</t>
  </si>
  <si>
    <t>18351</t>
  </si>
  <si>
    <t>2291293185</t>
  </si>
  <si>
    <t>Victor Cañon</t>
  </si>
  <si>
    <t>la reserva de curacavi parcela 61</t>
  </si>
  <si>
    <t>2026-05-19 12:32</t>
  </si>
  <si>
    <t>18350</t>
  </si>
  <si>
    <t>2291293126</t>
  </si>
  <si>
    <t>Pamela Javiera Aravena Opazo</t>
  </si>
  <si>
    <t>Laura Barros 205 ⁠, Dpto 508</t>
  </si>
  <si>
    <t>2026-05-19 12:31</t>
  </si>
  <si>
    <t>18331</t>
  </si>
  <si>
    <t>2290749580</t>
  </si>
  <si>
    <t>Adela Campos</t>
  </si>
  <si>
    <t>Volcan Puntiagudo 0521</t>
  </si>
  <si>
    <t>2026-05-19 10:31</t>
  </si>
  <si>
    <t>18349</t>
  </si>
  <si>
    <t>2290747594</t>
  </si>
  <si>
    <t>Carolina Varas Dominguez</t>
  </si>
  <si>
    <t>alonso de cordova 4555, departamento 1305</t>
  </si>
  <si>
    <t>2026-05-19 10:58</t>
  </si>
  <si>
    <t>18348</t>
  </si>
  <si>
    <t>2290747572</t>
  </si>
  <si>
    <t>Natalia Marinovic</t>
  </si>
  <si>
    <t>Camino a Cahuil 4651, Casa 7</t>
  </si>
  <si>
    <t>2026-05-19 10:56</t>
  </si>
  <si>
    <t>18347</t>
  </si>
  <si>
    <t>2290747550</t>
  </si>
  <si>
    <t>Jenery Contreras Perez</t>
  </si>
  <si>
    <t>Las Hiedras 1720, Las hiedras 1720</t>
  </si>
  <si>
    <t>2026-05-19 10:55</t>
  </si>
  <si>
    <t>18346</t>
  </si>
  <si>
    <t>2290747480</t>
  </si>
  <si>
    <t>Soledad Andrea León Cerda</t>
  </si>
  <si>
    <t>Román Díaz 2270, 187A</t>
  </si>
  <si>
    <t>2026-05-19 10:54</t>
  </si>
  <si>
    <t>18345</t>
  </si>
  <si>
    <t>2290747443</t>
  </si>
  <si>
    <t>Yerko Esperguel toro</t>
  </si>
  <si>
    <t>Isla tenglo 1951 maipu</t>
  </si>
  <si>
    <t>18344</t>
  </si>
  <si>
    <t>2290747410</t>
  </si>
  <si>
    <t>Camila Suarez Cabello</t>
  </si>
  <si>
    <t>Alvarez 1722 depto 31 A Viña del Mar, Alvarez 1722 depto 31 A</t>
  </si>
  <si>
    <t>2026-05-19 10:47</t>
  </si>
  <si>
    <t>18342</t>
  </si>
  <si>
    <t>2290747292</t>
  </si>
  <si>
    <t>Elizabeth Baeza</t>
  </si>
  <si>
    <t>Diagonal Santa Irene 3007, Depto 402C</t>
  </si>
  <si>
    <t>2026-05-19 10:45</t>
  </si>
  <si>
    <t>18341</t>
  </si>
  <si>
    <t>2290747270</t>
  </si>
  <si>
    <t>Gustavo Sánchez Zúñiga</t>
  </si>
  <si>
    <t>Marchant Pereira 1925, Los Rosales 1011</t>
  </si>
  <si>
    <t>18339</t>
  </si>
  <si>
    <t>2290747244</t>
  </si>
  <si>
    <t>Luis Labra</t>
  </si>
  <si>
    <t>Avenida Condell Sur 01237, depto 1603. Quilpué</t>
  </si>
  <si>
    <t>2026-05-19 10:42</t>
  </si>
  <si>
    <t>18338</t>
  </si>
  <si>
    <t>2290747211</t>
  </si>
  <si>
    <t>pamela alvarez</t>
  </si>
  <si>
    <t>Pasaje Los Maitenes 430-c, Pasaje los maitenes 430-c</t>
  </si>
  <si>
    <t>18337</t>
  </si>
  <si>
    <t>2290747185</t>
  </si>
  <si>
    <t>Isabel Reyes</t>
  </si>
  <si>
    <t>Luis Thayer Ojeda 1620, Departamento 3</t>
  </si>
  <si>
    <t>2026-05-19 10:40</t>
  </si>
  <si>
    <t>18334</t>
  </si>
  <si>
    <t>2290747163</t>
  </si>
  <si>
    <t>Camila Bravo</t>
  </si>
  <si>
    <t>Guillermo Acuña 2827, Depto 601</t>
  </si>
  <si>
    <t>18333</t>
  </si>
  <si>
    <t>2290747126</t>
  </si>
  <si>
    <t>Katherine Pizarro Cortes</t>
  </si>
  <si>
    <t>Eliazar Munizaga Torrejon 1729, Parque Ingles</t>
  </si>
  <si>
    <t>2026-05-19 10:37</t>
  </si>
  <si>
    <t>18332</t>
  </si>
  <si>
    <t>2290747060</t>
  </si>
  <si>
    <t>Andres Assicie</t>
  </si>
  <si>
    <t>6 norte 325, 6 norte 325, Don Emelio Restaurante</t>
  </si>
  <si>
    <t>18330</t>
  </si>
  <si>
    <t>2290340065</t>
  </si>
  <si>
    <t>Guillermo patricio Maturana becerra</t>
  </si>
  <si>
    <t>Juanita Ochoa palacios 943 rengo</t>
  </si>
  <si>
    <t>2026-05-18 18:30</t>
  </si>
  <si>
    <t>18329</t>
  </si>
  <si>
    <t>2290337033</t>
  </si>
  <si>
    <t>Eduardo Valdes</t>
  </si>
  <si>
    <t>Las Hualtatas 4334 dpto 501</t>
  </si>
  <si>
    <t>2026-05-18 18:29</t>
  </si>
  <si>
    <t>18328</t>
  </si>
  <si>
    <t>2290336926</t>
  </si>
  <si>
    <t>Giovanni Verdugo</t>
  </si>
  <si>
    <t>Las Compuertas 1511, casa 92</t>
  </si>
  <si>
    <t>2026-05-18 18:28</t>
  </si>
  <si>
    <t>18327</t>
  </si>
  <si>
    <t>2290336904</t>
  </si>
  <si>
    <t>Rosario Bejares Welkner</t>
  </si>
  <si>
    <t>Los mirlos 181, Depto 1404</t>
  </si>
  <si>
    <t>2026-05-18 18:12</t>
  </si>
  <si>
    <t>18326</t>
  </si>
  <si>
    <t>2290336860</t>
  </si>
  <si>
    <t>Lissette Zarate Muñoz</t>
  </si>
  <si>
    <t>Chacabuco 803, 803, 803</t>
  </si>
  <si>
    <t>2026-05-18 18:10</t>
  </si>
  <si>
    <t>18325</t>
  </si>
  <si>
    <t>2290332516</t>
  </si>
  <si>
    <t>Juan Jerez</t>
  </si>
  <si>
    <t>Los Avellanos 1725</t>
  </si>
  <si>
    <t>2026-05-18 18:08</t>
  </si>
  <si>
    <t>18324</t>
  </si>
  <si>
    <t>2290332461</t>
  </si>
  <si>
    <t>Raysa Feliú Hemmelmann</t>
  </si>
  <si>
    <t>Camino Botrolhue Km 4.8, Sector las manzanas, Llamar</t>
  </si>
  <si>
    <t>2026-05-18 17:07</t>
  </si>
  <si>
    <t>18323</t>
  </si>
  <si>
    <t>2290332424</t>
  </si>
  <si>
    <t>constanza bruna aguilera</t>
  </si>
  <si>
    <t>camino el parque 100 edificio magnolio 1106, camino el parque 100 edificio magnolio 1106</t>
  </si>
  <si>
    <t>2026-05-18 17:06</t>
  </si>
  <si>
    <t>18320</t>
  </si>
  <si>
    <t>2290332376</t>
  </si>
  <si>
    <t>NICOLAS GARCIA</t>
  </si>
  <si>
    <t>RUTA N-55 KM 80, CAMINO TERMAS DE CHILLAN</t>
  </si>
  <si>
    <t>2026-05-18 17:03</t>
  </si>
  <si>
    <t>18319</t>
  </si>
  <si>
    <t>2290332332</t>
  </si>
  <si>
    <t>Maximiliano Ruiz-Tagle</t>
  </si>
  <si>
    <t>El Valle 2082</t>
  </si>
  <si>
    <t>2026-05-18 16:40</t>
  </si>
  <si>
    <t>18316</t>
  </si>
  <si>
    <t>2290332192</t>
  </si>
  <si>
    <t>Alexandra Muñoz Peralta</t>
  </si>
  <si>
    <t>Baquedano 253, Los Ángeles, Departamento 203</t>
  </si>
  <si>
    <t>2026-05-18 16:08</t>
  </si>
  <si>
    <t>18315</t>
  </si>
  <si>
    <t>2289460180</t>
  </si>
  <si>
    <t>paula bezanilla</t>
  </si>
  <si>
    <t>lucerna 159, lo barnechea</t>
  </si>
  <si>
    <t>2026-05-18 11:20</t>
  </si>
  <si>
    <t>18314</t>
  </si>
  <si>
    <t>2289460110</t>
  </si>
  <si>
    <t>Cristian Julio Rudolphy</t>
  </si>
  <si>
    <t>Las Encinas 1231, Departamento 705</t>
  </si>
  <si>
    <t>2026-05-18 11:12</t>
  </si>
  <si>
    <t>18312</t>
  </si>
  <si>
    <t>2289460051</t>
  </si>
  <si>
    <t>Alessandra Schiaffino Serrano</t>
  </si>
  <si>
    <t>Gastón Hamel Nieto 250 dpto 131, Viña del mar</t>
  </si>
  <si>
    <t>2026-05-18 11:11</t>
  </si>
  <si>
    <t>18310</t>
  </si>
  <si>
    <t>2289459992</t>
  </si>
  <si>
    <t>Sara Vargas</t>
  </si>
  <si>
    <t>Los aromos 1151 casa 48, Los aromos 1151 casa 48</t>
  </si>
  <si>
    <t>2026-05-18 10:56</t>
  </si>
  <si>
    <t>18309</t>
  </si>
  <si>
    <t>2289459852</t>
  </si>
  <si>
    <t>carolina cuevas</t>
  </si>
  <si>
    <t>Camino al volcan 05879, Condominio 8, casa 2</t>
  </si>
  <si>
    <t>2026-05-18 10:54</t>
  </si>
  <si>
    <t>18308</t>
  </si>
  <si>
    <t>2289459804</t>
  </si>
  <si>
    <t>Barbara Munzenmayer</t>
  </si>
  <si>
    <t>Sargento silva 1725, 407 A</t>
  </si>
  <si>
    <t>2026-05-18 10:53</t>
  </si>
  <si>
    <t>18306</t>
  </si>
  <si>
    <t>2289459734</t>
  </si>
  <si>
    <t>Martin Labarca</t>
  </si>
  <si>
    <t>el cacique 0270 (timbre C), el cacique 0270 (timbre C)</t>
  </si>
  <si>
    <t>2026-05-18 10:51</t>
  </si>
  <si>
    <t>18305</t>
  </si>
  <si>
    <t>2289459675</t>
  </si>
  <si>
    <t>ESTER ARIAS</t>
  </si>
  <si>
    <t>Pasaje Colonial, El Carmen, Codegua, 120</t>
  </si>
  <si>
    <t>2026-05-18 10:50</t>
  </si>
  <si>
    <t>18304</t>
  </si>
  <si>
    <t>2289417292</t>
  </si>
  <si>
    <t>María Carolina Soto Encina</t>
  </si>
  <si>
    <t>Villa Nueva Palena Calle 8 8073, Calle 8 8073</t>
  </si>
  <si>
    <t>18303</t>
  </si>
  <si>
    <t>2289417163</t>
  </si>
  <si>
    <t>Anton Muñoz</t>
  </si>
  <si>
    <t>Oscar Quiroz Morgado 1879 departamento 154</t>
  </si>
  <si>
    <t>18301</t>
  </si>
  <si>
    <t>2289417104</t>
  </si>
  <si>
    <t>Carlos Cornelius</t>
  </si>
  <si>
    <t>Avenida los rios 11300</t>
  </si>
  <si>
    <t>2026-05-18 10:29</t>
  </si>
  <si>
    <t>18300</t>
  </si>
  <si>
    <t>2289371394</t>
  </si>
  <si>
    <t>Laura carolina Vargas rojas</t>
  </si>
  <si>
    <t>Armando moock, Armando moock 3595 depto 207</t>
  </si>
  <si>
    <t>2026-05-18 10:27</t>
  </si>
  <si>
    <t>18299</t>
  </si>
  <si>
    <t>2289371324</t>
  </si>
  <si>
    <t>Jorge Espinoza</t>
  </si>
  <si>
    <t>los nogales 700, depto 302</t>
  </si>
  <si>
    <t>2026-05-18 10:26</t>
  </si>
  <si>
    <t>18298</t>
  </si>
  <si>
    <t>2289371276</t>
  </si>
  <si>
    <t>Daysi Ledesma</t>
  </si>
  <si>
    <t>Arturo Prat 675</t>
  </si>
  <si>
    <t>2026-05-18 10:25</t>
  </si>
  <si>
    <t>18297</t>
  </si>
  <si>
    <t>2289371184</t>
  </si>
  <si>
    <t>Mario Jara</t>
  </si>
  <si>
    <t>Los Pellines 1118</t>
  </si>
  <si>
    <t>18295</t>
  </si>
  <si>
    <t>2289337960</t>
  </si>
  <si>
    <t>Sebastian Peña</t>
  </si>
  <si>
    <t>Arturo prat 598</t>
  </si>
  <si>
    <t>2026-05-18 10:08</t>
  </si>
  <si>
    <t>18294</t>
  </si>
  <si>
    <t>2289337912</t>
  </si>
  <si>
    <t>CESAR PAINE</t>
  </si>
  <si>
    <t>Av. Perú 665, 8420316 Recoleta, Región Metropolitana, Chile, 602</t>
  </si>
  <si>
    <t>2026-05-18 10:07</t>
  </si>
  <si>
    <t>18293</t>
  </si>
  <si>
    <t>2289337864</t>
  </si>
  <si>
    <t>Eduardo Díaz</t>
  </si>
  <si>
    <t>Cerro Sombrero 01729, 302</t>
  </si>
  <si>
    <t>18292</t>
  </si>
  <si>
    <t>2289329873</t>
  </si>
  <si>
    <t>Maria Luisa Bellalta Berrios</t>
  </si>
  <si>
    <t>Ramon Harriet 19, Torre 1 Departamento 402</t>
  </si>
  <si>
    <t>18291</t>
  </si>
  <si>
    <t>2289329674</t>
  </si>
  <si>
    <t>Maria Isabel Fuentes Arriaza</t>
  </si>
  <si>
    <t>Froilan Lagos Sepulveda 1500, depto 1309A</t>
  </si>
  <si>
    <t>2026-05-18 10:02</t>
  </si>
  <si>
    <t>18290</t>
  </si>
  <si>
    <t>2289329545</t>
  </si>
  <si>
    <t>Magdalena Barriga</t>
  </si>
  <si>
    <t>Condell 679</t>
  </si>
  <si>
    <t>18289</t>
  </si>
  <si>
    <t>2289329453</t>
  </si>
  <si>
    <t>Luis Gamboa Navarro</t>
  </si>
  <si>
    <t>Rio Camahueto 50 casa 11 población Pichi Pelluco, Río camahueto 50 casa 11 población Pichi Pelluco</t>
  </si>
  <si>
    <t>18288</t>
  </si>
  <si>
    <t>2287598541</t>
  </si>
  <si>
    <t>Gilda Flores</t>
  </si>
  <si>
    <t>Ramón carnicer 5, Dep 63</t>
  </si>
  <si>
    <t>2026-05-15 12:13</t>
  </si>
  <si>
    <t>18287</t>
  </si>
  <si>
    <t>2287598493</t>
  </si>
  <si>
    <t>Cristian Pacheco</t>
  </si>
  <si>
    <t>ruta v155 km 2. Condominio lomas de frutillar parcela 26</t>
  </si>
  <si>
    <t>2026-05-15 12:11</t>
  </si>
  <si>
    <t>18286</t>
  </si>
  <si>
    <t>2287598456</t>
  </si>
  <si>
    <t>Jorge Davanzo Hyslop</t>
  </si>
  <si>
    <t>Avenida Bosques de Montemar 400 Dpto 61 Edificio Miro</t>
  </si>
  <si>
    <t>2026-05-15 12:10</t>
  </si>
  <si>
    <t>18285</t>
  </si>
  <si>
    <t>2287598423</t>
  </si>
  <si>
    <t>Claudio Henriquez</t>
  </si>
  <si>
    <t>Vicente Huidobro 3600, Torre B, Depto 1806, Dejar en Conserjeria</t>
  </si>
  <si>
    <t>2026-05-15 12:09</t>
  </si>
  <si>
    <t>18283</t>
  </si>
  <si>
    <t>2287509232</t>
  </si>
  <si>
    <t>ROCIO GARCES FERRER</t>
  </si>
  <si>
    <t>ISMAEL VALDES VERGARA, 360, DEPTO 32A</t>
  </si>
  <si>
    <t>2026-05-15 10:06</t>
  </si>
  <si>
    <t>18282</t>
  </si>
  <si>
    <t>2287509125</t>
  </si>
  <si>
    <t>Maestranza Ali</t>
  </si>
  <si>
    <t>Av. Las industrias 4930</t>
  </si>
  <si>
    <t>2026-05-15 10:05</t>
  </si>
  <si>
    <t>18281</t>
  </si>
  <si>
    <t>2287509070</t>
  </si>
  <si>
    <t>Igda Henriquez Perez</t>
  </si>
  <si>
    <t>Alcalde Miguel Rojas Acuña 0250, casa 39, condominio Centinela</t>
  </si>
  <si>
    <t>2026-05-15 10:03</t>
  </si>
  <si>
    <t>18280</t>
  </si>
  <si>
    <t>2287509022</t>
  </si>
  <si>
    <t>Nicolas Ross</t>
  </si>
  <si>
    <t>Las carretas 1885</t>
  </si>
  <si>
    <t>2026-05-15 10:02</t>
  </si>
  <si>
    <t>18279</t>
  </si>
  <si>
    <t>2287508963</t>
  </si>
  <si>
    <t>Robert Wetzel</t>
  </si>
  <si>
    <t>walker Martínez 668 Depto 802</t>
  </si>
  <si>
    <t>2026-05-15 09:53</t>
  </si>
  <si>
    <t>18278</t>
  </si>
  <si>
    <t>2287508941</t>
  </si>
  <si>
    <t>camila riveros</t>
  </si>
  <si>
    <t>rio ñuble 1341, rio ñuble 1341</t>
  </si>
  <si>
    <t>2026-05-15 09:51</t>
  </si>
  <si>
    <t>18177</t>
  </si>
  <si>
    <t>2287502840</t>
  </si>
  <si>
    <t>Juan Pablo Morgan Aspillaga</t>
  </si>
  <si>
    <t>Camino El Cajon 19415</t>
  </si>
  <si>
    <t>18277</t>
  </si>
  <si>
    <t>2286903710</t>
  </si>
  <si>
    <t>LAUTARO Moreno</t>
  </si>
  <si>
    <t>Sixto Cortes Alcayaga 2560 Dpto B 305  La Serena</t>
  </si>
  <si>
    <t>2026-05-14 13:08</t>
  </si>
  <si>
    <t>18276</t>
  </si>
  <si>
    <t>2286903684</t>
  </si>
  <si>
    <t>Samuel Muñoz</t>
  </si>
  <si>
    <t>Los boldos 117, pobl. Benjamin S’Quella, Los boldos 117</t>
  </si>
  <si>
    <t>2026-05-14 11:14</t>
  </si>
  <si>
    <t>18275</t>
  </si>
  <si>
    <t>2286903662</t>
  </si>
  <si>
    <t>Mabel cabello</t>
  </si>
  <si>
    <t>Mosqueto 459, Depa 101</t>
  </si>
  <si>
    <t>2026-05-14 10:41</t>
  </si>
  <si>
    <t>18209</t>
  </si>
  <si>
    <t>2286830464</t>
  </si>
  <si>
    <t>demetrio protopsaltis</t>
  </si>
  <si>
    <t>camino los refugios del arrayan 17770 ⁠17770, casa 9b falda</t>
  </si>
  <si>
    <t>2026-05-13 18:50</t>
  </si>
  <si>
    <t>18257</t>
  </si>
  <si>
    <t>2286823593</t>
  </si>
  <si>
    <t>JUAN PAULO BARRIENTOS</t>
  </si>
  <si>
    <t>30 oriente 1562, of 514</t>
  </si>
  <si>
    <t>2026-05-14 09:57</t>
  </si>
  <si>
    <t>18256</t>
  </si>
  <si>
    <t>2286823556</t>
  </si>
  <si>
    <t>Jesus Maldonado</t>
  </si>
  <si>
    <t>Sendero Norte 55, Dpto 126A</t>
  </si>
  <si>
    <t>2026-05-14 09:56</t>
  </si>
  <si>
    <t>18254</t>
  </si>
  <si>
    <t>2286823486</t>
  </si>
  <si>
    <t>Patricia Walker cerda</t>
  </si>
  <si>
    <t>Luis Bascuñan 1852 Depto 711, lo Barnechea, región metropolitana</t>
  </si>
  <si>
    <t>18246</t>
  </si>
  <si>
    <t>2286823383</t>
  </si>
  <si>
    <t>Nicole Chassin-Trubert</t>
  </si>
  <si>
    <t>Av Cornisa 500 Departamneto 161, Concón</t>
  </si>
  <si>
    <t>18242</t>
  </si>
  <si>
    <t>2286823350</t>
  </si>
  <si>
    <t>Andres Perez Briones</t>
  </si>
  <si>
    <t>Avenida El rodeo 1393, Condominio Rodeo de Chicauma, casa 135</t>
  </si>
  <si>
    <t>2026-05-14 09:47</t>
  </si>
  <si>
    <t>18239</t>
  </si>
  <si>
    <t>2286823302</t>
  </si>
  <si>
    <t>dominique lavanchy</t>
  </si>
  <si>
    <t>manquehua 60, litueche, manquehua 60</t>
  </si>
  <si>
    <t>2026-05-14 09:46</t>
  </si>
  <si>
    <t>18231</t>
  </si>
  <si>
    <t>2286823265</t>
  </si>
  <si>
    <t>David Gomez</t>
  </si>
  <si>
    <t>Coronel souper 4250, Coronel souper 4250</t>
  </si>
  <si>
    <t>18222</t>
  </si>
  <si>
    <t>2286823221</t>
  </si>
  <si>
    <t>Leonel Valenzuela Cortés</t>
  </si>
  <si>
    <t>Amdalien 7320 Depto  101, La Florida, Amdalien 7320 Depto  101, La Florida</t>
  </si>
  <si>
    <t>2026-05-14 09:45</t>
  </si>
  <si>
    <t>18221</t>
  </si>
  <si>
    <t>2286823206</t>
  </si>
  <si>
    <t>Pablo Toledo</t>
  </si>
  <si>
    <t>Grecia 3348 d318 torre b</t>
  </si>
  <si>
    <t>18217</t>
  </si>
  <si>
    <t>2286823151</t>
  </si>
  <si>
    <t>Cristian Beckdorf</t>
  </si>
  <si>
    <t>Edmundo Eluchans 2415, Depto 101</t>
  </si>
  <si>
    <t>18216</t>
  </si>
  <si>
    <t>2286823092</t>
  </si>
  <si>
    <t>Cristobal Soto Huentenao</t>
  </si>
  <si>
    <t>Fresia 53, Domingo yañez fresia 53</t>
  </si>
  <si>
    <t>18212</t>
  </si>
  <si>
    <t>2286822996</t>
  </si>
  <si>
    <t>Jose Luis Navarro</t>
  </si>
  <si>
    <t>Avenida Los Leones 1425, Depto 1102</t>
  </si>
  <si>
    <t>18210</t>
  </si>
  <si>
    <t>2286822963</t>
  </si>
  <si>
    <t>Paulina Génova</t>
  </si>
  <si>
    <t>Pasaje Las Quilas 2449</t>
  </si>
  <si>
    <t>18202</t>
  </si>
  <si>
    <t>2286822941</t>
  </si>
  <si>
    <t>Bernardita Zuñiga</t>
  </si>
  <si>
    <t>Epsilon 1798 condominio sol.del pacifico bloc w depto 44, Epsilon 1798 condominio sol del pacifico. Block w depto 44</t>
  </si>
  <si>
    <t>18185</t>
  </si>
  <si>
    <t>2286822823</t>
  </si>
  <si>
    <t>Agustín Cornejo</t>
  </si>
  <si>
    <t>Alianza Cristiana Y Misionera 255, Frutillar, Los Lagos, Chile, Alianza Cristiana Y Misionera 255, Frutillar, los lagos, chile</t>
  </si>
  <si>
    <t>2026-05-14 09:42</t>
  </si>
  <si>
    <t>18269</t>
  </si>
  <si>
    <t>2286799454</t>
  </si>
  <si>
    <t>Pablo Sanchez</t>
  </si>
  <si>
    <t>Jackson 490, Torre W, Depto. 111 Viña del Mar</t>
  </si>
  <si>
    <t>2026-05-13 16:28</t>
  </si>
  <si>
    <t>18169</t>
  </si>
  <si>
    <t>2286796120</t>
  </si>
  <si>
    <t>Benjamín Carrión</t>
  </si>
  <si>
    <t>La Brabanzon 2824. Depto 702</t>
  </si>
  <si>
    <t>18272</t>
  </si>
  <si>
    <t>2286763360</t>
  </si>
  <si>
    <t>Florencia Balmaceda</t>
  </si>
  <si>
    <t>Cervera 1000 parcela 24</t>
  </si>
  <si>
    <t>2026-05-14 09:40</t>
  </si>
  <si>
    <t>18271</t>
  </si>
  <si>
    <t>2286762811</t>
  </si>
  <si>
    <t>María José Saenz Mc Manus</t>
  </si>
  <si>
    <t>Pje Las Nevazones casa 01177, Parque San Carlos de V M</t>
  </si>
  <si>
    <t>2026-05-14 09:38</t>
  </si>
  <si>
    <t>18270</t>
  </si>
  <si>
    <t>2286762785</t>
  </si>
  <si>
    <t>Ricardo Lagos Saldias</t>
  </si>
  <si>
    <t>Pje. Nicolas V 1195 Sector Mirasol</t>
  </si>
  <si>
    <t>2026-05-13 16:33</t>
  </si>
  <si>
    <t>18267</t>
  </si>
  <si>
    <t>2286762774</t>
  </si>
  <si>
    <t>Manuel Alvarez Rosales</t>
  </si>
  <si>
    <t>Santos Apóstoles 2496, Las Condes, Chile, Las Condes</t>
  </si>
  <si>
    <t>18266</t>
  </si>
  <si>
    <t>2286762741</t>
  </si>
  <si>
    <t>SERGIO ENRIQUEZ ESSMANN</t>
  </si>
  <si>
    <t>AGUSTIN DEL CASTILLO 2455 DEPARTAMENTO 101, VITACURA</t>
  </si>
  <si>
    <t>2026-05-13 16:29</t>
  </si>
  <si>
    <t>18268</t>
  </si>
  <si>
    <t>2286762693</t>
  </si>
  <si>
    <t>Osvaldo Delgado</t>
  </si>
  <si>
    <t>pasaje Bolivia 4159 antofagasta</t>
  </si>
  <si>
    <t>2026-05-13 16:26</t>
  </si>
  <si>
    <t>18265</t>
  </si>
  <si>
    <t>2286762656</t>
  </si>
  <si>
    <t>Constanza Vallejos cid</t>
  </si>
  <si>
    <t>Titán 4880 depto 808 torre aromo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</si>
</sst>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2" fillId="0" borderId="13" xfId="0" applyFont="1" applyBorder="1"/>
    <xf numFmtId="1" fontId="0" fillId="0" borderId="0" xfId="0" applyNumberFormat="1"/>
    <xf numFmtId="164" fontId="0" fillId="0" borderId="0" xfId="42" applyNumberFormat="1" applyFont="1"/>
    <xf numFmtId="164" fontId="2" fillId="2" borderId="12" xfId="42" applyNumberFormat="1" applyFont="1" applyFill="1" applyBorder="1"/>
    <xf numFmtId="164" fontId="7" fillId="0" borderId="12" xfId="42" applyNumberFormat="1" applyFont="1" applyBorder="1"/>
    <xf numFmtId="164" fontId="2" fillId="0" borderId="12" xfId="42" applyNumberFormat="1" applyFont="1" applyBorder="1"/>
    <xf numFmtId="164" fontId="4" fillId="0" borderId="12" xfId="42" applyNumberFormat="1" applyFont="1" applyBorder="1"/>
    <xf numFmtId="0" fontId="0" fillId="0" borderId="0" xfId="0" applyAlignment="1">
      <alignment horizontal="center" vertical="center"/>
    </xf>
    <xf numFmtId="164" fontId="6" fillId="0" borderId="14" xfId="42" applyNumberFormat="1" applyFont="1" applyBorder="1" applyAlignment="1">
      <alignment horizontal="center" vertical="center"/>
    </xf>
    <xf numFmtId="164" fontId="6" fillId="0" borderId="2" xfId="42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5" fillId="0" borderId="12" xfId="42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5" xfId="42" applyNumberFormat="1" applyFont="1" applyBorder="1"/>
    <xf numFmtId="0" fontId="2" fillId="0" borderId="18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/>
    <xf numFmtId="0" fontId="2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>
          <bgColor rgb="FFFFFF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1086650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2"/>
  <sheetViews>
    <sheetView showGridLines="0" zoomScale="90" zoomScaleNormal="90" workbookViewId="0">
      <selection activeCell="E18" sqref="E18"/>
    </sheetView>
  </sheetViews>
  <sheetFormatPr baseColWidth="10" defaultRowHeight="14.4" x14ac:dyDescent="0.3"/>
  <cols>
    <col min="2" max="2" width="16.6640625" customWidth="1"/>
    <col min="3" max="3" width="34.5546875" bestFit="1" customWidth="1"/>
    <col min="4" max="4" width="44.109375" style="15" bestFit="1" customWidth="1"/>
    <col min="5" max="5" width="16.44140625" style="10" customWidth="1"/>
  </cols>
  <sheetData>
    <row r="2" spans="3:5" ht="21" x14ac:dyDescent="0.4">
      <c r="C2" s="1" t="s">
        <v>3</v>
      </c>
      <c r="D2" s="19" t="str">
        <f>IF(Detalle!F2="",Detalle!E2,Detalle!F2)</f>
        <v>Kaltemp</v>
      </c>
      <c r="E2" s="4">
        <v>46143</v>
      </c>
    </row>
    <row r="3" spans="3:5" x14ac:dyDescent="0.3">
      <c r="C3" s="5"/>
    </row>
    <row r="4" spans="3:5" ht="15.6" x14ac:dyDescent="0.3">
      <c r="C4" s="6" t="s">
        <v>51</v>
      </c>
      <c r="D4" s="27" t="s">
        <v>2</v>
      </c>
      <c r="E4" s="11"/>
    </row>
    <row r="5" spans="3:5" ht="15.6" x14ac:dyDescent="0.3">
      <c r="C5" s="7" t="s">
        <v>34</v>
      </c>
      <c r="D5" s="28">
        <f>COUNTIF(Detalle!I:I,"Servicio Enviame Connect")</f>
        <v>0</v>
      </c>
      <c r="E5" s="20">
        <f>SUMIF(Detalle!I:I,"Servicio Enviame Connect",Detalle!V:V)</f>
        <v>0</v>
      </c>
    </row>
    <row r="6" spans="3:5" ht="15.6" x14ac:dyDescent="0.3">
      <c r="C6" s="7" t="s">
        <v>35</v>
      </c>
      <c r="D6" s="28">
        <f>COUNTIF(Detalle!I:I,"Servicio Enviame Connect Plus")</f>
        <v>0</v>
      </c>
      <c r="E6" s="20">
        <f>SUMIF(Detalle!I:I,"Servicio Enviame Connect Plus",Detalle!V:V)</f>
        <v>0</v>
      </c>
    </row>
    <row r="7" spans="3:5" ht="15.6" x14ac:dyDescent="0.3">
      <c r="C7" s="7" t="s">
        <v>36</v>
      </c>
      <c r="D7" s="28">
        <f>COUNTIF(Detalle!I:I,"Servicio Enviame Distribucion")</f>
        <v>358</v>
      </c>
      <c r="E7" s="20">
        <f>SUMIF(Detalle!I:I,"Servicio Enviame Distribucion",Detalle!V:V)</f>
        <v>6448084.6900000442</v>
      </c>
    </row>
    <row r="8" spans="3:5" ht="15.6" x14ac:dyDescent="0.3">
      <c r="C8" s="7" t="s">
        <v>37</v>
      </c>
      <c r="D8" s="28">
        <f>COUNTIF(Detalle!I:I,"Servicio Enviame Enviatrack")</f>
        <v>0</v>
      </c>
      <c r="E8" s="20">
        <f>SUMIF(Detalle!I:I,"Servicio Enviame Enviatrack",Detalle!V:V)</f>
        <v>0</v>
      </c>
    </row>
    <row r="9" spans="3:5" ht="15.6" x14ac:dyDescent="0.3">
      <c r="C9" s="7" t="s">
        <v>38</v>
      </c>
      <c r="D9" s="28">
        <f>COUNTIF(Detalle!I:I,"Servicio Enviame Flex")</f>
        <v>0</v>
      </c>
      <c r="E9" s="20">
        <f>SUMIF(Detalle!I:I,"Servicio Enviame Flex",Detalle!V:V)</f>
        <v>0</v>
      </c>
    </row>
    <row r="10" spans="3:5" ht="15.6" x14ac:dyDescent="0.3">
      <c r="C10" s="7" t="s">
        <v>39</v>
      </c>
      <c r="D10" s="28">
        <f>COUNTIF(Detalle!I:I,"Servicio Enviame Marketcenter")</f>
        <v>0</v>
      </c>
      <c r="E10" s="20">
        <f>SUMIF(Detalle!I:I,"Servicio Enviame Marketcenter",Detalle!V:V)</f>
        <v>0</v>
      </c>
    </row>
    <row r="11" spans="3:5" ht="15.6" x14ac:dyDescent="0.3">
      <c r="C11" s="7" t="s">
        <v>40</v>
      </c>
      <c r="D11" s="28">
        <f>COUNTIF(Detalle!I:I,"Servicio Enviame Mensajeria")</f>
        <v>0</v>
      </c>
      <c r="E11" s="20">
        <f>SUMIF(Detalle!I:I,"Servicio Enviame Mensajeria",Detalle!V:V)</f>
        <v>0</v>
      </c>
    </row>
    <row r="12" spans="3:5" ht="15.6" x14ac:dyDescent="0.3">
      <c r="C12" s="7" t="s">
        <v>41</v>
      </c>
      <c r="D12" s="28">
        <f>COUNTIF(Detalle!I:I,"Servicio Enviame por Pagar")</f>
        <v>0</v>
      </c>
      <c r="E12" s="20">
        <f>SUMIF(Detalle!I:I,"Servicio Enviame por Pagar",Detalle!V:V)</f>
        <v>0</v>
      </c>
    </row>
    <row r="13" spans="3:5" ht="15.6" x14ac:dyDescent="0.3">
      <c r="C13" s="7" t="s">
        <v>42</v>
      </c>
      <c r="D13" s="28">
        <f>COUNTIF(Detalle!I:I,"Servicio Enviame Retiros")</f>
        <v>0</v>
      </c>
      <c r="E13" s="20">
        <f>SUMIF(Detalle!I:I,"Servicio Enviame Retiros",Detalle!V:V)</f>
        <v>0</v>
      </c>
    </row>
    <row r="14" spans="3:5" ht="15.6" x14ac:dyDescent="0.3">
      <c r="C14" s="7" t="s">
        <v>43</v>
      </c>
      <c r="D14" s="28">
        <f>COUNTIF(Detalle!I:I,"Servicio Enviame Soporte Tecnico")</f>
        <v>0</v>
      </c>
      <c r="E14" s="20">
        <f>SUMIF(Detalle!I:I,"Servicio Enviame Soporte Tecnico",Detalle!V:V)</f>
        <v>0</v>
      </c>
    </row>
    <row r="15" spans="3:5" ht="15.6" x14ac:dyDescent="0.3">
      <c r="C15" s="7" t="s">
        <v>44</v>
      </c>
      <c r="D15" s="28">
        <f>COUNTIF(Detalle!I:I,"Sevicio Enviame Modelo Cross Dock")</f>
        <v>0</v>
      </c>
      <c r="E15" s="20">
        <f>SUMIF(Detalle!I:I,"Sevicio Enviame Modelo Cross Dock",Detalle!V:V)</f>
        <v>0</v>
      </c>
    </row>
    <row r="16" spans="3:5" ht="15.6" x14ac:dyDescent="0.3">
      <c r="C16" s="26"/>
      <c r="D16" s="25"/>
      <c r="E16" s="20"/>
    </row>
    <row r="17" spans="3:5" ht="15.6" x14ac:dyDescent="0.3">
      <c r="C17" s="8" t="s">
        <v>4</v>
      </c>
      <c r="D17" s="16"/>
      <c r="E17" s="12">
        <v>0</v>
      </c>
    </row>
    <row r="18" spans="3:5" ht="15.6" x14ac:dyDescent="0.3">
      <c r="C18" s="2" t="s">
        <v>5</v>
      </c>
      <c r="D18" s="17"/>
      <c r="E18" s="12"/>
    </row>
    <row r="19" spans="3:5" ht="15.6" x14ac:dyDescent="0.3">
      <c r="C19" s="24" t="s">
        <v>6</v>
      </c>
      <c r="D19" s="21"/>
      <c r="E19" s="13">
        <f>SUM(E5:E18)</f>
        <v>6448084.6900000442</v>
      </c>
    </row>
    <row r="20" spans="3:5" ht="17.25" customHeight="1" x14ac:dyDescent="0.3">
      <c r="C20" s="2"/>
      <c r="D20" s="18"/>
      <c r="E20" s="13"/>
    </row>
    <row r="21" spans="3:5" ht="15.6" x14ac:dyDescent="0.3">
      <c r="C21" s="8" t="s">
        <v>0</v>
      </c>
      <c r="D21" s="22"/>
      <c r="E21" s="23">
        <f>E19*0.19</f>
        <v>1225136.0911000085</v>
      </c>
    </row>
    <row r="22" spans="3:5" ht="15.6" x14ac:dyDescent="0.3">
      <c r="C22" s="3" t="s">
        <v>1</v>
      </c>
      <c r="D22" s="18"/>
      <c r="E22" s="14">
        <f>+E19+E21</f>
        <v>7673220.7811000524</v>
      </c>
    </row>
  </sheetData>
  <conditionalFormatting sqref="C5:E16">
    <cfRule type="expression" dxfId="1" priority="1">
      <formula>$E5=0</formula>
    </cfRule>
  </conditionalFormatting>
  <conditionalFormatting sqref="D2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9"/>
  <sheetViews>
    <sheetView tabSelected="1" zoomScale="90" zoomScaleNormal="90" workbookViewId="0">
      <selection activeCell="E2" sqref="E2"/>
    </sheetView>
  </sheetViews>
  <sheetFormatPr baseColWidth="10" defaultColWidth="12.109375" defaultRowHeight="14.4" x14ac:dyDescent="0.3"/>
  <cols>
    <col min="2" max="2" width="11.109375" bestFit="1" customWidth="1"/>
    <col min="4" max="4" width="16.109375" style="9" bestFit="1" customWidth="1"/>
    <col min="5" max="5" width="18" bestFit="1" customWidth="1"/>
    <col min="9" max="9" width="26.6640625" bestFit="1" customWidth="1"/>
    <col min="18" max="18" width="12.109375" style="29"/>
    <col min="19" max="19" width="14.21875" customWidth="1"/>
  </cols>
  <sheetData>
    <row r="1" spans="1:22" x14ac:dyDescent="0.3">
      <c r="A1" t="s">
        <v>21</v>
      </c>
      <c r="B1" t="s">
        <v>20</v>
      </c>
      <c r="C1" t="s">
        <v>7</v>
      </c>
      <c r="D1" s="9" t="s">
        <v>8</v>
      </c>
      <c r="E1" t="s">
        <v>18</v>
      </c>
      <c r="F1" t="s">
        <v>26</v>
      </c>
      <c r="G1" t="s">
        <v>9</v>
      </c>
      <c r="H1" t="s">
        <v>10</v>
      </c>
      <c r="I1" t="s">
        <v>24</v>
      </c>
      <c r="J1" t="s">
        <v>27</v>
      </c>
      <c r="K1" t="s">
        <v>17</v>
      </c>
      <c r="L1" t="s">
        <v>11</v>
      </c>
      <c r="M1" t="s">
        <v>12</v>
      </c>
      <c r="N1" t="s">
        <v>19</v>
      </c>
      <c r="O1" t="s">
        <v>13</v>
      </c>
      <c r="P1" t="s">
        <v>14</v>
      </c>
      <c r="Q1" t="s">
        <v>15</v>
      </c>
      <c r="R1" s="29" t="s">
        <v>16</v>
      </c>
      <c r="S1" t="s">
        <v>25</v>
      </c>
      <c r="T1" t="s">
        <v>22</v>
      </c>
      <c r="U1" t="s">
        <v>28</v>
      </c>
      <c r="V1" t="s">
        <v>23</v>
      </c>
    </row>
    <row r="2" spans="1:22" x14ac:dyDescent="0.3">
      <c r="A2">
        <v>15741</v>
      </c>
      <c r="B2">
        <v>141541594</v>
      </c>
      <c r="C2">
        <v>20333</v>
      </c>
      <c r="D2" s="9">
        <v>269356520</v>
      </c>
      <c r="E2" t="s">
        <v>174</v>
      </c>
      <c r="G2" t="s">
        <v>58</v>
      </c>
      <c r="H2" t="s">
        <v>59</v>
      </c>
      <c r="I2" t="s">
        <v>36</v>
      </c>
      <c r="J2" t="s">
        <v>60</v>
      </c>
      <c r="K2" t="s">
        <v>136</v>
      </c>
      <c r="L2" t="s">
        <v>137</v>
      </c>
      <c r="M2" t="s">
        <v>175</v>
      </c>
      <c r="N2" t="s">
        <v>176</v>
      </c>
      <c r="O2" t="s">
        <v>75</v>
      </c>
      <c r="P2" t="s">
        <v>177</v>
      </c>
      <c r="Q2" t="s">
        <v>110</v>
      </c>
      <c r="R2" s="29">
        <v>46126.454861111109</v>
      </c>
      <c r="S2">
        <v>10</v>
      </c>
      <c r="T2">
        <v>9312</v>
      </c>
      <c r="U2">
        <v>0</v>
      </c>
      <c r="V2">
        <v>9312</v>
      </c>
    </row>
    <row r="3" spans="1:22" x14ac:dyDescent="0.3">
      <c r="A3">
        <v>15741</v>
      </c>
      <c r="B3">
        <v>140965571</v>
      </c>
      <c r="C3">
        <v>53565</v>
      </c>
      <c r="D3" s="9">
        <v>269059624</v>
      </c>
      <c r="E3" t="s">
        <v>174</v>
      </c>
      <c r="G3" t="s">
        <v>58</v>
      </c>
      <c r="H3" t="s">
        <v>59</v>
      </c>
      <c r="I3" t="s">
        <v>36</v>
      </c>
      <c r="J3" t="s">
        <v>60</v>
      </c>
      <c r="K3" t="s">
        <v>136</v>
      </c>
      <c r="L3" t="s">
        <v>137</v>
      </c>
      <c r="M3" t="s">
        <v>178</v>
      </c>
      <c r="N3" t="s">
        <v>176</v>
      </c>
      <c r="O3" t="s">
        <v>75</v>
      </c>
      <c r="P3" t="s">
        <v>179</v>
      </c>
      <c r="Q3" t="s">
        <v>133</v>
      </c>
      <c r="R3" s="29">
        <v>46111.469444444447</v>
      </c>
      <c r="S3">
        <v>1.76</v>
      </c>
      <c r="T3">
        <v>5143</v>
      </c>
      <c r="U3">
        <v>0</v>
      </c>
      <c r="V3">
        <v>5143</v>
      </c>
    </row>
    <row r="4" spans="1:22" x14ac:dyDescent="0.3">
      <c r="A4">
        <v>15741</v>
      </c>
      <c r="B4">
        <v>455179410</v>
      </c>
      <c r="C4">
        <v>20588</v>
      </c>
      <c r="D4" s="9">
        <v>270651233</v>
      </c>
      <c r="E4" t="s">
        <v>174</v>
      </c>
      <c r="G4" t="s">
        <v>58</v>
      </c>
      <c r="H4" t="s">
        <v>59</v>
      </c>
      <c r="I4" t="s">
        <v>36</v>
      </c>
      <c r="J4" t="s">
        <v>60</v>
      </c>
      <c r="K4" t="s">
        <v>29</v>
      </c>
      <c r="L4" t="s">
        <v>180</v>
      </c>
      <c r="M4" t="s">
        <v>181</v>
      </c>
      <c r="N4" t="s">
        <v>176</v>
      </c>
      <c r="O4" t="s">
        <v>75</v>
      </c>
      <c r="P4" t="s">
        <v>182</v>
      </c>
      <c r="Q4" t="s">
        <v>63</v>
      </c>
      <c r="R4" s="29">
        <v>46164.459722222222</v>
      </c>
      <c r="S4">
        <v>72.430000000000007</v>
      </c>
      <c r="T4">
        <v>47857</v>
      </c>
      <c r="U4">
        <v>0</v>
      </c>
      <c r="V4">
        <v>47857</v>
      </c>
    </row>
    <row r="5" spans="1:22" x14ac:dyDescent="0.3">
      <c r="A5">
        <v>15741</v>
      </c>
      <c r="B5">
        <v>454956067</v>
      </c>
      <c r="C5" t="s">
        <v>183</v>
      </c>
      <c r="D5" s="9">
        <v>270262986</v>
      </c>
      <c r="E5" t="s">
        <v>174</v>
      </c>
      <c r="G5" t="s">
        <v>58</v>
      </c>
      <c r="H5" t="s">
        <v>59</v>
      </c>
      <c r="I5" t="s">
        <v>36</v>
      </c>
      <c r="J5" t="s">
        <v>60</v>
      </c>
      <c r="K5" t="s">
        <v>29</v>
      </c>
      <c r="L5" t="s">
        <v>184</v>
      </c>
      <c r="M5" t="s">
        <v>185</v>
      </c>
      <c r="N5" t="s">
        <v>176</v>
      </c>
      <c r="O5" t="s">
        <v>75</v>
      </c>
      <c r="P5" t="s">
        <v>186</v>
      </c>
      <c r="Q5" t="s">
        <v>100</v>
      </c>
      <c r="R5" s="29">
        <v>46157.581250000003</v>
      </c>
      <c r="S5">
        <v>0.64</v>
      </c>
      <c r="T5">
        <v>9734</v>
      </c>
      <c r="U5">
        <v>0</v>
      </c>
      <c r="V5">
        <v>9734</v>
      </c>
    </row>
    <row r="6" spans="1:22" x14ac:dyDescent="0.3">
      <c r="A6">
        <v>15741</v>
      </c>
      <c r="B6">
        <v>455087613</v>
      </c>
      <c r="C6">
        <v>54684</v>
      </c>
      <c r="D6" s="9">
        <v>270554279</v>
      </c>
      <c r="E6" t="s">
        <v>174</v>
      </c>
      <c r="G6" t="s">
        <v>58</v>
      </c>
      <c r="H6" t="s">
        <v>59</v>
      </c>
      <c r="I6" t="s">
        <v>36</v>
      </c>
      <c r="J6" t="s">
        <v>60</v>
      </c>
      <c r="K6" t="s">
        <v>29</v>
      </c>
      <c r="L6" t="s">
        <v>187</v>
      </c>
      <c r="M6" t="s">
        <v>188</v>
      </c>
      <c r="N6" t="s">
        <v>176</v>
      </c>
      <c r="O6" t="s">
        <v>75</v>
      </c>
      <c r="P6" t="s">
        <v>189</v>
      </c>
      <c r="Q6" t="s">
        <v>157</v>
      </c>
      <c r="R6" s="29">
        <v>46162.447916666664</v>
      </c>
      <c r="S6">
        <v>15</v>
      </c>
      <c r="T6">
        <v>9628</v>
      </c>
      <c r="U6">
        <v>0</v>
      </c>
      <c r="V6">
        <v>9628</v>
      </c>
    </row>
    <row r="7" spans="1:22" x14ac:dyDescent="0.3">
      <c r="A7">
        <v>15741</v>
      </c>
      <c r="B7">
        <v>455179196</v>
      </c>
      <c r="C7">
        <v>20591</v>
      </c>
      <c r="D7" s="9">
        <v>270651216</v>
      </c>
      <c r="E7" t="s">
        <v>174</v>
      </c>
      <c r="G7" t="s">
        <v>58</v>
      </c>
      <c r="H7" t="s">
        <v>59</v>
      </c>
      <c r="I7" t="s">
        <v>36</v>
      </c>
      <c r="J7" t="s">
        <v>60</v>
      </c>
      <c r="K7" t="s">
        <v>29</v>
      </c>
      <c r="L7" t="s">
        <v>190</v>
      </c>
      <c r="M7" t="s">
        <v>191</v>
      </c>
      <c r="N7" t="s">
        <v>176</v>
      </c>
      <c r="O7" t="s">
        <v>75</v>
      </c>
      <c r="P7" t="s">
        <v>192</v>
      </c>
      <c r="Q7" t="s">
        <v>90</v>
      </c>
      <c r="R7" s="29">
        <v>46164.456944444442</v>
      </c>
      <c r="S7">
        <v>56</v>
      </c>
      <c r="T7">
        <v>29843</v>
      </c>
      <c r="U7">
        <v>7409.88</v>
      </c>
      <c r="V7">
        <v>37252.879999999997</v>
      </c>
    </row>
    <row r="8" spans="1:22" x14ac:dyDescent="0.3">
      <c r="A8">
        <v>15741</v>
      </c>
      <c r="B8">
        <v>455179283</v>
      </c>
      <c r="C8">
        <v>39318</v>
      </c>
      <c r="D8" s="9">
        <v>270651208</v>
      </c>
      <c r="E8" t="s">
        <v>174</v>
      </c>
      <c r="G8" t="s">
        <v>58</v>
      </c>
      <c r="H8" t="s">
        <v>59</v>
      </c>
      <c r="I8" t="s">
        <v>36</v>
      </c>
      <c r="J8" t="s">
        <v>60</v>
      </c>
      <c r="K8" t="s">
        <v>29</v>
      </c>
      <c r="L8" t="s">
        <v>193</v>
      </c>
      <c r="M8" t="s">
        <v>194</v>
      </c>
      <c r="N8" t="s">
        <v>176</v>
      </c>
      <c r="O8" t="s">
        <v>75</v>
      </c>
      <c r="P8" t="s">
        <v>195</v>
      </c>
      <c r="Q8" t="s">
        <v>30</v>
      </c>
      <c r="R8" s="29">
        <v>46164.458333333336</v>
      </c>
      <c r="S8">
        <v>23.63</v>
      </c>
      <c r="T8">
        <v>11701</v>
      </c>
      <c r="U8">
        <v>0</v>
      </c>
      <c r="V8">
        <v>11701</v>
      </c>
    </row>
    <row r="9" spans="1:22" x14ac:dyDescent="0.3">
      <c r="A9">
        <v>15741</v>
      </c>
      <c r="B9">
        <v>455087464</v>
      </c>
      <c r="C9">
        <v>54681</v>
      </c>
      <c r="D9" s="9">
        <v>270554234</v>
      </c>
      <c r="E9" t="s">
        <v>174</v>
      </c>
      <c r="G9" t="s">
        <v>58</v>
      </c>
      <c r="H9" t="s">
        <v>59</v>
      </c>
      <c r="I9" t="s">
        <v>36</v>
      </c>
      <c r="J9" t="s">
        <v>60</v>
      </c>
      <c r="K9" t="s">
        <v>29</v>
      </c>
      <c r="L9" t="s">
        <v>196</v>
      </c>
      <c r="M9" t="s">
        <v>197</v>
      </c>
      <c r="N9" t="s">
        <v>176</v>
      </c>
      <c r="O9" t="s">
        <v>75</v>
      </c>
      <c r="P9" t="s">
        <v>198</v>
      </c>
      <c r="Q9" t="s">
        <v>71</v>
      </c>
      <c r="R9" s="29">
        <v>46162.446527777778</v>
      </c>
      <c r="S9">
        <v>2.04</v>
      </c>
      <c r="T9">
        <v>5816</v>
      </c>
      <c r="U9">
        <v>0</v>
      </c>
      <c r="V9">
        <v>5816</v>
      </c>
    </row>
    <row r="10" spans="1:22" x14ac:dyDescent="0.3">
      <c r="A10">
        <v>15741</v>
      </c>
      <c r="B10">
        <v>455087490</v>
      </c>
      <c r="C10">
        <v>54682</v>
      </c>
      <c r="D10" s="9">
        <v>270554237</v>
      </c>
      <c r="E10" t="s">
        <v>174</v>
      </c>
      <c r="G10" t="s">
        <v>58</v>
      </c>
      <c r="H10" t="s">
        <v>59</v>
      </c>
      <c r="I10" t="s">
        <v>36</v>
      </c>
      <c r="J10" t="s">
        <v>60</v>
      </c>
      <c r="K10" t="s">
        <v>29</v>
      </c>
      <c r="L10" t="s">
        <v>199</v>
      </c>
      <c r="M10" t="s">
        <v>200</v>
      </c>
      <c r="N10" t="s">
        <v>176</v>
      </c>
      <c r="O10" t="s">
        <v>75</v>
      </c>
      <c r="P10" t="s">
        <v>201</v>
      </c>
      <c r="Q10" t="s">
        <v>48</v>
      </c>
      <c r="R10" s="29">
        <v>46162.447222222225</v>
      </c>
      <c r="S10">
        <v>2.0699999999999998</v>
      </c>
      <c r="T10">
        <v>5816</v>
      </c>
      <c r="U10">
        <v>0</v>
      </c>
      <c r="V10">
        <v>5816</v>
      </c>
    </row>
    <row r="11" spans="1:22" x14ac:dyDescent="0.3">
      <c r="A11">
        <v>15741</v>
      </c>
      <c r="B11">
        <v>455087684</v>
      </c>
      <c r="C11">
        <v>54685</v>
      </c>
      <c r="D11" s="9">
        <v>270554247</v>
      </c>
      <c r="E11" t="s">
        <v>174</v>
      </c>
      <c r="G11" t="s">
        <v>58</v>
      </c>
      <c r="H11" t="s">
        <v>59</v>
      </c>
      <c r="I11" t="s">
        <v>36</v>
      </c>
      <c r="J11" t="s">
        <v>60</v>
      </c>
      <c r="K11" t="s">
        <v>29</v>
      </c>
      <c r="L11" t="s">
        <v>202</v>
      </c>
      <c r="M11" t="s">
        <v>203</v>
      </c>
      <c r="N11" t="s">
        <v>176</v>
      </c>
      <c r="O11" t="s">
        <v>75</v>
      </c>
      <c r="P11" t="s">
        <v>204</v>
      </c>
      <c r="Q11" t="s">
        <v>86</v>
      </c>
      <c r="R11" s="29">
        <v>46162.449305555558</v>
      </c>
      <c r="S11">
        <v>15</v>
      </c>
      <c r="T11">
        <v>15748</v>
      </c>
      <c r="U11">
        <v>0</v>
      </c>
      <c r="V11">
        <v>15748</v>
      </c>
    </row>
    <row r="12" spans="1:22" x14ac:dyDescent="0.3">
      <c r="A12">
        <v>15741</v>
      </c>
      <c r="B12">
        <v>455087710</v>
      </c>
      <c r="C12">
        <v>54686</v>
      </c>
      <c r="D12" s="9">
        <v>270554314</v>
      </c>
      <c r="E12" t="s">
        <v>174</v>
      </c>
      <c r="G12" t="s">
        <v>58</v>
      </c>
      <c r="H12" t="s">
        <v>59</v>
      </c>
      <c r="I12" t="s">
        <v>36</v>
      </c>
      <c r="J12" t="s">
        <v>60</v>
      </c>
      <c r="K12" t="s">
        <v>29</v>
      </c>
      <c r="L12" t="s">
        <v>205</v>
      </c>
      <c r="M12" t="s">
        <v>206</v>
      </c>
      <c r="N12" t="s">
        <v>176</v>
      </c>
      <c r="O12" t="s">
        <v>75</v>
      </c>
      <c r="P12" t="s">
        <v>207</v>
      </c>
      <c r="Q12" t="s">
        <v>31</v>
      </c>
      <c r="R12" s="29">
        <v>46162.45</v>
      </c>
      <c r="S12">
        <v>15</v>
      </c>
      <c r="T12">
        <v>9628</v>
      </c>
      <c r="U12">
        <v>0</v>
      </c>
      <c r="V12">
        <v>9628</v>
      </c>
    </row>
    <row r="13" spans="1:22" x14ac:dyDescent="0.3">
      <c r="A13">
        <v>15741</v>
      </c>
      <c r="B13">
        <v>455087517</v>
      </c>
      <c r="C13">
        <v>54683</v>
      </c>
      <c r="D13" s="9">
        <v>270554269</v>
      </c>
      <c r="E13" t="s">
        <v>174</v>
      </c>
      <c r="G13" t="s">
        <v>58</v>
      </c>
      <c r="H13" t="s">
        <v>59</v>
      </c>
      <c r="I13" t="s">
        <v>36</v>
      </c>
      <c r="J13" t="s">
        <v>60</v>
      </c>
      <c r="K13" t="s">
        <v>29</v>
      </c>
      <c r="L13" t="s">
        <v>208</v>
      </c>
      <c r="M13" t="s">
        <v>209</v>
      </c>
      <c r="N13" t="s">
        <v>176</v>
      </c>
      <c r="O13" t="s">
        <v>75</v>
      </c>
      <c r="P13" t="s">
        <v>210</v>
      </c>
      <c r="Q13" t="s">
        <v>69</v>
      </c>
      <c r="R13" s="29">
        <v>46162.447222222225</v>
      </c>
      <c r="S13">
        <v>2.0499999999999998</v>
      </c>
      <c r="T13">
        <v>5816</v>
      </c>
      <c r="U13">
        <v>0</v>
      </c>
      <c r="V13">
        <v>5816</v>
      </c>
    </row>
    <row r="14" spans="1:22" x14ac:dyDescent="0.3">
      <c r="A14">
        <v>15741</v>
      </c>
      <c r="B14">
        <v>455087421</v>
      </c>
      <c r="C14">
        <v>54679</v>
      </c>
      <c r="D14" s="9">
        <v>270554203</v>
      </c>
      <c r="E14" t="s">
        <v>174</v>
      </c>
      <c r="G14" t="s">
        <v>58</v>
      </c>
      <c r="H14" t="s">
        <v>59</v>
      </c>
      <c r="I14" t="s">
        <v>36</v>
      </c>
      <c r="J14" t="s">
        <v>60</v>
      </c>
      <c r="K14" t="s">
        <v>29</v>
      </c>
      <c r="L14" t="s">
        <v>211</v>
      </c>
      <c r="M14" t="s">
        <v>212</v>
      </c>
      <c r="N14" t="s">
        <v>176</v>
      </c>
      <c r="O14" t="s">
        <v>75</v>
      </c>
      <c r="P14" t="s">
        <v>213</v>
      </c>
      <c r="Q14" t="s">
        <v>48</v>
      </c>
      <c r="R14" s="29">
        <v>46162.445833333331</v>
      </c>
      <c r="S14">
        <v>2.08</v>
      </c>
      <c r="T14">
        <v>5816</v>
      </c>
      <c r="U14">
        <v>0</v>
      </c>
      <c r="V14">
        <v>5816</v>
      </c>
    </row>
    <row r="15" spans="1:22" x14ac:dyDescent="0.3">
      <c r="A15">
        <v>15741</v>
      </c>
      <c r="B15">
        <v>455087445</v>
      </c>
      <c r="C15">
        <v>54680</v>
      </c>
      <c r="D15" s="9">
        <v>270554218</v>
      </c>
      <c r="E15" t="s">
        <v>174</v>
      </c>
      <c r="G15" t="s">
        <v>58</v>
      </c>
      <c r="H15" t="s">
        <v>59</v>
      </c>
      <c r="I15" t="s">
        <v>36</v>
      </c>
      <c r="J15" t="s">
        <v>60</v>
      </c>
      <c r="K15" t="s">
        <v>29</v>
      </c>
      <c r="L15" t="s">
        <v>214</v>
      </c>
      <c r="M15" t="s">
        <v>215</v>
      </c>
      <c r="N15" t="s">
        <v>176</v>
      </c>
      <c r="O15" t="s">
        <v>75</v>
      </c>
      <c r="P15" t="s">
        <v>216</v>
      </c>
      <c r="Q15" t="s">
        <v>69</v>
      </c>
      <c r="R15" s="29">
        <v>46162.445833333331</v>
      </c>
      <c r="S15">
        <v>2</v>
      </c>
      <c r="T15">
        <v>5504</v>
      </c>
      <c r="U15">
        <v>0</v>
      </c>
      <c r="V15">
        <v>5504</v>
      </c>
    </row>
    <row r="16" spans="1:22" x14ac:dyDescent="0.3">
      <c r="A16">
        <v>15741</v>
      </c>
      <c r="B16">
        <v>455084840</v>
      </c>
      <c r="C16">
        <v>39307</v>
      </c>
      <c r="D16" s="9">
        <v>270549474</v>
      </c>
      <c r="E16" t="s">
        <v>174</v>
      </c>
      <c r="G16" t="s">
        <v>58</v>
      </c>
      <c r="H16" t="s">
        <v>59</v>
      </c>
      <c r="I16" t="s">
        <v>36</v>
      </c>
      <c r="J16" t="s">
        <v>60</v>
      </c>
      <c r="K16" t="s">
        <v>29</v>
      </c>
      <c r="L16" t="s">
        <v>217</v>
      </c>
      <c r="M16" t="s">
        <v>218</v>
      </c>
      <c r="N16" t="s">
        <v>176</v>
      </c>
      <c r="O16" t="s">
        <v>75</v>
      </c>
      <c r="P16" t="s">
        <v>219</v>
      </c>
      <c r="Q16" t="s">
        <v>90</v>
      </c>
      <c r="R16" s="29">
        <v>46162.411111111112</v>
      </c>
      <c r="S16">
        <v>20.18</v>
      </c>
      <c r="T16">
        <v>14165</v>
      </c>
      <c r="U16">
        <v>0</v>
      </c>
      <c r="V16">
        <v>14165</v>
      </c>
    </row>
    <row r="17" spans="1:22" x14ac:dyDescent="0.3">
      <c r="A17">
        <v>15741</v>
      </c>
      <c r="B17">
        <v>455050995</v>
      </c>
      <c r="C17">
        <v>39253</v>
      </c>
      <c r="D17" s="9">
        <v>270480858</v>
      </c>
      <c r="E17" t="s">
        <v>174</v>
      </c>
      <c r="G17" t="s">
        <v>58</v>
      </c>
      <c r="H17" t="s">
        <v>59</v>
      </c>
      <c r="I17" t="s">
        <v>36</v>
      </c>
      <c r="J17" t="s">
        <v>60</v>
      </c>
      <c r="K17" t="s">
        <v>29</v>
      </c>
      <c r="L17" t="s">
        <v>220</v>
      </c>
      <c r="M17" t="s">
        <v>221</v>
      </c>
      <c r="N17" t="s">
        <v>176</v>
      </c>
      <c r="O17" t="s">
        <v>75</v>
      </c>
      <c r="P17" t="s">
        <v>222</v>
      </c>
      <c r="Q17" t="s">
        <v>80</v>
      </c>
      <c r="R17" s="29">
        <v>46161.43472222222</v>
      </c>
      <c r="S17">
        <v>198.49</v>
      </c>
      <c r="T17">
        <v>70550</v>
      </c>
      <c r="U17">
        <v>32321.94</v>
      </c>
      <c r="V17">
        <v>102871.94</v>
      </c>
    </row>
    <row r="18" spans="1:22" x14ac:dyDescent="0.3">
      <c r="A18">
        <v>15741</v>
      </c>
      <c r="B18">
        <v>454978561</v>
      </c>
      <c r="C18">
        <v>11167</v>
      </c>
      <c r="D18" s="9">
        <v>270390070</v>
      </c>
      <c r="E18" t="s">
        <v>174</v>
      </c>
      <c r="G18" t="s">
        <v>58</v>
      </c>
      <c r="H18" t="s">
        <v>59</v>
      </c>
      <c r="I18" t="s">
        <v>36</v>
      </c>
      <c r="J18" t="s">
        <v>60</v>
      </c>
      <c r="K18" t="s">
        <v>29</v>
      </c>
      <c r="L18" t="s">
        <v>223</v>
      </c>
      <c r="M18" t="s">
        <v>224</v>
      </c>
      <c r="N18" t="s">
        <v>176</v>
      </c>
      <c r="O18" t="s">
        <v>75</v>
      </c>
      <c r="P18" t="s">
        <v>225</v>
      </c>
      <c r="Q18" t="s">
        <v>90</v>
      </c>
      <c r="R18" s="29">
        <v>46158.675694444442</v>
      </c>
      <c r="S18">
        <v>159.1</v>
      </c>
      <c r="T18">
        <v>52754</v>
      </c>
      <c r="U18">
        <v>5399.94</v>
      </c>
      <c r="V18">
        <v>58153.94</v>
      </c>
    </row>
    <row r="19" spans="1:22" x14ac:dyDescent="0.3">
      <c r="A19">
        <v>15741</v>
      </c>
      <c r="B19">
        <v>455013713</v>
      </c>
      <c r="C19">
        <v>20567</v>
      </c>
      <c r="D19" s="9">
        <v>270396395</v>
      </c>
      <c r="E19" t="s">
        <v>174</v>
      </c>
      <c r="G19" t="s">
        <v>58</v>
      </c>
      <c r="H19" t="s">
        <v>59</v>
      </c>
      <c r="I19" t="s">
        <v>36</v>
      </c>
      <c r="J19" t="s">
        <v>60</v>
      </c>
      <c r="K19" t="s">
        <v>29</v>
      </c>
      <c r="L19" t="s">
        <v>226</v>
      </c>
      <c r="M19" t="s">
        <v>227</v>
      </c>
      <c r="N19" t="s">
        <v>176</v>
      </c>
      <c r="O19" t="s">
        <v>75</v>
      </c>
      <c r="P19" t="s">
        <v>228</v>
      </c>
      <c r="Q19" t="s">
        <v>75</v>
      </c>
      <c r="R19" s="29">
        <v>46160.438888888886</v>
      </c>
      <c r="S19">
        <v>58.29</v>
      </c>
      <c r="T19">
        <v>19961</v>
      </c>
      <c r="U19">
        <v>5502</v>
      </c>
      <c r="V19">
        <v>25463</v>
      </c>
    </row>
    <row r="20" spans="1:22" x14ac:dyDescent="0.3">
      <c r="A20">
        <v>15741</v>
      </c>
      <c r="B20">
        <v>455009693</v>
      </c>
      <c r="C20" t="s">
        <v>229</v>
      </c>
      <c r="D20" s="9">
        <v>270389845</v>
      </c>
      <c r="E20" t="s">
        <v>174</v>
      </c>
      <c r="G20" t="s">
        <v>58</v>
      </c>
      <c r="H20" t="s">
        <v>59</v>
      </c>
      <c r="I20" t="s">
        <v>36</v>
      </c>
      <c r="J20" t="s">
        <v>60</v>
      </c>
      <c r="K20" t="s">
        <v>29</v>
      </c>
      <c r="L20" t="s">
        <v>230</v>
      </c>
      <c r="M20" t="s">
        <v>231</v>
      </c>
      <c r="N20" t="s">
        <v>176</v>
      </c>
      <c r="O20" t="s">
        <v>75</v>
      </c>
      <c r="P20" t="s">
        <v>232</v>
      </c>
      <c r="Q20" t="s">
        <v>69</v>
      </c>
      <c r="R20" s="29">
        <v>46160.399305555555</v>
      </c>
      <c r="S20">
        <v>25.76</v>
      </c>
      <c r="T20">
        <v>12297</v>
      </c>
      <c r="U20">
        <v>0</v>
      </c>
      <c r="V20">
        <v>12297</v>
      </c>
    </row>
    <row r="21" spans="1:22" x14ac:dyDescent="0.3">
      <c r="A21">
        <v>15741</v>
      </c>
      <c r="B21">
        <v>455016504</v>
      </c>
      <c r="C21">
        <v>39195</v>
      </c>
      <c r="D21" s="9">
        <v>270402273</v>
      </c>
      <c r="E21" t="s">
        <v>174</v>
      </c>
      <c r="G21" t="s">
        <v>58</v>
      </c>
      <c r="H21" t="s">
        <v>59</v>
      </c>
      <c r="I21" t="s">
        <v>36</v>
      </c>
      <c r="J21" t="s">
        <v>60</v>
      </c>
      <c r="K21" t="s">
        <v>29</v>
      </c>
      <c r="L21" t="s">
        <v>233</v>
      </c>
      <c r="M21" t="s">
        <v>234</v>
      </c>
      <c r="N21" t="s">
        <v>176</v>
      </c>
      <c r="O21" t="s">
        <v>75</v>
      </c>
      <c r="P21" t="s">
        <v>235</v>
      </c>
      <c r="Q21" t="s">
        <v>91</v>
      </c>
      <c r="R21" s="29">
        <v>46160.472222222219</v>
      </c>
      <c r="S21">
        <v>34.5</v>
      </c>
      <c r="T21">
        <v>26457</v>
      </c>
      <c r="U21">
        <v>0</v>
      </c>
      <c r="V21">
        <v>26457</v>
      </c>
    </row>
    <row r="22" spans="1:22" x14ac:dyDescent="0.3">
      <c r="A22">
        <v>15741</v>
      </c>
      <c r="B22">
        <v>455013942</v>
      </c>
      <c r="C22">
        <v>39036</v>
      </c>
      <c r="D22" s="9">
        <v>270396400</v>
      </c>
      <c r="E22" t="s">
        <v>174</v>
      </c>
      <c r="G22" t="s">
        <v>58</v>
      </c>
      <c r="H22" t="s">
        <v>59</v>
      </c>
      <c r="I22" t="s">
        <v>36</v>
      </c>
      <c r="J22" t="s">
        <v>60</v>
      </c>
      <c r="K22" t="s">
        <v>29</v>
      </c>
      <c r="L22" t="s">
        <v>236</v>
      </c>
      <c r="M22" t="s">
        <v>237</v>
      </c>
      <c r="N22" t="s">
        <v>176</v>
      </c>
      <c r="O22" t="s">
        <v>75</v>
      </c>
      <c r="P22" t="s">
        <v>238</v>
      </c>
      <c r="Q22" t="s">
        <v>77</v>
      </c>
      <c r="R22" s="29">
        <v>46160.440972222219</v>
      </c>
      <c r="S22">
        <v>16.8</v>
      </c>
      <c r="T22">
        <v>13095</v>
      </c>
      <c r="U22">
        <v>0</v>
      </c>
      <c r="V22">
        <v>13095</v>
      </c>
    </row>
    <row r="23" spans="1:22" x14ac:dyDescent="0.3">
      <c r="A23">
        <v>15741</v>
      </c>
      <c r="B23">
        <v>454913642</v>
      </c>
      <c r="C23">
        <v>54553</v>
      </c>
      <c r="D23" s="9">
        <v>270178740</v>
      </c>
      <c r="E23" t="s">
        <v>174</v>
      </c>
      <c r="G23" t="s">
        <v>58</v>
      </c>
      <c r="H23" t="s">
        <v>59</v>
      </c>
      <c r="I23" t="s">
        <v>36</v>
      </c>
      <c r="J23" t="s">
        <v>60</v>
      </c>
      <c r="K23" t="s">
        <v>29</v>
      </c>
      <c r="L23" t="s">
        <v>239</v>
      </c>
      <c r="M23" t="s">
        <v>240</v>
      </c>
      <c r="N23" t="s">
        <v>176</v>
      </c>
      <c r="O23" t="s">
        <v>75</v>
      </c>
      <c r="P23" t="s">
        <v>241</v>
      </c>
      <c r="Q23" t="s">
        <v>69</v>
      </c>
      <c r="R23" s="29">
        <v>46156.45</v>
      </c>
      <c r="S23">
        <v>7.88</v>
      </c>
      <c r="T23">
        <v>7409</v>
      </c>
      <c r="U23">
        <v>0</v>
      </c>
      <c r="V23">
        <v>7409</v>
      </c>
    </row>
    <row r="24" spans="1:22" x14ac:dyDescent="0.3">
      <c r="A24">
        <v>15741</v>
      </c>
      <c r="B24">
        <v>454947843</v>
      </c>
      <c r="C24">
        <v>39148</v>
      </c>
      <c r="D24" s="9">
        <v>270243740</v>
      </c>
      <c r="E24" t="s">
        <v>174</v>
      </c>
      <c r="G24" t="s">
        <v>58</v>
      </c>
      <c r="H24" t="s">
        <v>59</v>
      </c>
      <c r="I24" t="s">
        <v>36</v>
      </c>
      <c r="J24" t="s">
        <v>60</v>
      </c>
      <c r="K24" t="s">
        <v>29</v>
      </c>
      <c r="L24" t="s">
        <v>242</v>
      </c>
      <c r="M24" t="s">
        <v>243</v>
      </c>
      <c r="N24" t="s">
        <v>176</v>
      </c>
      <c r="O24" t="s">
        <v>75</v>
      </c>
      <c r="P24" t="s">
        <v>244</v>
      </c>
      <c r="Q24" t="s">
        <v>86</v>
      </c>
      <c r="R24" s="29">
        <v>46157.451388888891</v>
      </c>
      <c r="S24">
        <v>20.18</v>
      </c>
      <c r="T24">
        <v>18290</v>
      </c>
      <c r="U24">
        <v>0</v>
      </c>
      <c r="V24">
        <v>18290</v>
      </c>
    </row>
    <row r="25" spans="1:22" x14ac:dyDescent="0.3">
      <c r="A25">
        <v>15741</v>
      </c>
      <c r="B25">
        <v>454948855</v>
      </c>
      <c r="C25">
        <v>20556</v>
      </c>
      <c r="D25" s="9">
        <v>270246248</v>
      </c>
      <c r="E25" t="s">
        <v>174</v>
      </c>
      <c r="G25" t="s">
        <v>58</v>
      </c>
      <c r="H25" t="s">
        <v>59</v>
      </c>
      <c r="I25" t="s">
        <v>36</v>
      </c>
      <c r="J25" t="s">
        <v>60</v>
      </c>
      <c r="K25" t="s">
        <v>29</v>
      </c>
      <c r="L25" t="s">
        <v>245</v>
      </c>
      <c r="M25" t="s">
        <v>246</v>
      </c>
      <c r="N25" t="s">
        <v>176</v>
      </c>
      <c r="O25" t="s">
        <v>75</v>
      </c>
      <c r="P25" t="s">
        <v>247</v>
      </c>
      <c r="Q25" t="s">
        <v>153</v>
      </c>
      <c r="R25" s="29">
        <v>46157.466666666667</v>
      </c>
      <c r="S25">
        <v>83.79</v>
      </c>
      <c r="T25">
        <v>27493</v>
      </c>
      <c r="U25">
        <v>0</v>
      </c>
      <c r="V25">
        <v>27493</v>
      </c>
    </row>
    <row r="26" spans="1:22" x14ac:dyDescent="0.3">
      <c r="A26">
        <v>15741</v>
      </c>
      <c r="B26">
        <v>454913764</v>
      </c>
      <c r="C26">
        <v>54554</v>
      </c>
      <c r="D26" s="9">
        <v>270178747</v>
      </c>
      <c r="E26" t="s">
        <v>174</v>
      </c>
      <c r="G26" t="s">
        <v>58</v>
      </c>
      <c r="H26" t="s">
        <v>59</v>
      </c>
      <c r="I26" t="s">
        <v>36</v>
      </c>
      <c r="J26" t="s">
        <v>60</v>
      </c>
      <c r="K26" t="s">
        <v>29</v>
      </c>
      <c r="L26" t="s">
        <v>248</v>
      </c>
      <c r="M26" t="s">
        <v>249</v>
      </c>
      <c r="N26" t="s">
        <v>176</v>
      </c>
      <c r="O26" t="s">
        <v>75</v>
      </c>
      <c r="P26" t="s">
        <v>250</v>
      </c>
      <c r="Q26" t="s">
        <v>74</v>
      </c>
      <c r="R26" s="29">
        <v>46156.450694444444</v>
      </c>
      <c r="S26">
        <v>19.38</v>
      </c>
      <c r="T26">
        <v>11210</v>
      </c>
      <c r="U26">
        <v>0</v>
      </c>
      <c r="V26">
        <v>11210</v>
      </c>
    </row>
    <row r="27" spans="1:22" x14ac:dyDescent="0.3">
      <c r="A27">
        <v>15741</v>
      </c>
      <c r="B27">
        <v>454877419</v>
      </c>
      <c r="C27">
        <v>39122</v>
      </c>
      <c r="D27" s="9">
        <v>270111142</v>
      </c>
      <c r="E27" t="s">
        <v>174</v>
      </c>
      <c r="G27" t="s">
        <v>58</v>
      </c>
      <c r="H27" t="s">
        <v>59</v>
      </c>
      <c r="I27" t="s">
        <v>36</v>
      </c>
      <c r="J27" t="s">
        <v>60</v>
      </c>
      <c r="K27" t="s">
        <v>29</v>
      </c>
      <c r="L27" t="s">
        <v>251</v>
      </c>
      <c r="M27" t="s">
        <v>252</v>
      </c>
      <c r="N27" t="s">
        <v>176</v>
      </c>
      <c r="O27" t="s">
        <v>75</v>
      </c>
      <c r="P27" t="s">
        <v>253</v>
      </c>
      <c r="Q27" t="s">
        <v>138</v>
      </c>
      <c r="R27" s="29">
        <v>46155.447916666664</v>
      </c>
      <c r="S27">
        <v>106</v>
      </c>
      <c r="T27">
        <v>62159</v>
      </c>
      <c r="U27">
        <v>10739.88</v>
      </c>
      <c r="V27">
        <v>72898.880000000005</v>
      </c>
    </row>
    <row r="28" spans="1:22" x14ac:dyDescent="0.3">
      <c r="A28">
        <v>15741</v>
      </c>
      <c r="B28">
        <v>454909741</v>
      </c>
      <c r="C28">
        <v>18190</v>
      </c>
      <c r="D28" s="9">
        <v>270189657</v>
      </c>
      <c r="E28" t="s">
        <v>174</v>
      </c>
      <c r="G28" t="s">
        <v>58</v>
      </c>
      <c r="H28" t="s">
        <v>59</v>
      </c>
      <c r="I28" t="s">
        <v>36</v>
      </c>
      <c r="J28" t="s">
        <v>60</v>
      </c>
      <c r="K28" t="s">
        <v>29</v>
      </c>
      <c r="L28" t="s">
        <v>254</v>
      </c>
      <c r="M28" t="s">
        <v>255</v>
      </c>
      <c r="N28" t="s">
        <v>176</v>
      </c>
      <c r="O28" t="s">
        <v>75</v>
      </c>
      <c r="P28" t="s">
        <v>256</v>
      </c>
      <c r="Q28" t="s">
        <v>46</v>
      </c>
      <c r="R28" s="29">
        <v>46156.404166666667</v>
      </c>
      <c r="S28">
        <v>11.14</v>
      </c>
      <c r="T28">
        <v>8670</v>
      </c>
      <c r="U28">
        <v>0</v>
      </c>
      <c r="V28">
        <v>8670</v>
      </c>
    </row>
    <row r="29" spans="1:22" x14ac:dyDescent="0.3">
      <c r="A29">
        <v>15741</v>
      </c>
      <c r="B29">
        <v>454913603</v>
      </c>
      <c r="C29">
        <v>54552</v>
      </c>
      <c r="D29" s="9">
        <v>270178735</v>
      </c>
      <c r="E29" t="s">
        <v>174</v>
      </c>
      <c r="G29" t="s">
        <v>58</v>
      </c>
      <c r="H29" t="s">
        <v>59</v>
      </c>
      <c r="I29" t="s">
        <v>36</v>
      </c>
      <c r="J29" t="s">
        <v>60</v>
      </c>
      <c r="K29" t="s">
        <v>29</v>
      </c>
      <c r="L29" t="s">
        <v>257</v>
      </c>
      <c r="M29" t="s">
        <v>258</v>
      </c>
      <c r="N29" t="s">
        <v>176</v>
      </c>
      <c r="O29" t="s">
        <v>75</v>
      </c>
      <c r="P29" t="s">
        <v>259</v>
      </c>
      <c r="Q29" t="s">
        <v>157</v>
      </c>
      <c r="R29" s="29">
        <v>46156.449305555558</v>
      </c>
      <c r="S29">
        <v>2.0099999999999998</v>
      </c>
      <c r="T29">
        <v>5816</v>
      </c>
      <c r="U29">
        <v>0</v>
      </c>
      <c r="V29">
        <v>5816</v>
      </c>
    </row>
    <row r="30" spans="1:22" x14ac:dyDescent="0.3">
      <c r="A30">
        <v>15741</v>
      </c>
      <c r="B30">
        <v>454874255</v>
      </c>
      <c r="C30">
        <v>54528</v>
      </c>
      <c r="D30" s="9">
        <v>270107921</v>
      </c>
      <c r="E30" t="s">
        <v>174</v>
      </c>
      <c r="G30" t="s">
        <v>58</v>
      </c>
      <c r="H30" t="s">
        <v>59</v>
      </c>
      <c r="I30" t="s">
        <v>36</v>
      </c>
      <c r="J30" t="s">
        <v>60</v>
      </c>
      <c r="K30" t="s">
        <v>29</v>
      </c>
      <c r="L30" t="s">
        <v>260</v>
      </c>
      <c r="M30" t="s">
        <v>261</v>
      </c>
      <c r="N30" t="s">
        <v>176</v>
      </c>
      <c r="O30" t="s">
        <v>75</v>
      </c>
      <c r="P30" t="s">
        <v>262</v>
      </c>
      <c r="Q30" t="s">
        <v>48</v>
      </c>
      <c r="R30" s="29">
        <v>46155.422222222223</v>
      </c>
      <c r="S30">
        <v>2.19</v>
      </c>
      <c r="T30">
        <v>5816</v>
      </c>
      <c r="U30">
        <v>0</v>
      </c>
      <c r="V30">
        <v>5816</v>
      </c>
    </row>
    <row r="31" spans="1:22" x14ac:dyDescent="0.3">
      <c r="A31">
        <v>15741</v>
      </c>
      <c r="B31">
        <v>454876366</v>
      </c>
      <c r="C31">
        <v>20526</v>
      </c>
      <c r="D31" s="9">
        <v>270109592</v>
      </c>
      <c r="E31" t="s">
        <v>174</v>
      </c>
      <c r="G31" t="s">
        <v>58</v>
      </c>
      <c r="H31" t="s">
        <v>59</v>
      </c>
      <c r="I31" t="s">
        <v>36</v>
      </c>
      <c r="J31" t="s">
        <v>60</v>
      </c>
      <c r="K31" t="s">
        <v>29</v>
      </c>
      <c r="L31" t="s">
        <v>263</v>
      </c>
      <c r="M31" t="s">
        <v>264</v>
      </c>
      <c r="N31" t="s">
        <v>176</v>
      </c>
      <c r="O31" t="s">
        <v>75</v>
      </c>
      <c r="P31" t="s">
        <v>265</v>
      </c>
      <c r="Q31" t="s">
        <v>151</v>
      </c>
      <c r="R31" s="29">
        <v>46155.436111111114</v>
      </c>
      <c r="S31">
        <v>150</v>
      </c>
      <c r="T31">
        <v>76846</v>
      </c>
      <c r="U31">
        <v>0</v>
      </c>
      <c r="V31">
        <v>76846</v>
      </c>
    </row>
    <row r="32" spans="1:22" x14ac:dyDescent="0.3">
      <c r="A32">
        <v>15741</v>
      </c>
      <c r="B32">
        <v>454865851</v>
      </c>
      <c r="C32">
        <v>11165</v>
      </c>
      <c r="D32" s="9">
        <v>270111158</v>
      </c>
      <c r="E32" t="s">
        <v>174</v>
      </c>
      <c r="G32" t="s">
        <v>58</v>
      </c>
      <c r="H32" t="s">
        <v>59</v>
      </c>
      <c r="I32" t="s">
        <v>36</v>
      </c>
      <c r="J32" t="s">
        <v>60</v>
      </c>
      <c r="K32" t="s">
        <v>29</v>
      </c>
      <c r="L32" t="s">
        <v>266</v>
      </c>
      <c r="M32" t="s">
        <v>267</v>
      </c>
      <c r="N32" t="s">
        <v>176</v>
      </c>
      <c r="O32" t="s">
        <v>75</v>
      </c>
      <c r="P32" t="s">
        <v>268</v>
      </c>
      <c r="Q32" t="s">
        <v>85</v>
      </c>
      <c r="R32" s="29">
        <v>46155.00277777778</v>
      </c>
      <c r="S32">
        <v>203.29</v>
      </c>
      <c r="T32">
        <v>62462</v>
      </c>
      <c r="U32">
        <v>7799.94</v>
      </c>
      <c r="V32">
        <v>70261.94</v>
      </c>
    </row>
    <row r="33" spans="1:22" x14ac:dyDescent="0.3">
      <c r="A33">
        <v>15741</v>
      </c>
      <c r="B33">
        <v>454874379</v>
      </c>
      <c r="C33">
        <v>54529</v>
      </c>
      <c r="D33" s="9">
        <v>270107937</v>
      </c>
      <c r="E33" t="s">
        <v>174</v>
      </c>
      <c r="G33" t="s">
        <v>58</v>
      </c>
      <c r="H33" t="s">
        <v>59</v>
      </c>
      <c r="I33" t="s">
        <v>36</v>
      </c>
      <c r="J33" t="s">
        <v>60</v>
      </c>
      <c r="K33" t="s">
        <v>29</v>
      </c>
      <c r="L33" t="s">
        <v>269</v>
      </c>
      <c r="M33" t="s">
        <v>270</v>
      </c>
      <c r="N33" t="s">
        <v>176</v>
      </c>
      <c r="O33" t="s">
        <v>75</v>
      </c>
      <c r="P33" t="s">
        <v>271</v>
      </c>
      <c r="Q33" t="s">
        <v>157</v>
      </c>
      <c r="R33" s="29">
        <v>46155.42291666667</v>
      </c>
      <c r="S33">
        <v>15.75</v>
      </c>
      <c r="T33">
        <v>9939</v>
      </c>
      <c r="U33">
        <v>0</v>
      </c>
      <c r="V33">
        <v>9939</v>
      </c>
    </row>
    <row r="34" spans="1:22" x14ac:dyDescent="0.3">
      <c r="A34">
        <v>15741</v>
      </c>
      <c r="B34">
        <v>454875522</v>
      </c>
      <c r="C34">
        <v>39111</v>
      </c>
      <c r="D34" s="9">
        <v>270109548</v>
      </c>
      <c r="E34" t="s">
        <v>174</v>
      </c>
      <c r="G34" t="s">
        <v>58</v>
      </c>
      <c r="H34" t="s">
        <v>59</v>
      </c>
      <c r="I34" t="s">
        <v>36</v>
      </c>
      <c r="J34" t="s">
        <v>60</v>
      </c>
      <c r="K34" t="s">
        <v>29</v>
      </c>
      <c r="L34" t="s">
        <v>272</v>
      </c>
      <c r="M34" t="s">
        <v>273</v>
      </c>
      <c r="N34" t="s">
        <v>176</v>
      </c>
      <c r="O34" t="s">
        <v>75</v>
      </c>
      <c r="P34" t="s">
        <v>274</v>
      </c>
      <c r="Q34" t="s">
        <v>76</v>
      </c>
      <c r="R34" s="29">
        <v>46155.431250000001</v>
      </c>
      <c r="S34">
        <v>71.62</v>
      </c>
      <c r="T34">
        <v>23559</v>
      </c>
      <c r="U34">
        <v>0</v>
      </c>
      <c r="V34">
        <v>23559</v>
      </c>
    </row>
    <row r="35" spans="1:22" x14ac:dyDescent="0.3">
      <c r="A35">
        <v>15741</v>
      </c>
      <c r="B35">
        <v>454874218</v>
      </c>
      <c r="C35">
        <v>54527</v>
      </c>
      <c r="D35" s="9">
        <v>270107919</v>
      </c>
      <c r="E35" t="s">
        <v>174</v>
      </c>
      <c r="G35" t="s">
        <v>58</v>
      </c>
      <c r="H35" t="s">
        <v>59</v>
      </c>
      <c r="I35" t="s">
        <v>36</v>
      </c>
      <c r="J35" t="s">
        <v>60</v>
      </c>
      <c r="K35" t="s">
        <v>29</v>
      </c>
      <c r="L35" t="s">
        <v>275</v>
      </c>
      <c r="M35" t="s">
        <v>276</v>
      </c>
      <c r="N35" t="s">
        <v>176</v>
      </c>
      <c r="O35" t="s">
        <v>75</v>
      </c>
      <c r="P35" t="s">
        <v>277</v>
      </c>
      <c r="Q35" t="s">
        <v>46</v>
      </c>
      <c r="R35" s="29">
        <v>46155.421527777777</v>
      </c>
      <c r="S35">
        <v>2.0299999999999998</v>
      </c>
      <c r="T35">
        <v>5816</v>
      </c>
      <c r="U35">
        <v>0</v>
      </c>
      <c r="V35">
        <v>5816</v>
      </c>
    </row>
    <row r="36" spans="1:22" x14ac:dyDescent="0.3">
      <c r="A36">
        <v>15741</v>
      </c>
      <c r="B36">
        <v>454875373</v>
      </c>
      <c r="C36">
        <v>39109</v>
      </c>
      <c r="D36" s="9">
        <v>270109544</v>
      </c>
      <c r="E36" t="s">
        <v>174</v>
      </c>
      <c r="G36" t="s">
        <v>58</v>
      </c>
      <c r="H36" t="s">
        <v>59</v>
      </c>
      <c r="I36" t="s">
        <v>36</v>
      </c>
      <c r="J36" t="s">
        <v>60</v>
      </c>
      <c r="K36" t="s">
        <v>29</v>
      </c>
      <c r="L36" t="s">
        <v>278</v>
      </c>
      <c r="M36" t="s">
        <v>279</v>
      </c>
      <c r="N36" t="s">
        <v>176</v>
      </c>
      <c r="O36" t="s">
        <v>75</v>
      </c>
      <c r="P36" t="s">
        <v>280</v>
      </c>
      <c r="Q36" t="s">
        <v>110</v>
      </c>
      <c r="R36" s="29">
        <v>46155.429861111108</v>
      </c>
      <c r="S36">
        <v>25.88</v>
      </c>
      <c r="T36">
        <v>16345</v>
      </c>
      <c r="U36">
        <v>0</v>
      </c>
      <c r="V36">
        <v>16345</v>
      </c>
    </row>
    <row r="37" spans="1:22" x14ac:dyDescent="0.3">
      <c r="A37">
        <v>15741</v>
      </c>
      <c r="B37">
        <v>454875912</v>
      </c>
      <c r="C37">
        <v>39089</v>
      </c>
      <c r="D37" s="9">
        <v>270109569</v>
      </c>
      <c r="E37" t="s">
        <v>174</v>
      </c>
      <c r="G37" t="s">
        <v>58</v>
      </c>
      <c r="H37" t="s">
        <v>59</v>
      </c>
      <c r="I37" t="s">
        <v>36</v>
      </c>
      <c r="J37" t="s">
        <v>60</v>
      </c>
      <c r="K37" t="s">
        <v>29</v>
      </c>
      <c r="L37" t="s">
        <v>281</v>
      </c>
      <c r="M37" t="s">
        <v>282</v>
      </c>
      <c r="N37" t="s">
        <v>176</v>
      </c>
      <c r="O37" t="s">
        <v>75</v>
      </c>
      <c r="P37" t="s">
        <v>283</v>
      </c>
      <c r="Q37" t="s">
        <v>155</v>
      </c>
      <c r="R37" s="29">
        <v>46155.433333333334</v>
      </c>
      <c r="S37">
        <v>200.2</v>
      </c>
      <c r="T37">
        <v>103009</v>
      </c>
      <c r="U37">
        <v>31499.94</v>
      </c>
      <c r="V37">
        <v>134508.94</v>
      </c>
    </row>
    <row r="38" spans="1:22" x14ac:dyDescent="0.3">
      <c r="A38">
        <v>15741</v>
      </c>
      <c r="B38">
        <v>454810198</v>
      </c>
      <c r="C38">
        <v>20486</v>
      </c>
      <c r="D38" s="9">
        <v>269985881</v>
      </c>
      <c r="E38" t="s">
        <v>174</v>
      </c>
      <c r="G38" t="s">
        <v>58</v>
      </c>
      <c r="H38" t="s">
        <v>59</v>
      </c>
      <c r="I38" t="s">
        <v>36</v>
      </c>
      <c r="J38" t="s">
        <v>60</v>
      </c>
      <c r="K38" t="s">
        <v>29</v>
      </c>
      <c r="L38" t="s">
        <v>284</v>
      </c>
      <c r="M38" t="s">
        <v>285</v>
      </c>
      <c r="N38" t="s">
        <v>176</v>
      </c>
      <c r="O38" t="s">
        <v>75</v>
      </c>
      <c r="P38" t="s">
        <v>286</v>
      </c>
      <c r="Q38" t="s">
        <v>90</v>
      </c>
      <c r="R38" s="29">
        <v>46153.634722222225</v>
      </c>
      <c r="S38">
        <v>36</v>
      </c>
      <c r="T38">
        <v>21485</v>
      </c>
      <c r="U38">
        <v>4992</v>
      </c>
      <c r="V38">
        <v>26477</v>
      </c>
    </row>
    <row r="39" spans="1:22" x14ac:dyDescent="0.3">
      <c r="A39">
        <v>15741</v>
      </c>
      <c r="B39">
        <v>454587054</v>
      </c>
      <c r="C39">
        <v>20483</v>
      </c>
      <c r="D39" s="9">
        <v>270032568</v>
      </c>
      <c r="E39" t="s">
        <v>174</v>
      </c>
      <c r="G39" t="s">
        <v>58</v>
      </c>
      <c r="H39" t="s">
        <v>59</v>
      </c>
      <c r="I39" t="s">
        <v>36</v>
      </c>
      <c r="J39" t="s">
        <v>60</v>
      </c>
      <c r="K39" t="s">
        <v>29</v>
      </c>
      <c r="L39" t="s">
        <v>287</v>
      </c>
      <c r="M39" t="s">
        <v>288</v>
      </c>
      <c r="N39" t="s">
        <v>176</v>
      </c>
      <c r="O39" t="s">
        <v>75</v>
      </c>
      <c r="P39" t="s">
        <v>289</v>
      </c>
      <c r="Q39" t="s">
        <v>86</v>
      </c>
      <c r="R39" s="29">
        <v>46147.445833333331</v>
      </c>
      <c r="S39">
        <v>171</v>
      </c>
      <c r="T39">
        <v>68549</v>
      </c>
      <c r="U39">
        <v>9299.94</v>
      </c>
      <c r="V39">
        <v>77848.94</v>
      </c>
    </row>
    <row r="40" spans="1:22" x14ac:dyDescent="0.3">
      <c r="A40">
        <v>15741</v>
      </c>
      <c r="B40">
        <v>454838088</v>
      </c>
      <c r="C40" t="s">
        <v>290</v>
      </c>
      <c r="D40" s="9">
        <v>270036266</v>
      </c>
      <c r="E40" t="s">
        <v>174</v>
      </c>
      <c r="G40" t="s">
        <v>58</v>
      </c>
      <c r="H40" t="s">
        <v>59</v>
      </c>
      <c r="I40" t="s">
        <v>36</v>
      </c>
      <c r="J40" t="s">
        <v>60</v>
      </c>
      <c r="K40" t="s">
        <v>29</v>
      </c>
      <c r="L40" t="s">
        <v>291</v>
      </c>
      <c r="M40" t="s">
        <v>292</v>
      </c>
      <c r="N40" t="s">
        <v>176</v>
      </c>
      <c r="O40" t="s">
        <v>75</v>
      </c>
      <c r="P40" t="s">
        <v>293</v>
      </c>
      <c r="Q40" t="s">
        <v>87</v>
      </c>
      <c r="R40" s="29">
        <v>46154.439583333333</v>
      </c>
      <c r="S40">
        <v>0.23</v>
      </c>
      <c r="T40">
        <v>5238</v>
      </c>
      <c r="U40">
        <v>0</v>
      </c>
      <c r="V40">
        <v>5238</v>
      </c>
    </row>
    <row r="41" spans="1:22" x14ac:dyDescent="0.3">
      <c r="A41">
        <v>15741</v>
      </c>
      <c r="B41">
        <v>454838135</v>
      </c>
      <c r="C41" t="s">
        <v>294</v>
      </c>
      <c r="D41" s="9">
        <v>270036346</v>
      </c>
      <c r="E41" t="s">
        <v>174</v>
      </c>
      <c r="G41" t="s">
        <v>58</v>
      </c>
      <c r="H41" t="s">
        <v>59</v>
      </c>
      <c r="I41" t="s">
        <v>36</v>
      </c>
      <c r="J41" t="s">
        <v>60</v>
      </c>
      <c r="K41" t="s">
        <v>29</v>
      </c>
      <c r="L41" t="s">
        <v>295</v>
      </c>
      <c r="M41" t="s">
        <v>296</v>
      </c>
      <c r="N41" t="s">
        <v>176</v>
      </c>
      <c r="O41" t="s">
        <v>75</v>
      </c>
      <c r="P41" t="s">
        <v>297</v>
      </c>
      <c r="Q41" t="s">
        <v>32</v>
      </c>
      <c r="R41" s="29">
        <v>46154.44027777778</v>
      </c>
      <c r="S41">
        <v>0.72</v>
      </c>
      <c r="T41">
        <v>6327</v>
      </c>
      <c r="U41">
        <v>0</v>
      </c>
      <c r="V41">
        <v>6327</v>
      </c>
    </row>
    <row r="42" spans="1:22" x14ac:dyDescent="0.3">
      <c r="A42">
        <v>15741</v>
      </c>
      <c r="B42">
        <v>454654876</v>
      </c>
      <c r="C42">
        <v>54405</v>
      </c>
      <c r="D42" s="9">
        <v>269693283</v>
      </c>
      <c r="E42" t="s">
        <v>174</v>
      </c>
      <c r="G42" t="s">
        <v>58</v>
      </c>
      <c r="H42" t="s">
        <v>59</v>
      </c>
      <c r="I42" t="s">
        <v>36</v>
      </c>
      <c r="J42" t="s">
        <v>60</v>
      </c>
      <c r="K42" t="s">
        <v>29</v>
      </c>
      <c r="L42" t="s">
        <v>298</v>
      </c>
      <c r="M42" t="s">
        <v>299</v>
      </c>
      <c r="N42" t="s">
        <v>176</v>
      </c>
      <c r="O42" t="s">
        <v>75</v>
      </c>
      <c r="P42" t="s">
        <v>300</v>
      </c>
      <c r="Q42" t="s">
        <v>46</v>
      </c>
      <c r="R42" s="29">
        <v>46148.731944444444</v>
      </c>
      <c r="S42">
        <v>2.02</v>
      </c>
      <c r="T42">
        <v>5816</v>
      </c>
      <c r="U42">
        <v>0</v>
      </c>
      <c r="V42">
        <v>5816</v>
      </c>
    </row>
    <row r="43" spans="1:22" x14ac:dyDescent="0.3">
      <c r="A43">
        <v>15741</v>
      </c>
      <c r="B43">
        <v>454835284</v>
      </c>
      <c r="C43">
        <v>39092</v>
      </c>
      <c r="D43" s="9">
        <v>270032886</v>
      </c>
      <c r="E43" t="s">
        <v>174</v>
      </c>
      <c r="G43" t="s">
        <v>58</v>
      </c>
      <c r="H43" t="s">
        <v>59</v>
      </c>
      <c r="I43" t="s">
        <v>36</v>
      </c>
      <c r="J43" t="s">
        <v>60</v>
      </c>
      <c r="K43" t="s">
        <v>29</v>
      </c>
      <c r="L43" t="s">
        <v>301</v>
      </c>
      <c r="M43" t="s">
        <v>302</v>
      </c>
      <c r="N43" t="s">
        <v>176</v>
      </c>
      <c r="O43" t="s">
        <v>75</v>
      </c>
      <c r="P43" t="s">
        <v>303</v>
      </c>
      <c r="Q43" t="s">
        <v>135</v>
      </c>
      <c r="R43" s="29">
        <v>46154.411805555559</v>
      </c>
      <c r="S43">
        <v>30</v>
      </c>
      <c r="T43">
        <v>13488</v>
      </c>
      <c r="U43">
        <v>0</v>
      </c>
      <c r="V43">
        <v>13488</v>
      </c>
    </row>
    <row r="44" spans="1:22" x14ac:dyDescent="0.3">
      <c r="A44">
        <v>15741</v>
      </c>
      <c r="B44">
        <v>454655434</v>
      </c>
      <c r="C44">
        <v>54417</v>
      </c>
      <c r="D44" s="9">
        <v>269693410</v>
      </c>
      <c r="E44" t="s">
        <v>174</v>
      </c>
      <c r="G44" t="s">
        <v>58</v>
      </c>
      <c r="H44" t="s">
        <v>59</v>
      </c>
      <c r="I44" t="s">
        <v>36</v>
      </c>
      <c r="J44" t="s">
        <v>60</v>
      </c>
      <c r="K44" t="s">
        <v>29</v>
      </c>
      <c r="L44" t="s">
        <v>304</v>
      </c>
      <c r="M44" t="s">
        <v>305</v>
      </c>
      <c r="N44" t="s">
        <v>176</v>
      </c>
      <c r="O44" t="s">
        <v>75</v>
      </c>
      <c r="P44" t="s">
        <v>306</v>
      </c>
      <c r="Q44" t="s">
        <v>102</v>
      </c>
      <c r="R44" s="29">
        <v>46148.739583333336</v>
      </c>
      <c r="S44">
        <v>6.75</v>
      </c>
      <c r="T44">
        <v>14792</v>
      </c>
      <c r="U44">
        <v>0</v>
      </c>
      <c r="V44">
        <v>14792</v>
      </c>
    </row>
    <row r="45" spans="1:22" x14ac:dyDescent="0.3">
      <c r="A45">
        <v>15741</v>
      </c>
      <c r="B45">
        <v>454713849</v>
      </c>
      <c r="C45">
        <v>11164</v>
      </c>
      <c r="D45" s="9">
        <v>269795522</v>
      </c>
      <c r="E45" t="s">
        <v>174</v>
      </c>
      <c r="G45" t="s">
        <v>58</v>
      </c>
      <c r="H45" t="s">
        <v>59</v>
      </c>
      <c r="I45" t="s">
        <v>36</v>
      </c>
      <c r="J45" t="s">
        <v>60</v>
      </c>
      <c r="K45" t="s">
        <v>29</v>
      </c>
      <c r="L45" t="s">
        <v>307</v>
      </c>
      <c r="M45" t="s">
        <v>308</v>
      </c>
      <c r="N45" t="s">
        <v>176</v>
      </c>
      <c r="O45" t="s">
        <v>75</v>
      </c>
      <c r="P45" t="s">
        <v>309</v>
      </c>
      <c r="Q45" t="s">
        <v>62</v>
      </c>
      <c r="R45" s="29">
        <v>46150.401388888888</v>
      </c>
      <c r="S45">
        <v>173.34</v>
      </c>
      <c r="T45">
        <v>95432</v>
      </c>
      <c r="U45">
        <v>7799.94</v>
      </c>
      <c r="V45">
        <v>103231.94</v>
      </c>
    </row>
    <row r="46" spans="1:22" x14ac:dyDescent="0.3">
      <c r="A46">
        <v>15741</v>
      </c>
      <c r="B46">
        <v>454654948</v>
      </c>
      <c r="C46">
        <v>54406</v>
      </c>
      <c r="D46" s="9">
        <v>269693290</v>
      </c>
      <c r="E46" t="s">
        <v>174</v>
      </c>
      <c r="G46" t="s">
        <v>58</v>
      </c>
      <c r="H46" t="s">
        <v>59</v>
      </c>
      <c r="I46" t="s">
        <v>36</v>
      </c>
      <c r="J46" t="s">
        <v>60</v>
      </c>
      <c r="K46" t="s">
        <v>29</v>
      </c>
      <c r="L46" t="s">
        <v>310</v>
      </c>
      <c r="M46" t="s">
        <v>311</v>
      </c>
      <c r="N46" t="s">
        <v>176</v>
      </c>
      <c r="O46" t="s">
        <v>75</v>
      </c>
      <c r="P46" t="s">
        <v>312</v>
      </c>
      <c r="Q46" t="s">
        <v>135</v>
      </c>
      <c r="R46" s="29">
        <v>46148.732638888891</v>
      </c>
      <c r="S46">
        <v>2.5</v>
      </c>
      <c r="T46">
        <v>5816</v>
      </c>
      <c r="U46">
        <v>0</v>
      </c>
      <c r="V46">
        <v>5816</v>
      </c>
    </row>
    <row r="47" spans="1:22" x14ac:dyDescent="0.3">
      <c r="A47">
        <v>15741</v>
      </c>
      <c r="B47">
        <v>454798469</v>
      </c>
      <c r="C47" t="s">
        <v>313</v>
      </c>
      <c r="D47" s="9">
        <v>269964269</v>
      </c>
      <c r="E47" t="s">
        <v>174</v>
      </c>
      <c r="G47" t="s">
        <v>58</v>
      </c>
      <c r="H47" t="s">
        <v>59</v>
      </c>
      <c r="I47" t="s">
        <v>36</v>
      </c>
      <c r="J47" t="s">
        <v>60</v>
      </c>
      <c r="K47" t="s">
        <v>29</v>
      </c>
      <c r="L47" t="s">
        <v>314</v>
      </c>
      <c r="M47" t="s">
        <v>315</v>
      </c>
      <c r="N47" t="s">
        <v>176</v>
      </c>
      <c r="O47" t="s">
        <v>75</v>
      </c>
      <c r="P47" t="s">
        <v>316</v>
      </c>
      <c r="Q47" t="s">
        <v>50</v>
      </c>
      <c r="R47" s="29">
        <v>46153.490277777775</v>
      </c>
      <c r="S47">
        <v>2.0499999999999998</v>
      </c>
      <c r="T47">
        <v>5816</v>
      </c>
      <c r="U47">
        <v>0</v>
      </c>
      <c r="V47">
        <v>5816</v>
      </c>
    </row>
    <row r="48" spans="1:22" x14ac:dyDescent="0.3">
      <c r="A48">
        <v>15741</v>
      </c>
      <c r="B48">
        <v>454794074</v>
      </c>
      <c r="C48">
        <v>39035</v>
      </c>
      <c r="D48" s="9">
        <v>269957217</v>
      </c>
      <c r="E48" t="s">
        <v>174</v>
      </c>
      <c r="G48" t="s">
        <v>58</v>
      </c>
      <c r="H48" t="s">
        <v>59</v>
      </c>
      <c r="I48" t="s">
        <v>36</v>
      </c>
      <c r="J48" t="s">
        <v>60</v>
      </c>
      <c r="K48" t="s">
        <v>29</v>
      </c>
      <c r="L48" t="s">
        <v>317</v>
      </c>
      <c r="M48" t="s">
        <v>318</v>
      </c>
      <c r="N48" t="s">
        <v>176</v>
      </c>
      <c r="O48" t="s">
        <v>75</v>
      </c>
      <c r="P48" t="s">
        <v>319</v>
      </c>
      <c r="Q48" t="s">
        <v>31</v>
      </c>
      <c r="R48" s="29">
        <v>46153.446527777778</v>
      </c>
      <c r="S48">
        <v>12</v>
      </c>
      <c r="T48">
        <v>8670</v>
      </c>
      <c r="U48">
        <v>0</v>
      </c>
      <c r="V48">
        <v>8670</v>
      </c>
    </row>
    <row r="49" spans="1:22" x14ac:dyDescent="0.3">
      <c r="A49">
        <v>15741</v>
      </c>
      <c r="B49">
        <v>454654716</v>
      </c>
      <c r="C49">
        <v>54391</v>
      </c>
      <c r="D49" s="9">
        <v>269693191</v>
      </c>
      <c r="E49" t="s">
        <v>174</v>
      </c>
      <c r="G49" t="s">
        <v>58</v>
      </c>
      <c r="H49" t="s">
        <v>59</v>
      </c>
      <c r="I49" t="s">
        <v>36</v>
      </c>
      <c r="J49" t="s">
        <v>60</v>
      </c>
      <c r="K49" t="s">
        <v>29</v>
      </c>
      <c r="L49" t="s">
        <v>320</v>
      </c>
      <c r="M49" t="s">
        <v>321</v>
      </c>
      <c r="N49" t="s">
        <v>176</v>
      </c>
      <c r="O49" t="s">
        <v>75</v>
      </c>
      <c r="P49" t="s">
        <v>322</v>
      </c>
      <c r="Q49" t="s">
        <v>76</v>
      </c>
      <c r="R49" s="29">
        <v>46148.729166666664</v>
      </c>
      <c r="S49">
        <v>2.04</v>
      </c>
      <c r="T49">
        <v>5816</v>
      </c>
      <c r="U49">
        <v>0</v>
      </c>
      <c r="V49">
        <v>5816</v>
      </c>
    </row>
    <row r="50" spans="1:22" x14ac:dyDescent="0.3">
      <c r="A50">
        <v>15741</v>
      </c>
      <c r="B50">
        <v>454655371</v>
      </c>
      <c r="C50">
        <v>54416</v>
      </c>
      <c r="D50" s="9">
        <v>269693415</v>
      </c>
      <c r="E50" t="s">
        <v>174</v>
      </c>
      <c r="G50" t="s">
        <v>58</v>
      </c>
      <c r="H50" t="s">
        <v>59</v>
      </c>
      <c r="I50" t="s">
        <v>36</v>
      </c>
      <c r="J50" t="s">
        <v>60</v>
      </c>
      <c r="K50" t="s">
        <v>29</v>
      </c>
      <c r="L50" t="s">
        <v>323</v>
      </c>
      <c r="M50" t="s">
        <v>324</v>
      </c>
      <c r="N50" t="s">
        <v>176</v>
      </c>
      <c r="O50" t="s">
        <v>75</v>
      </c>
      <c r="P50" t="s">
        <v>325</v>
      </c>
      <c r="Q50" t="s">
        <v>46</v>
      </c>
      <c r="R50" s="29">
        <v>46148.738888888889</v>
      </c>
      <c r="S50">
        <v>20.7</v>
      </c>
      <c r="T50">
        <v>10802</v>
      </c>
      <c r="U50">
        <v>0</v>
      </c>
      <c r="V50">
        <v>10802</v>
      </c>
    </row>
    <row r="51" spans="1:22" x14ac:dyDescent="0.3">
      <c r="A51">
        <v>15741</v>
      </c>
      <c r="B51">
        <v>454714997</v>
      </c>
      <c r="C51">
        <v>39001</v>
      </c>
      <c r="D51" s="9">
        <v>269796393</v>
      </c>
      <c r="E51" t="s">
        <v>174</v>
      </c>
      <c r="G51" t="s">
        <v>58</v>
      </c>
      <c r="H51" t="s">
        <v>59</v>
      </c>
      <c r="I51" t="s">
        <v>36</v>
      </c>
      <c r="J51" t="s">
        <v>60</v>
      </c>
      <c r="K51" t="s">
        <v>29</v>
      </c>
      <c r="L51" t="s">
        <v>326</v>
      </c>
      <c r="M51" t="s">
        <v>327</v>
      </c>
      <c r="N51" t="s">
        <v>176</v>
      </c>
      <c r="O51" t="s">
        <v>75</v>
      </c>
      <c r="P51" t="s">
        <v>328</v>
      </c>
      <c r="Q51" t="s">
        <v>69</v>
      </c>
      <c r="R51" s="29">
        <v>46150.413194444445</v>
      </c>
      <c r="S51">
        <v>20.68</v>
      </c>
      <c r="T51">
        <v>10802</v>
      </c>
      <c r="U51">
        <v>0</v>
      </c>
      <c r="V51">
        <v>10802</v>
      </c>
    </row>
    <row r="52" spans="1:22" x14ac:dyDescent="0.3">
      <c r="A52">
        <v>15741</v>
      </c>
      <c r="B52">
        <v>454714901</v>
      </c>
      <c r="C52">
        <v>20496</v>
      </c>
      <c r="D52" s="9">
        <v>269796371</v>
      </c>
      <c r="E52" t="s">
        <v>174</v>
      </c>
      <c r="G52" t="s">
        <v>58</v>
      </c>
      <c r="H52" t="s">
        <v>59</v>
      </c>
      <c r="I52" t="s">
        <v>36</v>
      </c>
      <c r="J52" t="s">
        <v>60</v>
      </c>
      <c r="K52" t="s">
        <v>29</v>
      </c>
      <c r="L52" t="s">
        <v>326</v>
      </c>
      <c r="M52" t="s">
        <v>329</v>
      </c>
      <c r="N52" t="s">
        <v>176</v>
      </c>
      <c r="O52" t="s">
        <v>75</v>
      </c>
      <c r="P52" t="s">
        <v>328</v>
      </c>
      <c r="Q52" t="s">
        <v>69</v>
      </c>
      <c r="R52" s="29">
        <v>46150.412499999999</v>
      </c>
      <c r="S52">
        <v>20.68</v>
      </c>
      <c r="T52">
        <v>10802</v>
      </c>
      <c r="U52">
        <v>0</v>
      </c>
      <c r="V52">
        <v>10802</v>
      </c>
    </row>
    <row r="53" spans="1:22" x14ac:dyDescent="0.3">
      <c r="A53">
        <v>15741</v>
      </c>
      <c r="B53">
        <v>454714954</v>
      </c>
      <c r="C53">
        <v>38996</v>
      </c>
      <c r="D53" s="9">
        <v>269796350</v>
      </c>
      <c r="E53" t="s">
        <v>174</v>
      </c>
      <c r="G53" t="s">
        <v>58</v>
      </c>
      <c r="H53" t="s">
        <v>59</v>
      </c>
      <c r="I53" t="s">
        <v>36</v>
      </c>
      <c r="J53" t="s">
        <v>60</v>
      </c>
      <c r="K53" t="s">
        <v>29</v>
      </c>
      <c r="L53" t="s">
        <v>326</v>
      </c>
      <c r="M53" t="s">
        <v>330</v>
      </c>
      <c r="N53" t="s">
        <v>176</v>
      </c>
      <c r="O53" t="s">
        <v>75</v>
      </c>
      <c r="P53" t="s">
        <v>328</v>
      </c>
      <c r="Q53" t="s">
        <v>69</v>
      </c>
      <c r="R53" s="29">
        <v>46150.413194444445</v>
      </c>
      <c r="S53">
        <v>20.68</v>
      </c>
      <c r="T53">
        <v>10802</v>
      </c>
      <c r="U53">
        <v>0</v>
      </c>
      <c r="V53">
        <v>10802</v>
      </c>
    </row>
    <row r="54" spans="1:22" x14ac:dyDescent="0.3">
      <c r="A54">
        <v>15741</v>
      </c>
      <c r="B54">
        <v>454714584</v>
      </c>
      <c r="C54">
        <v>20505</v>
      </c>
      <c r="D54" s="9">
        <v>269795825</v>
      </c>
      <c r="E54" t="s">
        <v>174</v>
      </c>
      <c r="G54" t="s">
        <v>58</v>
      </c>
      <c r="H54" t="s">
        <v>59</v>
      </c>
      <c r="I54" t="s">
        <v>36</v>
      </c>
      <c r="J54" t="s">
        <v>60</v>
      </c>
      <c r="K54" t="s">
        <v>29</v>
      </c>
      <c r="L54" t="s">
        <v>331</v>
      </c>
      <c r="M54" t="s">
        <v>332</v>
      </c>
      <c r="N54" t="s">
        <v>176</v>
      </c>
      <c r="O54" t="s">
        <v>75</v>
      </c>
      <c r="P54" t="s">
        <v>333</v>
      </c>
      <c r="Q54" t="s">
        <v>110</v>
      </c>
      <c r="R54" s="29">
        <v>46150.40902777778</v>
      </c>
      <c r="S54">
        <v>20.62</v>
      </c>
      <c r="T54">
        <v>14165</v>
      </c>
      <c r="U54">
        <v>0</v>
      </c>
      <c r="V54">
        <v>14165</v>
      </c>
    </row>
    <row r="55" spans="1:22" x14ac:dyDescent="0.3">
      <c r="A55">
        <v>15741</v>
      </c>
      <c r="B55">
        <v>454655151</v>
      </c>
      <c r="C55">
        <v>54409</v>
      </c>
      <c r="D55" s="9">
        <v>269693319</v>
      </c>
      <c r="E55" t="s">
        <v>174</v>
      </c>
      <c r="G55" t="s">
        <v>58</v>
      </c>
      <c r="H55" t="s">
        <v>59</v>
      </c>
      <c r="I55" t="s">
        <v>36</v>
      </c>
      <c r="J55" t="s">
        <v>60</v>
      </c>
      <c r="K55" t="s">
        <v>29</v>
      </c>
      <c r="L55" t="s">
        <v>334</v>
      </c>
      <c r="M55" t="s">
        <v>335</v>
      </c>
      <c r="N55" t="s">
        <v>176</v>
      </c>
      <c r="O55" t="s">
        <v>75</v>
      </c>
      <c r="P55" t="s">
        <v>336</v>
      </c>
      <c r="Q55" t="s">
        <v>152</v>
      </c>
      <c r="R55" s="29">
        <v>46148.734722222223</v>
      </c>
      <c r="S55">
        <v>2.08</v>
      </c>
      <c r="T55">
        <v>5816</v>
      </c>
      <c r="U55">
        <v>0</v>
      </c>
      <c r="V55">
        <v>5816</v>
      </c>
    </row>
    <row r="56" spans="1:22" x14ac:dyDescent="0.3">
      <c r="A56">
        <v>15741</v>
      </c>
      <c r="B56">
        <v>454655328</v>
      </c>
      <c r="C56">
        <v>54415</v>
      </c>
      <c r="D56" s="9">
        <v>269693389</v>
      </c>
      <c r="E56" t="s">
        <v>174</v>
      </c>
      <c r="G56" t="s">
        <v>58</v>
      </c>
      <c r="H56" t="s">
        <v>59</v>
      </c>
      <c r="I56" t="s">
        <v>36</v>
      </c>
      <c r="J56" t="s">
        <v>60</v>
      </c>
      <c r="K56" t="s">
        <v>29</v>
      </c>
      <c r="L56" t="s">
        <v>337</v>
      </c>
      <c r="M56" t="s">
        <v>338</v>
      </c>
      <c r="N56" t="s">
        <v>176</v>
      </c>
      <c r="O56" t="s">
        <v>75</v>
      </c>
      <c r="P56" t="s">
        <v>339</v>
      </c>
      <c r="Q56" t="s">
        <v>70</v>
      </c>
      <c r="R56" s="29">
        <v>46148.738194444442</v>
      </c>
      <c r="S56">
        <v>1.97</v>
      </c>
      <c r="T56">
        <v>5504</v>
      </c>
      <c r="U56">
        <v>0</v>
      </c>
      <c r="V56">
        <v>5504</v>
      </c>
    </row>
    <row r="57" spans="1:22" x14ac:dyDescent="0.3">
      <c r="A57">
        <v>15741</v>
      </c>
      <c r="B57">
        <v>454655267</v>
      </c>
      <c r="C57">
        <v>54412</v>
      </c>
      <c r="D57" s="9">
        <v>269693372</v>
      </c>
      <c r="E57" t="s">
        <v>174</v>
      </c>
      <c r="G57" t="s">
        <v>58</v>
      </c>
      <c r="H57" t="s">
        <v>59</v>
      </c>
      <c r="I57" t="s">
        <v>36</v>
      </c>
      <c r="J57" t="s">
        <v>60</v>
      </c>
      <c r="K57" t="s">
        <v>29</v>
      </c>
      <c r="L57" t="s">
        <v>340</v>
      </c>
      <c r="M57" t="s">
        <v>341</v>
      </c>
      <c r="N57" t="s">
        <v>176</v>
      </c>
      <c r="O57" t="s">
        <v>75</v>
      </c>
      <c r="P57" t="s">
        <v>342</v>
      </c>
      <c r="Q57" t="s">
        <v>160</v>
      </c>
      <c r="R57" s="29">
        <v>46148.736805555556</v>
      </c>
      <c r="S57">
        <v>2.0099999999999998</v>
      </c>
      <c r="T57">
        <v>5816</v>
      </c>
      <c r="U57">
        <v>0</v>
      </c>
      <c r="V57">
        <v>5816</v>
      </c>
    </row>
    <row r="58" spans="1:22" x14ac:dyDescent="0.3">
      <c r="A58">
        <v>15741</v>
      </c>
      <c r="B58">
        <v>454654733</v>
      </c>
      <c r="C58">
        <v>54392</v>
      </c>
      <c r="D58" s="9">
        <v>269693237</v>
      </c>
      <c r="E58" t="s">
        <v>174</v>
      </c>
      <c r="G58" t="s">
        <v>58</v>
      </c>
      <c r="H58" t="s">
        <v>59</v>
      </c>
      <c r="I58" t="s">
        <v>36</v>
      </c>
      <c r="J58" t="s">
        <v>60</v>
      </c>
      <c r="K58" t="s">
        <v>29</v>
      </c>
      <c r="L58" t="s">
        <v>343</v>
      </c>
      <c r="M58" t="s">
        <v>344</v>
      </c>
      <c r="N58" t="s">
        <v>176</v>
      </c>
      <c r="O58" t="s">
        <v>75</v>
      </c>
      <c r="P58" t="s">
        <v>345</v>
      </c>
      <c r="Q58" t="s">
        <v>69</v>
      </c>
      <c r="R58" s="29">
        <v>46148.729166666664</v>
      </c>
      <c r="S58">
        <v>2.0099999999999998</v>
      </c>
      <c r="T58">
        <v>5816</v>
      </c>
      <c r="U58">
        <v>0</v>
      </c>
      <c r="V58">
        <v>5816</v>
      </c>
    </row>
    <row r="59" spans="1:22" x14ac:dyDescent="0.3">
      <c r="A59">
        <v>15741</v>
      </c>
      <c r="B59">
        <v>454684847</v>
      </c>
      <c r="C59">
        <v>38992</v>
      </c>
      <c r="D59" s="9">
        <v>269741318</v>
      </c>
      <c r="E59" t="s">
        <v>174</v>
      </c>
      <c r="G59" t="s">
        <v>58</v>
      </c>
      <c r="H59" t="s">
        <v>59</v>
      </c>
      <c r="I59" t="s">
        <v>36</v>
      </c>
      <c r="J59" t="s">
        <v>60</v>
      </c>
      <c r="K59" t="s">
        <v>29</v>
      </c>
      <c r="L59" t="s">
        <v>346</v>
      </c>
      <c r="M59" t="s">
        <v>347</v>
      </c>
      <c r="N59" t="s">
        <v>176</v>
      </c>
      <c r="O59" t="s">
        <v>75</v>
      </c>
      <c r="P59" t="s">
        <v>348</v>
      </c>
      <c r="Q59" t="s">
        <v>74</v>
      </c>
      <c r="R59" s="29">
        <v>46149.543055555558</v>
      </c>
      <c r="S59">
        <v>7.48</v>
      </c>
      <c r="T59">
        <v>7409</v>
      </c>
      <c r="U59">
        <v>0</v>
      </c>
      <c r="V59">
        <v>7409</v>
      </c>
    </row>
    <row r="60" spans="1:22" x14ac:dyDescent="0.3">
      <c r="A60">
        <v>15741</v>
      </c>
      <c r="B60">
        <v>454655073</v>
      </c>
      <c r="C60">
        <v>54407</v>
      </c>
      <c r="D60" s="9">
        <v>269693294</v>
      </c>
      <c r="E60" t="s">
        <v>174</v>
      </c>
      <c r="G60" t="s">
        <v>58</v>
      </c>
      <c r="H60" t="s">
        <v>59</v>
      </c>
      <c r="I60" t="s">
        <v>36</v>
      </c>
      <c r="J60" t="s">
        <v>60</v>
      </c>
      <c r="K60" t="s">
        <v>29</v>
      </c>
      <c r="L60" t="s">
        <v>349</v>
      </c>
      <c r="M60" t="s">
        <v>350</v>
      </c>
      <c r="N60" t="s">
        <v>176</v>
      </c>
      <c r="O60" t="s">
        <v>75</v>
      </c>
      <c r="P60" t="s">
        <v>351</v>
      </c>
      <c r="Q60" t="s">
        <v>157</v>
      </c>
      <c r="R60" s="29">
        <v>46148.73333333333</v>
      </c>
      <c r="S60">
        <v>1.98</v>
      </c>
      <c r="T60">
        <v>5504</v>
      </c>
      <c r="U60">
        <v>0</v>
      </c>
      <c r="V60">
        <v>5504</v>
      </c>
    </row>
    <row r="61" spans="1:22" x14ac:dyDescent="0.3">
      <c r="A61">
        <v>15741</v>
      </c>
      <c r="B61">
        <v>454654794</v>
      </c>
      <c r="C61">
        <v>54394</v>
      </c>
      <c r="D61" s="9">
        <v>269693228</v>
      </c>
      <c r="E61" t="s">
        <v>174</v>
      </c>
      <c r="G61" t="s">
        <v>58</v>
      </c>
      <c r="H61" t="s">
        <v>59</v>
      </c>
      <c r="I61" t="s">
        <v>36</v>
      </c>
      <c r="J61" t="s">
        <v>60</v>
      </c>
      <c r="K61" t="s">
        <v>29</v>
      </c>
      <c r="L61" t="s">
        <v>352</v>
      </c>
      <c r="M61" t="s">
        <v>353</v>
      </c>
      <c r="N61" t="s">
        <v>176</v>
      </c>
      <c r="O61" t="s">
        <v>75</v>
      </c>
      <c r="P61" t="s">
        <v>354</v>
      </c>
      <c r="Q61" t="s">
        <v>69</v>
      </c>
      <c r="R61" s="29">
        <v>46148.729861111111</v>
      </c>
      <c r="S61">
        <v>2.09</v>
      </c>
      <c r="T61">
        <v>5816</v>
      </c>
      <c r="U61">
        <v>0</v>
      </c>
      <c r="V61">
        <v>5816</v>
      </c>
    </row>
    <row r="62" spans="1:22" x14ac:dyDescent="0.3">
      <c r="A62">
        <v>15741</v>
      </c>
      <c r="B62">
        <v>454655312</v>
      </c>
      <c r="C62">
        <v>54414</v>
      </c>
      <c r="D62" s="9">
        <v>269693385</v>
      </c>
      <c r="E62" t="s">
        <v>174</v>
      </c>
      <c r="G62" t="s">
        <v>58</v>
      </c>
      <c r="H62" t="s">
        <v>59</v>
      </c>
      <c r="I62" t="s">
        <v>36</v>
      </c>
      <c r="J62" t="s">
        <v>60</v>
      </c>
      <c r="K62" t="s">
        <v>29</v>
      </c>
      <c r="L62" t="s">
        <v>355</v>
      </c>
      <c r="M62" t="s">
        <v>356</v>
      </c>
      <c r="N62" t="s">
        <v>176</v>
      </c>
      <c r="O62" t="s">
        <v>75</v>
      </c>
      <c r="P62" t="s">
        <v>357</v>
      </c>
      <c r="Q62" t="s">
        <v>31</v>
      </c>
      <c r="R62" s="29">
        <v>46148.737500000003</v>
      </c>
      <c r="S62">
        <v>1.97</v>
      </c>
      <c r="T62">
        <v>5504</v>
      </c>
      <c r="U62">
        <v>0</v>
      </c>
      <c r="V62">
        <v>5504</v>
      </c>
    </row>
    <row r="63" spans="1:22" x14ac:dyDescent="0.3">
      <c r="A63">
        <v>15741</v>
      </c>
      <c r="B63">
        <v>454655298</v>
      </c>
      <c r="C63">
        <v>54413</v>
      </c>
      <c r="D63" s="9">
        <v>269693367</v>
      </c>
      <c r="E63" t="s">
        <v>174</v>
      </c>
      <c r="G63" t="s">
        <v>58</v>
      </c>
      <c r="H63" t="s">
        <v>59</v>
      </c>
      <c r="I63" t="s">
        <v>36</v>
      </c>
      <c r="J63" t="s">
        <v>60</v>
      </c>
      <c r="K63" t="s">
        <v>29</v>
      </c>
      <c r="L63" t="s">
        <v>358</v>
      </c>
      <c r="M63" t="s">
        <v>359</v>
      </c>
      <c r="N63" t="s">
        <v>176</v>
      </c>
      <c r="O63" t="s">
        <v>75</v>
      </c>
      <c r="P63" t="s">
        <v>360</v>
      </c>
      <c r="Q63" t="s">
        <v>31</v>
      </c>
      <c r="R63" s="29">
        <v>46148.737500000003</v>
      </c>
      <c r="S63">
        <v>2.0699999999999998</v>
      </c>
      <c r="T63">
        <v>5816</v>
      </c>
      <c r="U63">
        <v>0</v>
      </c>
      <c r="V63">
        <v>5816</v>
      </c>
    </row>
    <row r="64" spans="1:22" x14ac:dyDescent="0.3">
      <c r="A64">
        <v>15741</v>
      </c>
      <c r="B64">
        <v>454654813</v>
      </c>
      <c r="C64">
        <v>54403</v>
      </c>
      <c r="D64" s="9">
        <v>269693275</v>
      </c>
      <c r="E64" t="s">
        <v>174</v>
      </c>
      <c r="G64" t="s">
        <v>58</v>
      </c>
      <c r="H64" t="s">
        <v>59</v>
      </c>
      <c r="I64" t="s">
        <v>36</v>
      </c>
      <c r="J64" t="s">
        <v>60</v>
      </c>
      <c r="K64" t="s">
        <v>29</v>
      </c>
      <c r="L64" t="s">
        <v>361</v>
      </c>
      <c r="M64" t="s">
        <v>362</v>
      </c>
      <c r="N64" t="s">
        <v>176</v>
      </c>
      <c r="O64" t="s">
        <v>75</v>
      </c>
      <c r="P64" t="s">
        <v>363</v>
      </c>
      <c r="Q64" t="s">
        <v>47</v>
      </c>
      <c r="R64" s="29">
        <v>46148.730555555558</v>
      </c>
      <c r="S64">
        <v>2.0099999999999998</v>
      </c>
      <c r="T64">
        <v>5816</v>
      </c>
      <c r="U64">
        <v>0</v>
      </c>
      <c r="V64">
        <v>5816</v>
      </c>
    </row>
    <row r="65" spans="1:22" x14ac:dyDescent="0.3">
      <c r="A65">
        <v>15741</v>
      </c>
      <c r="B65">
        <v>454686643</v>
      </c>
      <c r="C65">
        <v>20499</v>
      </c>
      <c r="D65" s="9">
        <v>269741349</v>
      </c>
      <c r="E65" t="s">
        <v>174</v>
      </c>
      <c r="G65" t="s">
        <v>58</v>
      </c>
      <c r="H65" t="s">
        <v>59</v>
      </c>
      <c r="I65" t="s">
        <v>36</v>
      </c>
      <c r="J65" t="s">
        <v>60</v>
      </c>
      <c r="K65" t="s">
        <v>29</v>
      </c>
      <c r="L65" t="s">
        <v>364</v>
      </c>
      <c r="M65" t="s">
        <v>365</v>
      </c>
      <c r="N65" t="s">
        <v>176</v>
      </c>
      <c r="O65" t="s">
        <v>75</v>
      </c>
      <c r="P65" t="s">
        <v>366</v>
      </c>
      <c r="Q65" t="s">
        <v>153</v>
      </c>
      <c r="R65" s="29">
        <v>46149.563888888886</v>
      </c>
      <c r="S65">
        <v>28.13</v>
      </c>
      <c r="T65">
        <v>13185</v>
      </c>
      <c r="U65">
        <v>0</v>
      </c>
      <c r="V65">
        <v>13185</v>
      </c>
    </row>
    <row r="66" spans="1:22" x14ac:dyDescent="0.3">
      <c r="A66">
        <v>15741</v>
      </c>
      <c r="B66">
        <v>454654755</v>
      </c>
      <c r="C66">
        <v>54393</v>
      </c>
      <c r="D66" s="9">
        <v>269693220</v>
      </c>
      <c r="E66" t="s">
        <v>174</v>
      </c>
      <c r="G66" t="s">
        <v>58</v>
      </c>
      <c r="H66" t="s">
        <v>59</v>
      </c>
      <c r="I66" t="s">
        <v>36</v>
      </c>
      <c r="J66" t="s">
        <v>60</v>
      </c>
      <c r="K66" t="s">
        <v>29</v>
      </c>
      <c r="L66" t="s">
        <v>367</v>
      </c>
      <c r="M66" t="s">
        <v>368</v>
      </c>
      <c r="N66" t="s">
        <v>176</v>
      </c>
      <c r="O66" t="s">
        <v>75</v>
      </c>
      <c r="P66" t="s">
        <v>369</v>
      </c>
      <c r="Q66" t="s">
        <v>135</v>
      </c>
      <c r="R66" s="29">
        <v>46148.729861111111</v>
      </c>
      <c r="S66">
        <v>2</v>
      </c>
      <c r="T66">
        <v>5504</v>
      </c>
      <c r="U66">
        <v>0</v>
      </c>
      <c r="V66">
        <v>5504</v>
      </c>
    </row>
    <row r="67" spans="1:22" x14ac:dyDescent="0.3">
      <c r="A67">
        <v>15741</v>
      </c>
      <c r="B67">
        <v>454654826</v>
      </c>
      <c r="C67">
        <v>54404</v>
      </c>
      <c r="D67" s="9">
        <v>269693259</v>
      </c>
      <c r="E67" t="s">
        <v>174</v>
      </c>
      <c r="G67" t="s">
        <v>58</v>
      </c>
      <c r="H67" t="s">
        <v>59</v>
      </c>
      <c r="I67" t="s">
        <v>36</v>
      </c>
      <c r="J67" t="s">
        <v>60</v>
      </c>
      <c r="K67" t="s">
        <v>29</v>
      </c>
      <c r="L67" t="s">
        <v>370</v>
      </c>
      <c r="M67" t="s">
        <v>371</v>
      </c>
      <c r="N67" t="s">
        <v>176</v>
      </c>
      <c r="O67" t="s">
        <v>75</v>
      </c>
      <c r="P67" t="s">
        <v>372</v>
      </c>
      <c r="Q67" t="s">
        <v>46</v>
      </c>
      <c r="R67" s="29">
        <v>46148.731249999997</v>
      </c>
      <c r="S67">
        <v>2.06</v>
      </c>
      <c r="T67">
        <v>5816</v>
      </c>
      <c r="U67">
        <v>0</v>
      </c>
      <c r="V67">
        <v>5816</v>
      </c>
    </row>
    <row r="68" spans="1:22" x14ac:dyDescent="0.3">
      <c r="A68">
        <v>15741</v>
      </c>
      <c r="B68">
        <v>454655461</v>
      </c>
      <c r="C68">
        <v>54418</v>
      </c>
      <c r="D68" s="9">
        <v>269693423</v>
      </c>
      <c r="E68" t="s">
        <v>174</v>
      </c>
      <c r="G68" t="s">
        <v>58</v>
      </c>
      <c r="H68" t="s">
        <v>59</v>
      </c>
      <c r="I68" t="s">
        <v>36</v>
      </c>
      <c r="J68" t="s">
        <v>60</v>
      </c>
      <c r="K68" t="s">
        <v>29</v>
      </c>
      <c r="L68" t="s">
        <v>373</v>
      </c>
      <c r="M68" t="s">
        <v>374</v>
      </c>
      <c r="N68" t="s">
        <v>176</v>
      </c>
      <c r="O68" t="s">
        <v>75</v>
      </c>
      <c r="P68" t="s">
        <v>375</v>
      </c>
      <c r="Q68" t="s">
        <v>74</v>
      </c>
      <c r="R68" s="29">
        <v>46148.740277777775</v>
      </c>
      <c r="S68">
        <v>6.9</v>
      </c>
      <c r="T68">
        <v>7086</v>
      </c>
      <c r="U68">
        <v>0</v>
      </c>
      <c r="V68">
        <v>7086</v>
      </c>
    </row>
    <row r="69" spans="1:22" x14ac:dyDescent="0.3">
      <c r="A69">
        <v>15741</v>
      </c>
      <c r="B69">
        <v>454655215</v>
      </c>
      <c r="C69">
        <v>54411</v>
      </c>
      <c r="D69" s="9">
        <v>269693343</v>
      </c>
      <c r="E69" t="s">
        <v>174</v>
      </c>
      <c r="G69" t="s">
        <v>58</v>
      </c>
      <c r="H69" t="s">
        <v>59</v>
      </c>
      <c r="I69" t="s">
        <v>36</v>
      </c>
      <c r="J69" t="s">
        <v>60</v>
      </c>
      <c r="K69" t="s">
        <v>29</v>
      </c>
      <c r="L69" t="s">
        <v>376</v>
      </c>
      <c r="M69" t="s">
        <v>377</v>
      </c>
      <c r="N69" t="s">
        <v>176</v>
      </c>
      <c r="O69" t="s">
        <v>75</v>
      </c>
      <c r="P69" t="s">
        <v>378</v>
      </c>
      <c r="Q69" t="s">
        <v>69</v>
      </c>
      <c r="R69" s="29">
        <v>46148.73541666667</v>
      </c>
      <c r="S69">
        <v>2.0099999999999998</v>
      </c>
      <c r="T69">
        <v>5816</v>
      </c>
      <c r="U69">
        <v>0</v>
      </c>
      <c r="V69">
        <v>5816</v>
      </c>
    </row>
    <row r="70" spans="1:22" x14ac:dyDescent="0.3">
      <c r="A70">
        <v>15741</v>
      </c>
      <c r="B70">
        <v>454655172</v>
      </c>
      <c r="C70">
        <v>54410</v>
      </c>
      <c r="D70" s="9">
        <v>269693326</v>
      </c>
      <c r="E70" t="s">
        <v>174</v>
      </c>
      <c r="G70" t="s">
        <v>58</v>
      </c>
      <c r="H70" t="s">
        <v>59</v>
      </c>
      <c r="I70" t="s">
        <v>36</v>
      </c>
      <c r="J70" t="s">
        <v>60</v>
      </c>
      <c r="K70" t="s">
        <v>29</v>
      </c>
      <c r="L70" t="s">
        <v>376</v>
      </c>
      <c r="M70" t="s">
        <v>379</v>
      </c>
      <c r="N70" t="s">
        <v>176</v>
      </c>
      <c r="O70" t="s">
        <v>75</v>
      </c>
      <c r="P70" t="s">
        <v>378</v>
      </c>
      <c r="Q70" t="s">
        <v>69</v>
      </c>
      <c r="R70" s="29">
        <v>46148.734722222223</v>
      </c>
      <c r="S70">
        <v>1.81</v>
      </c>
      <c r="T70">
        <v>5504</v>
      </c>
      <c r="U70">
        <v>0</v>
      </c>
      <c r="V70">
        <v>5504</v>
      </c>
    </row>
    <row r="71" spans="1:22" x14ac:dyDescent="0.3">
      <c r="A71">
        <v>15741</v>
      </c>
      <c r="B71">
        <v>454582068</v>
      </c>
      <c r="C71">
        <v>20476</v>
      </c>
      <c r="D71" s="9">
        <v>269559004</v>
      </c>
      <c r="E71" t="s">
        <v>174</v>
      </c>
      <c r="G71" t="s">
        <v>58</v>
      </c>
      <c r="H71" t="s">
        <v>59</v>
      </c>
      <c r="I71" t="s">
        <v>36</v>
      </c>
      <c r="J71" t="s">
        <v>60</v>
      </c>
      <c r="K71" t="s">
        <v>29</v>
      </c>
      <c r="L71" t="s">
        <v>380</v>
      </c>
      <c r="M71" t="s">
        <v>381</v>
      </c>
      <c r="N71" t="s">
        <v>176</v>
      </c>
      <c r="O71" t="s">
        <v>75</v>
      </c>
      <c r="P71" t="s">
        <v>382</v>
      </c>
      <c r="Q71" t="s">
        <v>88</v>
      </c>
      <c r="R71" s="29">
        <v>46147.397916666669</v>
      </c>
      <c r="S71">
        <v>79.2</v>
      </c>
      <c r="T71">
        <v>40358</v>
      </c>
      <c r="U71">
        <v>6270</v>
      </c>
      <c r="V71">
        <v>46628</v>
      </c>
    </row>
    <row r="72" spans="1:22" x14ac:dyDescent="0.3">
      <c r="A72">
        <v>15741</v>
      </c>
      <c r="B72">
        <v>454655116</v>
      </c>
      <c r="C72">
        <v>54408</v>
      </c>
      <c r="D72" s="9">
        <v>269693302</v>
      </c>
      <c r="E72" t="s">
        <v>174</v>
      </c>
      <c r="G72" t="s">
        <v>58</v>
      </c>
      <c r="H72" t="s">
        <v>59</v>
      </c>
      <c r="I72" t="s">
        <v>36</v>
      </c>
      <c r="J72" t="s">
        <v>60</v>
      </c>
      <c r="K72" t="s">
        <v>29</v>
      </c>
      <c r="L72" t="s">
        <v>383</v>
      </c>
      <c r="M72" t="s">
        <v>384</v>
      </c>
      <c r="N72" t="s">
        <v>176</v>
      </c>
      <c r="O72" t="s">
        <v>75</v>
      </c>
      <c r="P72" t="s">
        <v>385</v>
      </c>
      <c r="Q72" t="s">
        <v>47</v>
      </c>
      <c r="R72" s="29">
        <v>46148.734027777777</v>
      </c>
      <c r="S72">
        <v>2.0299999999999998</v>
      </c>
      <c r="T72">
        <v>5816</v>
      </c>
      <c r="U72">
        <v>0</v>
      </c>
      <c r="V72">
        <v>5816</v>
      </c>
    </row>
    <row r="73" spans="1:22" x14ac:dyDescent="0.3">
      <c r="A73">
        <v>15741</v>
      </c>
      <c r="B73">
        <v>454633613</v>
      </c>
      <c r="C73">
        <v>20493</v>
      </c>
      <c r="D73" s="9">
        <v>269648539</v>
      </c>
      <c r="E73" t="s">
        <v>174</v>
      </c>
      <c r="G73" t="s">
        <v>58</v>
      </c>
      <c r="H73" t="s">
        <v>59</v>
      </c>
      <c r="I73" t="s">
        <v>36</v>
      </c>
      <c r="J73" t="s">
        <v>60</v>
      </c>
      <c r="K73" t="s">
        <v>29</v>
      </c>
      <c r="L73" t="s">
        <v>386</v>
      </c>
      <c r="M73" t="s">
        <v>387</v>
      </c>
      <c r="N73" t="s">
        <v>176</v>
      </c>
      <c r="O73" t="s">
        <v>75</v>
      </c>
      <c r="P73" t="s">
        <v>388</v>
      </c>
      <c r="Q73" t="s">
        <v>114</v>
      </c>
      <c r="R73" s="29">
        <v>46148.443749999999</v>
      </c>
      <c r="S73">
        <v>21.26</v>
      </c>
      <c r="T73">
        <v>11288</v>
      </c>
      <c r="U73">
        <v>0</v>
      </c>
      <c r="V73">
        <v>11288</v>
      </c>
    </row>
    <row r="74" spans="1:22" x14ac:dyDescent="0.3">
      <c r="A74">
        <v>15741</v>
      </c>
      <c r="B74">
        <v>454581873</v>
      </c>
      <c r="C74">
        <v>20473</v>
      </c>
      <c r="D74" s="9">
        <v>269558774</v>
      </c>
      <c r="E74" t="s">
        <v>174</v>
      </c>
      <c r="G74" t="s">
        <v>58</v>
      </c>
      <c r="H74" t="s">
        <v>59</v>
      </c>
      <c r="I74" t="s">
        <v>36</v>
      </c>
      <c r="J74" t="s">
        <v>60</v>
      </c>
      <c r="K74" t="s">
        <v>29</v>
      </c>
      <c r="L74" t="s">
        <v>389</v>
      </c>
      <c r="M74" t="s">
        <v>390</v>
      </c>
      <c r="N74" t="s">
        <v>176</v>
      </c>
      <c r="O74" t="s">
        <v>75</v>
      </c>
      <c r="P74" t="s">
        <v>391</v>
      </c>
      <c r="Q74" t="s">
        <v>89</v>
      </c>
      <c r="R74" s="29">
        <v>46147.396527777775</v>
      </c>
      <c r="S74">
        <v>60</v>
      </c>
      <c r="T74">
        <v>22744</v>
      </c>
      <c r="U74">
        <v>0</v>
      </c>
      <c r="V74">
        <v>22744</v>
      </c>
    </row>
    <row r="75" spans="1:22" x14ac:dyDescent="0.3">
      <c r="A75">
        <v>15741</v>
      </c>
      <c r="B75">
        <v>454581569</v>
      </c>
      <c r="C75">
        <v>20430</v>
      </c>
      <c r="D75" s="9">
        <v>269558380</v>
      </c>
      <c r="E75" t="s">
        <v>174</v>
      </c>
      <c r="G75" t="s">
        <v>58</v>
      </c>
      <c r="H75" t="s">
        <v>59</v>
      </c>
      <c r="I75" t="s">
        <v>36</v>
      </c>
      <c r="J75" t="s">
        <v>60</v>
      </c>
      <c r="K75" t="s">
        <v>29</v>
      </c>
      <c r="L75" t="s">
        <v>392</v>
      </c>
      <c r="M75" t="s">
        <v>393</v>
      </c>
      <c r="N75" t="s">
        <v>176</v>
      </c>
      <c r="O75" t="s">
        <v>75</v>
      </c>
      <c r="P75" t="s">
        <v>394</v>
      </c>
      <c r="Q75" t="s">
        <v>80</v>
      </c>
      <c r="R75" s="29">
        <v>46147.39166666667</v>
      </c>
      <c r="S75">
        <v>279.94</v>
      </c>
      <c r="T75">
        <v>99305</v>
      </c>
      <c r="U75">
        <v>9689.9500000000007</v>
      </c>
      <c r="V75">
        <v>108994.95</v>
      </c>
    </row>
    <row r="76" spans="1:22" x14ac:dyDescent="0.3">
      <c r="A76">
        <v>15741</v>
      </c>
      <c r="B76">
        <v>454582203</v>
      </c>
      <c r="C76">
        <v>20481</v>
      </c>
      <c r="D76" s="9">
        <v>269559191</v>
      </c>
      <c r="E76" t="s">
        <v>174</v>
      </c>
      <c r="G76" t="s">
        <v>58</v>
      </c>
      <c r="H76" t="s">
        <v>59</v>
      </c>
      <c r="I76" t="s">
        <v>36</v>
      </c>
      <c r="J76" t="s">
        <v>60</v>
      </c>
      <c r="K76" t="s">
        <v>29</v>
      </c>
      <c r="L76" t="s">
        <v>395</v>
      </c>
      <c r="M76" t="s">
        <v>396</v>
      </c>
      <c r="N76" t="s">
        <v>176</v>
      </c>
      <c r="O76" t="s">
        <v>75</v>
      </c>
      <c r="P76" t="s">
        <v>397</v>
      </c>
      <c r="Q76" t="s">
        <v>100</v>
      </c>
      <c r="R76" s="29">
        <v>46147.399305555555</v>
      </c>
      <c r="S76">
        <v>26.33</v>
      </c>
      <c r="T76">
        <v>23697</v>
      </c>
      <c r="U76">
        <v>0</v>
      </c>
      <c r="V76">
        <v>23697</v>
      </c>
    </row>
    <row r="77" spans="1:22" x14ac:dyDescent="0.3">
      <c r="A77">
        <v>15741</v>
      </c>
      <c r="B77">
        <v>454418923</v>
      </c>
      <c r="C77">
        <v>20198</v>
      </c>
      <c r="D77" s="9">
        <v>269263836</v>
      </c>
      <c r="E77" t="s">
        <v>174</v>
      </c>
      <c r="G77" t="s">
        <v>58</v>
      </c>
      <c r="H77" t="s">
        <v>59</v>
      </c>
      <c r="I77" t="s">
        <v>36</v>
      </c>
      <c r="J77" t="s">
        <v>60</v>
      </c>
      <c r="K77" t="s">
        <v>29</v>
      </c>
      <c r="L77" t="s">
        <v>398</v>
      </c>
      <c r="M77" t="s">
        <v>399</v>
      </c>
      <c r="N77" t="s">
        <v>176</v>
      </c>
      <c r="O77" t="s">
        <v>75</v>
      </c>
      <c r="P77" t="s">
        <v>400</v>
      </c>
      <c r="Q77" t="s">
        <v>83</v>
      </c>
      <c r="R77" s="29">
        <v>46142.392361111109</v>
      </c>
      <c r="S77">
        <v>209.75</v>
      </c>
      <c r="T77">
        <v>74197</v>
      </c>
      <c r="U77">
        <v>12149.94</v>
      </c>
      <c r="V77">
        <v>86346.94</v>
      </c>
    </row>
    <row r="78" spans="1:22" x14ac:dyDescent="0.3">
      <c r="A78">
        <v>15741</v>
      </c>
      <c r="B78">
        <v>454418370</v>
      </c>
      <c r="C78">
        <v>20463</v>
      </c>
      <c r="D78" s="9">
        <v>269262786</v>
      </c>
      <c r="E78" t="s">
        <v>174</v>
      </c>
      <c r="G78" t="s">
        <v>58</v>
      </c>
      <c r="H78" t="s">
        <v>59</v>
      </c>
      <c r="I78" t="s">
        <v>36</v>
      </c>
      <c r="J78" t="s">
        <v>60</v>
      </c>
      <c r="K78" t="s">
        <v>29</v>
      </c>
      <c r="L78" t="s">
        <v>401</v>
      </c>
      <c r="M78" t="s">
        <v>402</v>
      </c>
      <c r="N78" t="s">
        <v>176</v>
      </c>
      <c r="O78" t="s">
        <v>75</v>
      </c>
      <c r="P78" t="s">
        <v>403</v>
      </c>
      <c r="Q78" t="s">
        <v>31</v>
      </c>
      <c r="R78" s="29">
        <v>46142.383333333331</v>
      </c>
      <c r="S78">
        <v>13.32</v>
      </c>
      <c r="T78">
        <v>9304</v>
      </c>
      <c r="U78">
        <v>0</v>
      </c>
      <c r="V78">
        <v>9304</v>
      </c>
    </row>
    <row r="79" spans="1:22" x14ac:dyDescent="0.3">
      <c r="A79">
        <v>15741</v>
      </c>
      <c r="B79">
        <v>454388145</v>
      </c>
      <c r="C79">
        <v>38891</v>
      </c>
      <c r="D79" s="9">
        <v>269200652</v>
      </c>
      <c r="E79" t="s">
        <v>174</v>
      </c>
      <c r="G79" t="s">
        <v>58</v>
      </c>
      <c r="H79" t="s">
        <v>59</v>
      </c>
      <c r="I79" t="s">
        <v>36</v>
      </c>
      <c r="J79" t="s">
        <v>60</v>
      </c>
      <c r="K79" t="s">
        <v>29</v>
      </c>
      <c r="L79" t="s">
        <v>404</v>
      </c>
      <c r="M79" t="s">
        <v>405</v>
      </c>
      <c r="N79" t="s">
        <v>176</v>
      </c>
      <c r="O79" t="s">
        <v>75</v>
      </c>
      <c r="P79" t="s">
        <v>406</v>
      </c>
      <c r="Q79" t="s">
        <v>31</v>
      </c>
      <c r="R79" s="29">
        <v>46141.45208333333</v>
      </c>
      <c r="S79">
        <v>41.06</v>
      </c>
      <c r="T79">
        <v>16759</v>
      </c>
      <c r="U79">
        <v>0</v>
      </c>
      <c r="V79">
        <v>16759</v>
      </c>
    </row>
    <row r="80" spans="1:22" x14ac:dyDescent="0.3">
      <c r="A80">
        <v>15741</v>
      </c>
      <c r="B80">
        <v>454387384</v>
      </c>
      <c r="C80">
        <v>54291</v>
      </c>
      <c r="D80" s="9">
        <v>269199720</v>
      </c>
      <c r="E80" t="s">
        <v>174</v>
      </c>
      <c r="G80" t="s">
        <v>58</v>
      </c>
      <c r="H80" t="s">
        <v>59</v>
      </c>
      <c r="I80" t="s">
        <v>36</v>
      </c>
      <c r="J80" t="s">
        <v>60</v>
      </c>
      <c r="K80" t="s">
        <v>29</v>
      </c>
      <c r="L80" t="s">
        <v>407</v>
      </c>
      <c r="M80" t="s">
        <v>408</v>
      </c>
      <c r="N80" t="s">
        <v>176</v>
      </c>
      <c r="O80" t="s">
        <v>75</v>
      </c>
      <c r="P80" t="s">
        <v>409</v>
      </c>
      <c r="Q80" t="s">
        <v>82</v>
      </c>
      <c r="R80" s="29">
        <v>46141.443055555559</v>
      </c>
      <c r="S80">
        <v>31.32</v>
      </c>
      <c r="T80">
        <v>16503</v>
      </c>
      <c r="U80">
        <v>0</v>
      </c>
      <c r="V80">
        <v>16503</v>
      </c>
    </row>
    <row r="81" spans="1:22" x14ac:dyDescent="0.3">
      <c r="A81">
        <v>15741</v>
      </c>
      <c r="B81">
        <v>141765476</v>
      </c>
      <c r="C81">
        <v>53989</v>
      </c>
      <c r="D81" s="9">
        <v>268736859</v>
      </c>
      <c r="E81" t="s">
        <v>174</v>
      </c>
      <c r="G81" t="s">
        <v>58</v>
      </c>
      <c r="H81" t="s">
        <v>59</v>
      </c>
      <c r="I81" t="s">
        <v>36</v>
      </c>
      <c r="J81" t="s">
        <v>60</v>
      </c>
      <c r="K81" t="s">
        <v>29</v>
      </c>
      <c r="L81" t="s">
        <v>410</v>
      </c>
      <c r="M81" t="s">
        <v>411</v>
      </c>
      <c r="N81" t="s">
        <v>176</v>
      </c>
      <c r="O81" t="s">
        <v>75</v>
      </c>
      <c r="P81" t="s">
        <v>412</v>
      </c>
      <c r="Q81" t="s">
        <v>31</v>
      </c>
      <c r="R81" s="29">
        <v>46133.700694444444</v>
      </c>
      <c r="S81">
        <v>2</v>
      </c>
      <c r="T81">
        <v>5504</v>
      </c>
      <c r="U81">
        <v>0</v>
      </c>
      <c r="V81">
        <v>5504</v>
      </c>
    </row>
    <row r="82" spans="1:22" x14ac:dyDescent="0.3">
      <c r="A82">
        <v>15741</v>
      </c>
      <c r="B82">
        <v>454387499</v>
      </c>
      <c r="C82">
        <v>54294</v>
      </c>
      <c r="D82" s="9">
        <v>269199753</v>
      </c>
      <c r="E82" t="s">
        <v>174</v>
      </c>
      <c r="G82" t="s">
        <v>58</v>
      </c>
      <c r="H82" t="s">
        <v>59</v>
      </c>
      <c r="I82" t="s">
        <v>36</v>
      </c>
      <c r="J82" t="s">
        <v>60</v>
      </c>
      <c r="K82" t="s">
        <v>29</v>
      </c>
      <c r="L82" t="s">
        <v>413</v>
      </c>
      <c r="M82" t="s">
        <v>414</v>
      </c>
      <c r="N82" t="s">
        <v>176</v>
      </c>
      <c r="O82" t="s">
        <v>75</v>
      </c>
      <c r="P82" t="s">
        <v>415</v>
      </c>
      <c r="Q82" t="s">
        <v>45</v>
      </c>
      <c r="R82" s="29">
        <v>46141.444444444445</v>
      </c>
      <c r="S82">
        <v>2.0499999999999998</v>
      </c>
      <c r="T82">
        <v>5816</v>
      </c>
      <c r="U82">
        <v>0</v>
      </c>
      <c r="V82">
        <v>5816</v>
      </c>
    </row>
    <row r="83" spans="1:22" x14ac:dyDescent="0.3">
      <c r="A83">
        <v>15741</v>
      </c>
      <c r="B83">
        <v>454387526</v>
      </c>
      <c r="C83">
        <v>54295</v>
      </c>
      <c r="D83" s="9">
        <v>269199760</v>
      </c>
      <c r="E83" t="s">
        <v>174</v>
      </c>
      <c r="G83" t="s">
        <v>58</v>
      </c>
      <c r="H83" t="s">
        <v>59</v>
      </c>
      <c r="I83" t="s">
        <v>36</v>
      </c>
      <c r="J83" t="s">
        <v>60</v>
      </c>
      <c r="K83" t="s">
        <v>29</v>
      </c>
      <c r="L83" t="s">
        <v>416</v>
      </c>
      <c r="M83" t="s">
        <v>417</v>
      </c>
      <c r="N83" t="s">
        <v>176</v>
      </c>
      <c r="O83" t="s">
        <v>75</v>
      </c>
      <c r="P83" t="s">
        <v>418</v>
      </c>
      <c r="Q83" t="s">
        <v>73</v>
      </c>
      <c r="R83" s="29">
        <v>46141.445138888892</v>
      </c>
      <c r="S83">
        <v>2.06</v>
      </c>
      <c r="T83">
        <v>5816</v>
      </c>
      <c r="U83">
        <v>0</v>
      </c>
      <c r="V83">
        <v>5816</v>
      </c>
    </row>
    <row r="84" spans="1:22" x14ac:dyDescent="0.3">
      <c r="A84">
        <v>15741</v>
      </c>
      <c r="B84">
        <v>454387482</v>
      </c>
      <c r="C84">
        <v>54293</v>
      </c>
      <c r="D84" s="9">
        <v>269199727</v>
      </c>
      <c r="E84" t="s">
        <v>174</v>
      </c>
      <c r="G84" t="s">
        <v>58</v>
      </c>
      <c r="H84" t="s">
        <v>59</v>
      </c>
      <c r="I84" t="s">
        <v>36</v>
      </c>
      <c r="J84" t="s">
        <v>60</v>
      </c>
      <c r="K84" t="s">
        <v>29</v>
      </c>
      <c r="L84" t="s">
        <v>419</v>
      </c>
      <c r="M84" t="s">
        <v>420</v>
      </c>
      <c r="N84" t="s">
        <v>176</v>
      </c>
      <c r="O84" t="s">
        <v>75</v>
      </c>
      <c r="P84" t="s">
        <v>421</v>
      </c>
      <c r="Q84" t="s">
        <v>157</v>
      </c>
      <c r="R84" s="29">
        <v>46141.444444444445</v>
      </c>
      <c r="S84">
        <v>2.02</v>
      </c>
      <c r="T84">
        <v>5816</v>
      </c>
      <c r="U84">
        <v>0</v>
      </c>
      <c r="V84">
        <v>5816</v>
      </c>
    </row>
    <row r="85" spans="1:22" x14ac:dyDescent="0.3">
      <c r="A85">
        <v>15741</v>
      </c>
      <c r="B85">
        <v>141802597</v>
      </c>
      <c r="C85">
        <v>38121</v>
      </c>
      <c r="D85" s="9">
        <v>268807691</v>
      </c>
      <c r="E85" t="s">
        <v>174</v>
      </c>
      <c r="G85" t="s">
        <v>58</v>
      </c>
      <c r="H85" t="s">
        <v>59</v>
      </c>
      <c r="I85" t="s">
        <v>36</v>
      </c>
      <c r="J85" t="s">
        <v>60</v>
      </c>
      <c r="K85" t="s">
        <v>29</v>
      </c>
      <c r="L85" t="s">
        <v>422</v>
      </c>
      <c r="M85" t="s">
        <v>423</v>
      </c>
      <c r="N85" t="s">
        <v>176</v>
      </c>
      <c r="O85" t="s">
        <v>75</v>
      </c>
      <c r="P85" t="s">
        <v>424</v>
      </c>
      <c r="Q85" t="s">
        <v>88</v>
      </c>
      <c r="R85" s="29">
        <v>46134.716666666667</v>
      </c>
      <c r="S85">
        <v>237.15</v>
      </c>
      <c r="T85">
        <v>95483</v>
      </c>
      <c r="U85">
        <v>13229.88</v>
      </c>
      <c r="V85">
        <v>108712.88</v>
      </c>
    </row>
    <row r="86" spans="1:22" x14ac:dyDescent="0.3">
      <c r="A86">
        <v>15741</v>
      </c>
      <c r="B86">
        <v>141821063</v>
      </c>
      <c r="C86">
        <v>20360</v>
      </c>
      <c r="D86" s="9">
        <v>268837145</v>
      </c>
      <c r="E86" t="s">
        <v>174</v>
      </c>
      <c r="G86" t="s">
        <v>58</v>
      </c>
      <c r="H86" t="s">
        <v>59</v>
      </c>
      <c r="I86" t="s">
        <v>36</v>
      </c>
      <c r="J86" t="s">
        <v>60</v>
      </c>
      <c r="K86" t="s">
        <v>29</v>
      </c>
      <c r="L86" t="s">
        <v>425</v>
      </c>
      <c r="M86" t="s">
        <v>426</v>
      </c>
      <c r="N86" t="s">
        <v>176</v>
      </c>
      <c r="O86" t="s">
        <v>75</v>
      </c>
      <c r="P86" t="s">
        <v>427</v>
      </c>
      <c r="Q86" t="s">
        <v>115</v>
      </c>
      <c r="R86" s="29">
        <v>46135.44027777778</v>
      </c>
      <c r="S86">
        <v>56</v>
      </c>
      <c r="T86">
        <v>37788</v>
      </c>
      <c r="U86">
        <v>7770</v>
      </c>
      <c r="V86">
        <v>45558</v>
      </c>
    </row>
    <row r="87" spans="1:22" x14ac:dyDescent="0.3">
      <c r="A87">
        <v>15741</v>
      </c>
      <c r="B87">
        <v>454387465</v>
      </c>
      <c r="C87">
        <v>54292</v>
      </c>
      <c r="D87" s="9">
        <v>269199709</v>
      </c>
      <c r="E87" t="s">
        <v>174</v>
      </c>
      <c r="G87" t="s">
        <v>58</v>
      </c>
      <c r="H87" t="s">
        <v>59</v>
      </c>
      <c r="I87" t="s">
        <v>36</v>
      </c>
      <c r="J87" t="s">
        <v>60</v>
      </c>
      <c r="K87" t="s">
        <v>29</v>
      </c>
      <c r="L87" t="s">
        <v>428</v>
      </c>
      <c r="M87" t="s">
        <v>429</v>
      </c>
      <c r="N87" t="s">
        <v>176</v>
      </c>
      <c r="O87" t="s">
        <v>75</v>
      </c>
      <c r="P87" t="s">
        <v>430</v>
      </c>
      <c r="Q87" t="s">
        <v>69</v>
      </c>
      <c r="R87" s="29">
        <v>46141.443749999999</v>
      </c>
      <c r="S87">
        <v>1.77</v>
      </c>
      <c r="T87">
        <v>5504</v>
      </c>
      <c r="U87">
        <v>0</v>
      </c>
      <c r="V87">
        <v>5504</v>
      </c>
    </row>
    <row r="88" spans="1:22" x14ac:dyDescent="0.3">
      <c r="A88">
        <v>15741</v>
      </c>
      <c r="B88">
        <v>141802878</v>
      </c>
      <c r="C88">
        <v>38556</v>
      </c>
      <c r="D88" s="9">
        <v>268807758</v>
      </c>
      <c r="E88" t="s">
        <v>174</v>
      </c>
      <c r="G88" t="s">
        <v>58</v>
      </c>
      <c r="H88" t="s">
        <v>59</v>
      </c>
      <c r="I88" t="s">
        <v>36</v>
      </c>
      <c r="J88" t="s">
        <v>60</v>
      </c>
      <c r="K88" t="s">
        <v>29</v>
      </c>
      <c r="L88" t="s">
        <v>431</v>
      </c>
      <c r="M88" t="s">
        <v>432</v>
      </c>
      <c r="N88" t="s">
        <v>176</v>
      </c>
      <c r="O88" t="s">
        <v>75</v>
      </c>
      <c r="P88" t="s">
        <v>433</v>
      </c>
      <c r="Q88" t="s">
        <v>88</v>
      </c>
      <c r="R88" s="29">
        <v>46134.722916666666</v>
      </c>
      <c r="S88">
        <v>222.39</v>
      </c>
      <c r="T88">
        <v>89453</v>
      </c>
      <c r="U88">
        <v>13109.94</v>
      </c>
      <c r="V88">
        <v>102562.94</v>
      </c>
    </row>
    <row r="89" spans="1:22" x14ac:dyDescent="0.3">
      <c r="A89">
        <v>15741</v>
      </c>
      <c r="B89">
        <v>454358977</v>
      </c>
      <c r="C89">
        <v>54227</v>
      </c>
      <c r="D89" s="9">
        <v>269142257</v>
      </c>
      <c r="E89" t="s">
        <v>174</v>
      </c>
      <c r="G89" t="s">
        <v>58</v>
      </c>
      <c r="H89" t="s">
        <v>59</v>
      </c>
      <c r="I89" t="s">
        <v>36</v>
      </c>
      <c r="J89" t="s">
        <v>60</v>
      </c>
      <c r="K89" t="s">
        <v>29</v>
      </c>
      <c r="L89" t="s">
        <v>434</v>
      </c>
      <c r="M89" t="s">
        <v>435</v>
      </c>
      <c r="N89" t="s">
        <v>176</v>
      </c>
      <c r="O89" t="s">
        <v>75</v>
      </c>
      <c r="P89" t="s">
        <v>436</v>
      </c>
      <c r="Q89" t="s">
        <v>46</v>
      </c>
      <c r="R89" s="29">
        <v>46140.555555555555</v>
      </c>
      <c r="S89">
        <v>2.1</v>
      </c>
      <c r="T89">
        <v>5816</v>
      </c>
      <c r="U89">
        <v>0</v>
      </c>
      <c r="V89">
        <v>5816</v>
      </c>
    </row>
    <row r="90" spans="1:22" x14ac:dyDescent="0.3">
      <c r="A90">
        <v>15741</v>
      </c>
      <c r="B90">
        <v>454358560</v>
      </c>
      <c r="C90">
        <v>54220</v>
      </c>
      <c r="D90" s="9">
        <v>269142166</v>
      </c>
      <c r="E90" t="s">
        <v>174</v>
      </c>
      <c r="G90" t="s">
        <v>58</v>
      </c>
      <c r="H90" t="s">
        <v>59</v>
      </c>
      <c r="I90" t="s">
        <v>36</v>
      </c>
      <c r="J90" t="s">
        <v>60</v>
      </c>
      <c r="K90" t="s">
        <v>29</v>
      </c>
      <c r="L90" t="s">
        <v>437</v>
      </c>
      <c r="M90" t="s">
        <v>438</v>
      </c>
      <c r="N90" t="s">
        <v>176</v>
      </c>
      <c r="O90" t="s">
        <v>75</v>
      </c>
      <c r="P90" t="s">
        <v>439</v>
      </c>
      <c r="Q90" t="s">
        <v>161</v>
      </c>
      <c r="R90" s="29">
        <v>46140.549305555556</v>
      </c>
      <c r="S90">
        <v>2.06</v>
      </c>
      <c r="T90">
        <v>5816</v>
      </c>
      <c r="U90">
        <v>0</v>
      </c>
      <c r="V90">
        <v>5816</v>
      </c>
    </row>
    <row r="91" spans="1:22" x14ac:dyDescent="0.3">
      <c r="A91">
        <v>15741</v>
      </c>
      <c r="B91">
        <v>454359071</v>
      </c>
      <c r="C91">
        <v>54228</v>
      </c>
      <c r="D91" s="9">
        <v>269142264</v>
      </c>
      <c r="E91" t="s">
        <v>174</v>
      </c>
      <c r="G91" t="s">
        <v>58</v>
      </c>
      <c r="H91" t="s">
        <v>59</v>
      </c>
      <c r="I91" t="s">
        <v>36</v>
      </c>
      <c r="J91" t="s">
        <v>60</v>
      </c>
      <c r="K91" t="s">
        <v>29</v>
      </c>
      <c r="L91" t="s">
        <v>440</v>
      </c>
      <c r="M91" t="s">
        <v>441</v>
      </c>
      <c r="N91" t="s">
        <v>176</v>
      </c>
      <c r="O91" t="s">
        <v>75</v>
      </c>
      <c r="P91" t="s">
        <v>442</v>
      </c>
      <c r="Q91" t="s">
        <v>71</v>
      </c>
      <c r="R91" s="29">
        <v>46140.556944444441</v>
      </c>
      <c r="S91">
        <v>2.12</v>
      </c>
      <c r="T91">
        <v>5816</v>
      </c>
      <c r="U91">
        <v>0</v>
      </c>
      <c r="V91">
        <v>5816</v>
      </c>
    </row>
    <row r="92" spans="1:22" x14ac:dyDescent="0.3">
      <c r="A92">
        <v>15741</v>
      </c>
      <c r="B92">
        <v>454358583</v>
      </c>
      <c r="C92">
        <v>54221</v>
      </c>
      <c r="D92" s="9">
        <v>269142198</v>
      </c>
      <c r="E92" t="s">
        <v>174</v>
      </c>
      <c r="G92" t="s">
        <v>58</v>
      </c>
      <c r="H92" t="s">
        <v>59</v>
      </c>
      <c r="I92" t="s">
        <v>36</v>
      </c>
      <c r="J92" t="s">
        <v>60</v>
      </c>
      <c r="K92" t="s">
        <v>29</v>
      </c>
      <c r="L92" t="s">
        <v>443</v>
      </c>
      <c r="M92" t="s">
        <v>444</v>
      </c>
      <c r="N92" t="s">
        <v>176</v>
      </c>
      <c r="O92" t="s">
        <v>75</v>
      </c>
      <c r="P92" t="s">
        <v>445</v>
      </c>
      <c r="Q92" t="s">
        <v>154</v>
      </c>
      <c r="R92" s="29">
        <v>46140.549305555556</v>
      </c>
      <c r="S92">
        <v>1.98</v>
      </c>
      <c r="T92">
        <v>5504</v>
      </c>
      <c r="U92">
        <v>0</v>
      </c>
      <c r="V92">
        <v>5504</v>
      </c>
    </row>
    <row r="93" spans="1:22" x14ac:dyDescent="0.3">
      <c r="A93">
        <v>15741</v>
      </c>
      <c r="B93">
        <v>454351660</v>
      </c>
      <c r="C93">
        <v>20440</v>
      </c>
      <c r="D93" s="9">
        <v>269129335</v>
      </c>
      <c r="E93" t="s">
        <v>174</v>
      </c>
      <c r="G93" t="s">
        <v>58</v>
      </c>
      <c r="H93" t="s">
        <v>59</v>
      </c>
      <c r="I93" t="s">
        <v>36</v>
      </c>
      <c r="J93" t="s">
        <v>60</v>
      </c>
      <c r="K93" t="s">
        <v>29</v>
      </c>
      <c r="L93" t="s">
        <v>446</v>
      </c>
      <c r="M93" t="s">
        <v>447</v>
      </c>
      <c r="N93" t="s">
        <v>176</v>
      </c>
      <c r="O93" t="s">
        <v>75</v>
      </c>
      <c r="P93" t="s">
        <v>448</v>
      </c>
      <c r="Q93" t="s">
        <v>69</v>
      </c>
      <c r="R93" s="29">
        <v>46140.463194444441</v>
      </c>
      <c r="S93">
        <v>78.75</v>
      </c>
      <c r="T93">
        <v>25852</v>
      </c>
      <c r="U93">
        <v>0</v>
      </c>
      <c r="V93">
        <v>25852</v>
      </c>
    </row>
    <row r="94" spans="1:22" x14ac:dyDescent="0.3">
      <c r="A94">
        <v>15741</v>
      </c>
      <c r="B94">
        <v>454359036</v>
      </c>
      <c r="C94">
        <v>54228</v>
      </c>
      <c r="D94" s="9">
        <v>269142261</v>
      </c>
      <c r="E94" t="s">
        <v>174</v>
      </c>
      <c r="G94" t="s">
        <v>58</v>
      </c>
      <c r="H94" t="s">
        <v>59</v>
      </c>
      <c r="I94" t="s">
        <v>36</v>
      </c>
      <c r="J94" t="s">
        <v>60</v>
      </c>
      <c r="K94" t="s">
        <v>29</v>
      </c>
      <c r="L94" t="s">
        <v>449</v>
      </c>
      <c r="M94" t="s">
        <v>450</v>
      </c>
      <c r="N94" t="s">
        <v>176</v>
      </c>
      <c r="O94" t="s">
        <v>75</v>
      </c>
      <c r="P94" t="s">
        <v>451</v>
      </c>
      <c r="Q94" t="s">
        <v>69</v>
      </c>
      <c r="R94" s="29">
        <v>46140.556944444441</v>
      </c>
      <c r="S94">
        <v>2.1</v>
      </c>
      <c r="T94">
        <v>5816</v>
      </c>
      <c r="U94">
        <v>0</v>
      </c>
      <c r="V94">
        <v>5816</v>
      </c>
    </row>
    <row r="95" spans="1:22" x14ac:dyDescent="0.3">
      <c r="A95">
        <v>15741</v>
      </c>
      <c r="B95">
        <v>454358925</v>
      </c>
      <c r="C95">
        <v>54225</v>
      </c>
      <c r="D95" s="9">
        <v>269142229</v>
      </c>
      <c r="E95" t="s">
        <v>174</v>
      </c>
      <c r="G95" t="s">
        <v>58</v>
      </c>
      <c r="H95" t="s">
        <v>59</v>
      </c>
      <c r="I95" t="s">
        <v>36</v>
      </c>
      <c r="J95" t="s">
        <v>60</v>
      </c>
      <c r="K95" t="s">
        <v>29</v>
      </c>
      <c r="L95" t="s">
        <v>452</v>
      </c>
      <c r="M95" t="s">
        <v>453</v>
      </c>
      <c r="N95" t="s">
        <v>176</v>
      </c>
      <c r="O95" t="s">
        <v>75</v>
      </c>
      <c r="P95" t="s">
        <v>454</v>
      </c>
      <c r="Q95" t="s">
        <v>69</v>
      </c>
      <c r="R95" s="29">
        <v>46140.554861111108</v>
      </c>
      <c r="S95">
        <v>2.04</v>
      </c>
      <c r="T95">
        <v>5816</v>
      </c>
      <c r="U95">
        <v>0</v>
      </c>
      <c r="V95">
        <v>5816</v>
      </c>
    </row>
    <row r="96" spans="1:22" x14ac:dyDescent="0.3">
      <c r="A96">
        <v>15741</v>
      </c>
      <c r="B96">
        <v>454360423</v>
      </c>
      <c r="C96">
        <v>54235</v>
      </c>
      <c r="D96" s="9">
        <v>269145869</v>
      </c>
      <c r="E96" t="s">
        <v>174</v>
      </c>
      <c r="G96" t="s">
        <v>58</v>
      </c>
      <c r="H96" t="s">
        <v>59</v>
      </c>
      <c r="I96" t="s">
        <v>36</v>
      </c>
      <c r="J96" t="s">
        <v>60</v>
      </c>
      <c r="K96" t="s">
        <v>29</v>
      </c>
      <c r="L96" t="s">
        <v>455</v>
      </c>
      <c r="M96" t="s">
        <v>456</v>
      </c>
      <c r="N96" t="s">
        <v>176</v>
      </c>
      <c r="O96" t="s">
        <v>75</v>
      </c>
      <c r="P96" t="s">
        <v>457</v>
      </c>
      <c r="Q96" t="s">
        <v>69</v>
      </c>
      <c r="R96" s="29">
        <v>46140.582638888889</v>
      </c>
      <c r="S96">
        <v>23.2</v>
      </c>
      <c r="T96">
        <v>11701</v>
      </c>
      <c r="U96">
        <v>0</v>
      </c>
      <c r="V96">
        <v>11701</v>
      </c>
    </row>
    <row r="97" spans="1:22" x14ac:dyDescent="0.3">
      <c r="A97">
        <v>15741</v>
      </c>
      <c r="B97">
        <v>454345215</v>
      </c>
      <c r="C97">
        <v>20433</v>
      </c>
      <c r="D97" s="9">
        <v>269121421</v>
      </c>
      <c r="E97" t="s">
        <v>174</v>
      </c>
      <c r="G97" t="s">
        <v>58</v>
      </c>
      <c r="H97" t="s">
        <v>59</v>
      </c>
      <c r="I97" t="s">
        <v>36</v>
      </c>
      <c r="J97" t="s">
        <v>60</v>
      </c>
      <c r="K97" t="s">
        <v>29</v>
      </c>
      <c r="L97" t="s">
        <v>458</v>
      </c>
      <c r="M97" t="s">
        <v>459</v>
      </c>
      <c r="N97" t="s">
        <v>176</v>
      </c>
      <c r="O97" t="s">
        <v>75</v>
      </c>
      <c r="P97" t="s">
        <v>460</v>
      </c>
      <c r="Q97" t="s">
        <v>82</v>
      </c>
      <c r="R97" s="29">
        <v>46140.402777777781</v>
      </c>
      <c r="S97">
        <v>9.4499999999999993</v>
      </c>
      <c r="T97">
        <v>9805</v>
      </c>
      <c r="U97">
        <v>0</v>
      </c>
      <c r="V97">
        <v>9805</v>
      </c>
    </row>
    <row r="98" spans="1:22" x14ac:dyDescent="0.3">
      <c r="A98">
        <v>15741</v>
      </c>
      <c r="B98">
        <v>454360403</v>
      </c>
      <c r="C98">
        <v>54234</v>
      </c>
      <c r="D98" s="9">
        <v>269145866</v>
      </c>
      <c r="E98" t="s">
        <v>174</v>
      </c>
      <c r="G98" t="s">
        <v>58</v>
      </c>
      <c r="H98" t="s">
        <v>59</v>
      </c>
      <c r="I98" t="s">
        <v>36</v>
      </c>
      <c r="J98" t="s">
        <v>60</v>
      </c>
      <c r="K98" t="s">
        <v>29</v>
      </c>
      <c r="L98" t="s">
        <v>461</v>
      </c>
      <c r="M98" t="s">
        <v>462</v>
      </c>
      <c r="N98" t="s">
        <v>176</v>
      </c>
      <c r="O98" t="s">
        <v>75</v>
      </c>
      <c r="P98" t="s">
        <v>463</v>
      </c>
      <c r="Q98" t="s">
        <v>33</v>
      </c>
      <c r="R98" s="29">
        <v>46140.581944444442</v>
      </c>
      <c r="S98">
        <v>23.2</v>
      </c>
      <c r="T98">
        <v>11701</v>
      </c>
      <c r="U98">
        <v>0</v>
      </c>
      <c r="V98">
        <v>11701</v>
      </c>
    </row>
    <row r="99" spans="1:22" x14ac:dyDescent="0.3">
      <c r="A99">
        <v>15741</v>
      </c>
      <c r="B99">
        <v>454360231</v>
      </c>
      <c r="C99">
        <v>54230</v>
      </c>
      <c r="D99" s="9">
        <v>269145849</v>
      </c>
      <c r="E99" t="s">
        <v>174</v>
      </c>
      <c r="G99" t="s">
        <v>58</v>
      </c>
      <c r="H99" t="s">
        <v>59</v>
      </c>
      <c r="I99" t="s">
        <v>36</v>
      </c>
      <c r="J99" t="s">
        <v>60</v>
      </c>
      <c r="K99" t="s">
        <v>29</v>
      </c>
      <c r="L99" t="s">
        <v>464</v>
      </c>
      <c r="M99" t="s">
        <v>465</v>
      </c>
      <c r="N99" t="s">
        <v>176</v>
      </c>
      <c r="O99" t="s">
        <v>75</v>
      </c>
      <c r="P99" t="s">
        <v>466</v>
      </c>
      <c r="Q99" t="s">
        <v>157</v>
      </c>
      <c r="R99" s="29">
        <v>46140.57916666667</v>
      </c>
      <c r="S99">
        <v>10.44</v>
      </c>
      <c r="T99">
        <v>8357</v>
      </c>
      <c r="U99">
        <v>0</v>
      </c>
      <c r="V99">
        <v>8357</v>
      </c>
    </row>
    <row r="100" spans="1:22" x14ac:dyDescent="0.3">
      <c r="A100">
        <v>15741</v>
      </c>
      <c r="B100">
        <v>454358647</v>
      </c>
      <c r="C100">
        <v>54223</v>
      </c>
      <c r="D100" s="9">
        <v>269142217</v>
      </c>
      <c r="E100" t="s">
        <v>174</v>
      </c>
      <c r="G100" t="s">
        <v>58</v>
      </c>
      <c r="H100" t="s">
        <v>59</v>
      </c>
      <c r="I100" t="s">
        <v>36</v>
      </c>
      <c r="J100" t="s">
        <v>60</v>
      </c>
      <c r="K100" t="s">
        <v>29</v>
      </c>
      <c r="L100" t="s">
        <v>467</v>
      </c>
      <c r="M100" t="s">
        <v>468</v>
      </c>
      <c r="N100" t="s">
        <v>176</v>
      </c>
      <c r="O100" t="s">
        <v>75</v>
      </c>
      <c r="P100" t="s">
        <v>469</v>
      </c>
      <c r="Q100" t="s">
        <v>47</v>
      </c>
      <c r="R100" s="29">
        <v>46140.550694444442</v>
      </c>
      <c r="S100">
        <v>2.0299999999999998</v>
      </c>
      <c r="T100">
        <v>5816</v>
      </c>
      <c r="U100">
        <v>0</v>
      </c>
      <c r="V100">
        <v>5816</v>
      </c>
    </row>
    <row r="101" spans="1:22" x14ac:dyDescent="0.3">
      <c r="A101">
        <v>15741</v>
      </c>
      <c r="B101">
        <v>454358606</v>
      </c>
      <c r="C101">
        <v>54222</v>
      </c>
      <c r="D101" s="9">
        <v>269142214</v>
      </c>
      <c r="E101" t="s">
        <v>174</v>
      </c>
      <c r="G101" t="s">
        <v>58</v>
      </c>
      <c r="H101" t="s">
        <v>59</v>
      </c>
      <c r="I101" t="s">
        <v>36</v>
      </c>
      <c r="J101" t="s">
        <v>60</v>
      </c>
      <c r="K101" t="s">
        <v>29</v>
      </c>
      <c r="L101" t="s">
        <v>470</v>
      </c>
      <c r="M101" t="s">
        <v>471</v>
      </c>
      <c r="N101" t="s">
        <v>176</v>
      </c>
      <c r="O101" t="s">
        <v>75</v>
      </c>
      <c r="P101" t="s">
        <v>472</v>
      </c>
      <c r="Q101" t="s">
        <v>69</v>
      </c>
      <c r="R101" s="29">
        <v>46140.55</v>
      </c>
      <c r="S101">
        <v>2.04</v>
      </c>
      <c r="T101">
        <v>5816</v>
      </c>
      <c r="U101">
        <v>0</v>
      </c>
      <c r="V101">
        <v>5816</v>
      </c>
    </row>
    <row r="102" spans="1:22" x14ac:dyDescent="0.3">
      <c r="A102">
        <v>15741</v>
      </c>
      <c r="B102">
        <v>454360294</v>
      </c>
      <c r="C102">
        <v>54231</v>
      </c>
      <c r="D102" s="9">
        <v>269145876</v>
      </c>
      <c r="E102" t="s">
        <v>174</v>
      </c>
      <c r="G102" t="s">
        <v>58</v>
      </c>
      <c r="H102" t="s">
        <v>59</v>
      </c>
      <c r="I102" t="s">
        <v>36</v>
      </c>
      <c r="J102" t="s">
        <v>60</v>
      </c>
      <c r="K102" t="s">
        <v>29</v>
      </c>
      <c r="L102" t="s">
        <v>473</v>
      </c>
      <c r="M102" t="s">
        <v>474</v>
      </c>
      <c r="N102" t="s">
        <v>176</v>
      </c>
      <c r="O102" t="s">
        <v>75</v>
      </c>
      <c r="P102" t="s">
        <v>475</v>
      </c>
      <c r="Q102" t="s">
        <v>74</v>
      </c>
      <c r="R102" s="29">
        <v>46140.579861111109</v>
      </c>
      <c r="S102">
        <v>10.44</v>
      </c>
      <c r="T102">
        <v>8357</v>
      </c>
      <c r="U102">
        <v>0</v>
      </c>
      <c r="V102">
        <v>8357</v>
      </c>
    </row>
    <row r="103" spans="1:22" x14ac:dyDescent="0.3">
      <c r="A103">
        <v>15741</v>
      </c>
      <c r="B103">
        <v>454360523</v>
      </c>
      <c r="C103">
        <v>54238</v>
      </c>
      <c r="D103" s="9">
        <v>269145900</v>
      </c>
      <c r="E103" t="s">
        <v>174</v>
      </c>
      <c r="G103" t="s">
        <v>58</v>
      </c>
      <c r="H103" t="s">
        <v>59</v>
      </c>
      <c r="I103" t="s">
        <v>36</v>
      </c>
      <c r="J103" t="s">
        <v>60</v>
      </c>
      <c r="K103" t="s">
        <v>29</v>
      </c>
      <c r="L103" t="s">
        <v>476</v>
      </c>
      <c r="M103" t="s">
        <v>477</v>
      </c>
      <c r="N103" t="s">
        <v>176</v>
      </c>
      <c r="O103" t="s">
        <v>75</v>
      </c>
      <c r="P103" t="s">
        <v>478</v>
      </c>
      <c r="Q103" t="s">
        <v>110</v>
      </c>
      <c r="R103" s="29">
        <v>46140.584027777775</v>
      </c>
      <c r="S103">
        <v>23.2</v>
      </c>
      <c r="T103">
        <v>15477</v>
      </c>
      <c r="U103">
        <v>0</v>
      </c>
      <c r="V103">
        <v>15477</v>
      </c>
    </row>
    <row r="104" spans="1:22" x14ac:dyDescent="0.3">
      <c r="A104">
        <v>15741</v>
      </c>
      <c r="B104">
        <v>454326196</v>
      </c>
      <c r="C104">
        <v>18093</v>
      </c>
      <c r="D104" s="9">
        <v>269125924</v>
      </c>
      <c r="E104" t="s">
        <v>174</v>
      </c>
      <c r="G104" t="s">
        <v>58</v>
      </c>
      <c r="H104" t="s">
        <v>59</v>
      </c>
      <c r="I104" t="s">
        <v>36</v>
      </c>
      <c r="J104" t="s">
        <v>60</v>
      </c>
      <c r="K104" t="s">
        <v>29</v>
      </c>
      <c r="L104" t="s">
        <v>479</v>
      </c>
      <c r="M104" t="s">
        <v>480</v>
      </c>
      <c r="N104" t="s">
        <v>176</v>
      </c>
      <c r="O104" t="s">
        <v>75</v>
      </c>
      <c r="P104" t="s">
        <v>481</v>
      </c>
      <c r="Q104" t="s">
        <v>85</v>
      </c>
      <c r="R104" s="29">
        <v>46139.681944444441</v>
      </c>
      <c r="S104">
        <v>38.19</v>
      </c>
      <c r="T104">
        <v>17159</v>
      </c>
      <c r="U104">
        <v>0</v>
      </c>
      <c r="V104">
        <v>17159</v>
      </c>
    </row>
    <row r="105" spans="1:22" x14ac:dyDescent="0.3">
      <c r="A105">
        <v>15741</v>
      </c>
      <c r="B105">
        <v>454358677</v>
      </c>
      <c r="C105">
        <v>54224</v>
      </c>
      <c r="D105" s="9">
        <v>269142221</v>
      </c>
      <c r="E105" t="s">
        <v>174</v>
      </c>
      <c r="G105" t="s">
        <v>58</v>
      </c>
      <c r="H105" t="s">
        <v>59</v>
      </c>
      <c r="I105" t="s">
        <v>36</v>
      </c>
      <c r="J105" t="s">
        <v>60</v>
      </c>
      <c r="K105" t="s">
        <v>29</v>
      </c>
      <c r="L105" t="s">
        <v>482</v>
      </c>
      <c r="M105" t="s">
        <v>483</v>
      </c>
      <c r="N105" t="s">
        <v>176</v>
      </c>
      <c r="O105" t="s">
        <v>75</v>
      </c>
      <c r="P105" t="s">
        <v>484</v>
      </c>
      <c r="Q105" t="s">
        <v>70</v>
      </c>
      <c r="R105" s="29">
        <v>46140.550694444442</v>
      </c>
      <c r="S105">
        <v>19.13</v>
      </c>
      <c r="T105">
        <v>11210</v>
      </c>
      <c r="U105">
        <v>0</v>
      </c>
      <c r="V105">
        <v>11210</v>
      </c>
    </row>
    <row r="106" spans="1:22" x14ac:dyDescent="0.3">
      <c r="A106">
        <v>15741</v>
      </c>
      <c r="B106">
        <v>454358527</v>
      </c>
      <c r="C106">
        <v>54219</v>
      </c>
      <c r="D106" s="9">
        <v>269142189</v>
      </c>
      <c r="E106" t="s">
        <v>174</v>
      </c>
      <c r="G106" t="s">
        <v>58</v>
      </c>
      <c r="H106" t="s">
        <v>59</v>
      </c>
      <c r="I106" t="s">
        <v>36</v>
      </c>
      <c r="J106" t="s">
        <v>60</v>
      </c>
      <c r="K106" t="s">
        <v>29</v>
      </c>
      <c r="L106" t="s">
        <v>485</v>
      </c>
      <c r="M106" t="s">
        <v>486</v>
      </c>
      <c r="N106" t="s">
        <v>176</v>
      </c>
      <c r="O106" t="s">
        <v>75</v>
      </c>
      <c r="P106" t="s">
        <v>487</v>
      </c>
      <c r="Q106" t="s">
        <v>69</v>
      </c>
      <c r="R106" s="29">
        <v>46140.548611111109</v>
      </c>
      <c r="S106">
        <v>2.09</v>
      </c>
      <c r="T106">
        <v>5816</v>
      </c>
      <c r="U106">
        <v>0</v>
      </c>
      <c r="V106">
        <v>5816</v>
      </c>
    </row>
    <row r="107" spans="1:22" x14ac:dyDescent="0.3">
      <c r="A107">
        <v>15741</v>
      </c>
      <c r="B107">
        <v>454358952</v>
      </c>
      <c r="C107">
        <v>54226</v>
      </c>
      <c r="D107" s="9">
        <v>269142274</v>
      </c>
      <c r="E107" t="s">
        <v>174</v>
      </c>
      <c r="G107" t="s">
        <v>58</v>
      </c>
      <c r="H107" t="s">
        <v>59</v>
      </c>
      <c r="I107" t="s">
        <v>36</v>
      </c>
      <c r="J107" t="s">
        <v>60</v>
      </c>
      <c r="K107" t="s">
        <v>29</v>
      </c>
      <c r="L107" t="s">
        <v>488</v>
      </c>
      <c r="M107" t="s">
        <v>489</v>
      </c>
      <c r="N107" t="s">
        <v>176</v>
      </c>
      <c r="O107" t="s">
        <v>75</v>
      </c>
      <c r="P107" t="s">
        <v>490</v>
      </c>
      <c r="Q107" t="s">
        <v>31</v>
      </c>
      <c r="R107" s="29">
        <v>46140.555555555555</v>
      </c>
      <c r="S107">
        <v>2.08</v>
      </c>
      <c r="T107">
        <v>5816</v>
      </c>
      <c r="U107">
        <v>0</v>
      </c>
      <c r="V107">
        <v>5816</v>
      </c>
    </row>
    <row r="108" spans="1:22" x14ac:dyDescent="0.3">
      <c r="A108">
        <v>15741</v>
      </c>
      <c r="B108">
        <v>454345304</v>
      </c>
      <c r="C108">
        <v>38862</v>
      </c>
      <c r="D108" s="9">
        <v>269121425</v>
      </c>
      <c r="E108" t="s">
        <v>174</v>
      </c>
      <c r="G108" t="s">
        <v>58</v>
      </c>
      <c r="H108" t="s">
        <v>59</v>
      </c>
      <c r="I108" t="s">
        <v>36</v>
      </c>
      <c r="J108" t="s">
        <v>60</v>
      </c>
      <c r="K108" t="s">
        <v>29</v>
      </c>
      <c r="L108" t="s">
        <v>491</v>
      </c>
      <c r="M108" t="s">
        <v>492</v>
      </c>
      <c r="N108" t="s">
        <v>176</v>
      </c>
      <c r="O108" t="s">
        <v>75</v>
      </c>
      <c r="P108" t="s">
        <v>493</v>
      </c>
      <c r="Q108" t="s">
        <v>31</v>
      </c>
      <c r="R108" s="29">
        <v>46140.404166666667</v>
      </c>
      <c r="S108">
        <v>20.239999999999998</v>
      </c>
      <c r="T108">
        <v>10802</v>
      </c>
      <c r="U108">
        <v>0</v>
      </c>
      <c r="V108">
        <v>10802</v>
      </c>
    </row>
    <row r="109" spans="1:22" x14ac:dyDescent="0.3">
      <c r="A109">
        <v>15741</v>
      </c>
      <c r="B109">
        <v>454360347</v>
      </c>
      <c r="C109">
        <v>54232</v>
      </c>
      <c r="D109" s="9">
        <v>269145879</v>
      </c>
      <c r="E109" t="s">
        <v>174</v>
      </c>
      <c r="G109" t="s">
        <v>58</v>
      </c>
      <c r="H109" t="s">
        <v>59</v>
      </c>
      <c r="I109" t="s">
        <v>36</v>
      </c>
      <c r="J109" t="s">
        <v>60</v>
      </c>
      <c r="K109" t="s">
        <v>29</v>
      </c>
      <c r="L109" t="s">
        <v>494</v>
      </c>
      <c r="M109" t="s">
        <v>495</v>
      </c>
      <c r="N109" t="s">
        <v>176</v>
      </c>
      <c r="O109" t="s">
        <v>75</v>
      </c>
      <c r="P109" t="s">
        <v>496</v>
      </c>
      <c r="Q109" t="s">
        <v>33</v>
      </c>
      <c r="R109" s="29">
        <v>46140.581250000003</v>
      </c>
      <c r="S109">
        <v>24</v>
      </c>
      <c r="T109">
        <v>11701</v>
      </c>
      <c r="U109">
        <v>0</v>
      </c>
      <c r="V109">
        <v>11701</v>
      </c>
    </row>
    <row r="110" spans="1:22" x14ac:dyDescent="0.3">
      <c r="A110">
        <v>15741</v>
      </c>
      <c r="B110">
        <v>454360365</v>
      </c>
      <c r="C110">
        <v>54233</v>
      </c>
      <c r="D110" s="9">
        <v>269145862</v>
      </c>
      <c r="E110" t="s">
        <v>174</v>
      </c>
      <c r="G110" t="s">
        <v>58</v>
      </c>
      <c r="H110" t="s">
        <v>59</v>
      </c>
      <c r="I110" t="s">
        <v>36</v>
      </c>
      <c r="J110" t="s">
        <v>60</v>
      </c>
      <c r="K110" t="s">
        <v>29</v>
      </c>
      <c r="L110" t="s">
        <v>497</v>
      </c>
      <c r="M110" t="s">
        <v>498</v>
      </c>
      <c r="N110" t="s">
        <v>176</v>
      </c>
      <c r="O110" t="s">
        <v>75</v>
      </c>
      <c r="P110" t="s">
        <v>496</v>
      </c>
      <c r="Q110" t="s">
        <v>33</v>
      </c>
      <c r="R110" s="29">
        <v>46140.581250000003</v>
      </c>
      <c r="S110">
        <v>24</v>
      </c>
      <c r="T110">
        <v>11701</v>
      </c>
      <c r="U110">
        <v>0</v>
      </c>
      <c r="V110">
        <v>11701</v>
      </c>
    </row>
    <row r="111" spans="1:22" x14ac:dyDescent="0.3">
      <c r="A111">
        <v>15741</v>
      </c>
      <c r="B111">
        <v>454360444</v>
      </c>
      <c r="C111">
        <v>54236</v>
      </c>
      <c r="D111" s="9">
        <v>269145895</v>
      </c>
      <c r="E111" t="s">
        <v>174</v>
      </c>
      <c r="G111" t="s">
        <v>58</v>
      </c>
      <c r="H111" t="s">
        <v>59</v>
      </c>
      <c r="I111" t="s">
        <v>36</v>
      </c>
      <c r="J111" t="s">
        <v>60</v>
      </c>
      <c r="K111" t="s">
        <v>29</v>
      </c>
      <c r="L111" t="s">
        <v>499</v>
      </c>
      <c r="M111" t="s">
        <v>500</v>
      </c>
      <c r="N111" t="s">
        <v>176</v>
      </c>
      <c r="O111" t="s">
        <v>75</v>
      </c>
      <c r="P111" t="s">
        <v>501</v>
      </c>
      <c r="Q111" t="s">
        <v>48</v>
      </c>
      <c r="R111" s="29">
        <v>46140.583333333336</v>
      </c>
      <c r="S111">
        <v>23.2</v>
      </c>
      <c r="T111">
        <v>11701</v>
      </c>
      <c r="U111">
        <v>0</v>
      </c>
      <c r="V111">
        <v>11701</v>
      </c>
    </row>
    <row r="112" spans="1:22" x14ac:dyDescent="0.3">
      <c r="A112">
        <v>15741</v>
      </c>
      <c r="B112">
        <v>141802753</v>
      </c>
      <c r="C112" t="s">
        <v>502</v>
      </c>
      <c r="D112" s="9">
        <v>268807727</v>
      </c>
      <c r="E112" t="s">
        <v>174</v>
      </c>
      <c r="G112" t="s">
        <v>58</v>
      </c>
      <c r="H112" t="s">
        <v>59</v>
      </c>
      <c r="I112" t="s">
        <v>36</v>
      </c>
      <c r="J112" t="s">
        <v>60</v>
      </c>
      <c r="K112" t="s">
        <v>29</v>
      </c>
      <c r="L112" t="s">
        <v>503</v>
      </c>
      <c r="M112" t="s">
        <v>504</v>
      </c>
      <c r="N112" t="s">
        <v>176</v>
      </c>
      <c r="O112" t="s">
        <v>75</v>
      </c>
      <c r="P112" t="s">
        <v>505</v>
      </c>
      <c r="Q112" t="s">
        <v>99</v>
      </c>
      <c r="R112" s="29">
        <v>46134.720833333333</v>
      </c>
      <c r="S112">
        <v>223.45</v>
      </c>
      <c r="T112">
        <v>68602</v>
      </c>
      <c r="U112">
        <v>12346.09</v>
      </c>
      <c r="V112">
        <v>80948.09</v>
      </c>
    </row>
    <row r="113" spans="1:22" x14ac:dyDescent="0.3">
      <c r="A113">
        <v>15741</v>
      </c>
      <c r="B113">
        <v>141802643</v>
      </c>
      <c r="C113">
        <v>38534</v>
      </c>
      <c r="D113" s="9">
        <v>268807717</v>
      </c>
      <c r="E113" t="s">
        <v>174</v>
      </c>
      <c r="G113" t="s">
        <v>58</v>
      </c>
      <c r="H113" t="s">
        <v>59</v>
      </c>
      <c r="I113" t="s">
        <v>36</v>
      </c>
      <c r="J113" t="s">
        <v>60</v>
      </c>
      <c r="K113" t="s">
        <v>29</v>
      </c>
      <c r="L113" t="s">
        <v>506</v>
      </c>
      <c r="M113" t="s">
        <v>507</v>
      </c>
      <c r="N113" t="s">
        <v>176</v>
      </c>
      <c r="O113" t="s">
        <v>75</v>
      </c>
      <c r="P113" t="s">
        <v>508</v>
      </c>
      <c r="Q113" t="s">
        <v>115</v>
      </c>
      <c r="R113" s="29">
        <v>46134.718055555553</v>
      </c>
      <c r="S113">
        <v>237.15</v>
      </c>
      <c r="T113">
        <v>99258</v>
      </c>
      <c r="U113">
        <v>13229.88</v>
      </c>
      <c r="V113">
        <v>112487.88</v>
      </c>
    </row>
    <row r="114" spans="1:22" x14ac:dyDescent="0.3">
      <c r="A114">
        <v>15741</v>
      </c>
      <c r="B114">
        <v>454301817</v>
      </c>
      <c r="C114">
        <v>38837</v>
      </c>
      <c r="D114" s="9">
        <v>269041775</v>
      </c>
      <c r="E114" t="s">
        <v>174</v>
      </c>
      <c r="G114" t="s">
        <v>58</v>
      </c>
      <c r="H114" t="s">
        <v>59</v>
      </c>
      <c r="I114" t="s">
        <v>36</v>
      </c>
      <c r="J114" t="s">
        <v>60</v>
      </c>
      <c r="K114" t="s">
        <v>29</v>
      </c>
      <c r="L114" t="s">
        <v>509</v>
      </c>
      <c r="M114" t="s">
        <v>510</v>
      </c>
      <c r="N114" t="s">
        <v>176</v>
      </c>
      <c r="O114" t="s">
        <v>75</v>
      </c>
      <c r="P114" t="s">
        <v>511</v>
      </c>
      <c r="Q114" t="s">
        <v>67</v>
      </c>
      <c r="R114" s="29">
        <v>46139.4</v>
      </c>
      <c r="S114">
        <v>45.5</v>
      </c>
      <c r="T114">
        <v>27452</v>
      </c>
      <c r="U114">
        <v>0</v>
      </c>
      <c r="V114">
        <v>27452</v>
      </c>
    </row>
    <row r="115" spans="1:22" x14ac:dyDescent="0.3">
      <c r="A115">
        <v>15741</v>
      </c>
      <c r="B115">
        <v>454301415</v>
      </c>
      <c r="C115">
        <v>38828</v>
      </c>
      <c r="D115" s="9">
        <v>269041143</v>
      </c>
      <c r="E115" t="s">
        <v>174</v>
      </c>
      <c r="G115" t="s">
        <v>58</v>
      </c>
      <c r="H115" t="s">
        <v>59</v>
      </c>
      <c r="I115" t="s">
        <v>36</v>
      </c>
      <c r="J115" t="s">
        <v>60</v>
      </c>
      <c r="K115" t="s">
        <v>29</v>
      </c>
      <c r="L115" t="s">
        <v>512</v>
      </c>
      <c r="M115" t="s">
        <v>513</v>
      </c>
      <c r="N115" t="s">
        <v>176</v>
      </c>
      <c r="O115" t="s">
        <v>75</v>
      </c>
      <c r="P115" t="s">
        <v>514</v>
      </c>
      <c r="Q115" t="s">
        <v>155</v>
      </c>
      <c r="R115" s="29">
        <v>46139.395138888889</v>
      </c>
      <c r="S115">
        <v>174.14</v>
      </c>
      <c r="T115">
        <v>89671</v>
      </c>
      <c r="U115">
        <v>30329.88</v>
      </c>
      <c r="V115">
        <v>120000.88</v>
      </c>
    </row>
    <row r="116" spans="1:22" x14ac:dyDescent="0.3">
      <c r="A116">
        <v>15741</v>
      </c>
      <c r="B116">
        <v>141758981</v>
      </c>
      <c r="C116" t="s">
        <v>515</v>
      </c>
      <c r="D116" s="9">
        <v>268717107</v>
      </c>
      <c r="E116" t="s">
        <v>174</v>
      </c>
      <c r="G116" t="s">
        <v>58</v>
      </c>
      <c r="H116" t="s">
        <v>59</v>
      </c>
      <c r="I116" t="s">
        <v>36</v>
      </c>
      <c r="J116" t="s">
        <v>60</v>
      </c>
      <c r="K116" t="s">
        <v>29</v>
      </c>
      <c r="L116" t="s">
        <v>516</v>
      </c>
      <c r="M116" t="s">
        <v>517</v>
      </c>
      <c r="N116" t="s">
        <v>176</v>
      </c>
      <c r="O116" t="s">
        <v>75</v>
      </c>
      <c r="P116" t="s">
        <v>427</v>
      </c>
      <c r="Q116" t="s">
        <v>115</v>
      </c>
      <c r="R116" s="29">
        <v>46133.57916666667</v>
      </c>
      <c r="S116">
        <v>0.62</v>
      </c>
      <c r="T116">
        <v>7621</v>
      </c>
      <c r="U116">
        <v>0</v>
      </c>
      <c r="V116">
        <v>7621</v>
      </c>
    </row>
    <row r="117" spans="1:22" x14ac:dyDescent="0.3">
      <c r="A117">
        <v>15741</v>
      </c>
      <c r="B117">
        <v>454349572</v>
      </c>
      <c r="C117" t="s">
        <v>518</v>
      </c>
      <c r="D117" s="9" t="s">
        <v>519</v>
      </c>
      <c r="E117" t="s">
        <v>174</v>
      </c>
      <c r="G117" t="s">
        <v>53</v>
      </c>
      <c r="H117" t="s">
        <v>54</v>
      </c>
      <c r="I117" t="s">
        <v>36</v>
      </c>
      <c r="J117" t="s">
        <v>52</v>
      </c>
      <c r="K117" t="s">
        <v>29</v>
      </c>
      <c r="L117" t="s">
        <v>55</v>
      </c>
      <c r="M117" t="s">
        <v>520</v>
      </c>
      <c r="N117" t="s">
        <v>176</v>
      </c>
      <c r="O117" t="s">
        <v>75</v>
      </c>
      <c r="P117" t="s">
        <v>521</v>
      </c>
      <c r="Q117" t="s">
        <v>80</v>
      </c>
      <c r="R117" s="29" t="s">
        <v>522</v>
      </c>
      <c r="S117">
        <v>71.760000000000005</v>
      </c>
      <c r="T117">
        <v>54638</v>
      </c>
      <c r="U117">
        <v>1663.16</v>
      </c>
      <c r="V117">
        <v>56301.16</v>
      </c>
    </row>
    <row r="118" spans="1:22" x14ac:dyDescent="0.3">
      <c r="A118">
        <v>15741</v>
      </c>
      <c r="B118">
        <v>454324298</v>
      </c>
      <c r="C118" t="s">
        <v>523</v>
      </c>
      <c r="D118" s="9" t="s">
        <v>524</v>
      </c>
      <c r="E118" t="s">
        <v>174</v>
      </c>
      <c r="G118" t="s">
        <v>53</v>
      </c>
      <c r="H118" t="s">
        <v>54</v>
      </c>
      <c r="I118" t="s">
        <v>36</v>
      </c>
      <c r="J118" t="s">
        <v>52</v>
      </c>
      <c r="K118" t="s">
        <v>29</v>
      </c>
      <c r="L118" t="s">
        <v>55</v>
      </c>
      <c r="M118" t="s">
        <v>525</v>
      </c>
      <c r="N118" t="s">
        <v>176</v>
      </c>
      <c r="O118" t="s">
        <v>75</v>
      </c>
      <c r="P118" t="s">
        <v>526</v>
      </c>
      <c r="Q118" t="s">
        <v>98</v>
      </c>
      <c r="R118" s="29" t="s">
        <v>527</v>
      </c>
      <c r="S118">
        <v>35.03</v>
      </c>
      <c r="T118">
        <v>22001</v>
      </c>
      <c r="U118">
        <v>1439.94</v>
      </c>
      <c r="V118">
        <v>23440.94</v>
      </c>
    </row>
    <row r="119" spans="1:22" x14ac:dyDescent="0.3">
      <c r="A119">
        <v>15741</v>
      </c>
      <c r="B119">
        <v>141787876</v>
      </c>
      <c r="C119" t="s">
        <v>528</v>
      </c>
      <c r="D119" s="9" t="s">
        <v>529</v>
      </c>
      <c r="E119" t="s">
        <v>174</v>
      </c>
      <c r="G119" t="s">
        <v>53</v>
      </c>
      <c r="H119" t="s">
        <v>54</v>
      </c>
      <c r="I119" t="s">
        <v>36</v>
      </c>
      <c r="J119" t="s">
        <v>52</v>
      </c>
      <c r="K119" t="s">
        <v>29</v>
      </c>
      <c r="L119" t="s">
        <v>55</v>
      </c>
      <c r="M119" t="s">
        <v>530</v>
      </c>
      <c r="N119" t="s">
        <v>176</v>
      </c>
      <c r="O119" t="s">
        <v>75</v>
      </c>
      <c r="P119" t="s">
        <v>531</v>
      </c>
      <c r="Q119" t="s">
        <v>91</v>
      </c>
      <c r="R119" s="29" t="s">
        <v>532</v>
      </c>
      <c r="S119">
        <v>34.42</v>
      </c>
      <c r="T119">
        <v>28331</v>
      </c>
      <c r="U119">
        <v>0</v>
      </c>
      <c r="V119">
        <v>28331</v>
      </c>
    </row>
    <row r="120" spans="1:22" x14ac:dyDescent="0.3">
      <c r="A120">
        <v>15741</v>
      </c>
      <c r="B120">
        <v>454384747</v>
      </c>
      <c r="C120" t="s">
        <v>533</v>
      </c>
      <c r="D120" s="9" t="s">
        <v>534</v>
      </c>
      <c r="E120" t="s">
        <v>174</v>
      </c>
      <c r="G120" t="s">
        <v>53</v>
      </c>
      <c r="H120" t="s">
        <v>54</v>
      </c>
      <c r="I120" t="s">
        <v>36</v>
      </c>
      <c r="J120" t="s">
        <v>52</v>
      </c>
      <c r="K120" t="s">
        <v>29</v>
      </c>
      <c r="L120" t="s">
        <v>55</v>
      </c>
      <c r="M120" t="s">
        <v>535</v>
      </c>
      <c r="N120" t="s">
        <v>176</v>
      </c>
      <c r="O120" t="s">
        <v>75</v>
      </c>
      <c r="P120" t="s">
        <v>536</v>
      </c>
      <c r="Q120" t="s">
        <v>69</v>
      </c>
      <c r="R120" s="29" t="s">
        <v>537</v>
      </c>
      <c r="S120">
        <v>35.07</v>
      </c>
      <c r="T120">
        <v>15389</v>
      </c>
      <c r="U120">
        <v>1499.94</v>
      </c>
      <c r="V120">
        <v>16888.939999999999</v>
      </c>
    </row>
    <row r="121" spans="1:22" x14ac:dyDescent="0.3">
      <c r="A121">
        <v>15741</v>
      </c>
      <c r="B121">
        <v>454361724</v>
      </c>
      <c r="C121" t="s">
        <v>538</v>
      </c>
      <c r="D121" s="9" t="s">
        <v>539</v>
      </c>
      <c r="E121" t="s">
        <v>174</v>
      </c>
      <c r="G121" t="s">
        <v>53</v>
      </c>
      <c r="H121" t="s">
        <v>54</v>
      </c>
      <c r="I121" t="s">
        <v>36</v>
      </c>
      <c r="J121" t="s">
        <v>52</v>
      </c>
      <c r="K121" t="s">
        <v>29</v>
      </c>
      <c r="L121" t="s">
        <v>55</v>
      </c>
      <c r="M121" t="s">
        <v>540</v>
      </c>
      <c r="N121" t="s">
        <v>176</v>
      </c>
      <c r="O121" t="s">
        <v>75</v>
      </c>
      <c r="P121" t="s">
        <v>541</v>
      </c>
      <c r="Q121" t="s">
        <v>78</v>
      </c>
      <c r="R121" s="29" t="s">
        <v>542</v>
      </c>
      <c r="S121">
        <v>33.200000000000003</v>
      </c>
      <c r="T121">
        <v>27765</v>
      </c>
      <c r="U121">
        <v>0</v>
      </c>
      <c r="V121">
        <v>27765</v>
      </c>
    </row>
    <row r="122" spans="1:22" x14ac:dyDescent="0.3">
      <c r="A122">
        <v>15741</v>
      </c>
      <c r="B122">
        <v>454361193</v>
      </c>
      <c r="C122" t="s">
        <v>543</v>
      </c>
      <c r="D122" s="9" t="s">
        <v>544</v>
      </c>
      <c r="E122" t="s">
        <v>174</v>
      </c>
      <c r="G122" t="s">
        <v>53</v>
      </c>
      <c r="H122" t="s">
        <v>54</v>
      </c>
      <c r="I122" t="s">
        <v>36</v>
      </c>
      <c r="J122" t="s">
        <v>52</v>
      </c>
      <c r="K122" t="s">
        <v>29</v>
      </c>
      <c r="L122" t="s">
        <v>55</v>
      </c>
      <c r="M122" t="s">
        <v>545</v>
      </c>
      <c r="N122" t="s">
        <v>176</v>
      </c>
      <c r="O122" t="s">
        <v>75</v>
      </c>
      <c r="P122" t="s">
        <v>546</v>
      </c>
      <c r="Q122" t="s">
        <v>153</v>
      </c>
      <c r="R122" s="29" t="s">
        <v>547</v>
      </c>
      <c r="S122">
        <v>77.7</v>
      </c>
      <c r="T122">
        <v>33450</v>
      </c>
      <c r="U122">
        <v>8399.94</v>
      </c>
      <c r="V122">
        <v>41849.94</v>
      </c>
    </row>
    <row r="123" spans="1:22" x14ac:dyDescent="0.3">
      <c r="A123">
        <v>15741</v>
      </c>
      <c r="B123">
        <v>454367319</v>
      </c>
      <c r="C123" t="s">
        <v>548</v>
      </c>
      <c r="D123" s="9" t="s">
        <v>549</v>
      </c>
      <c r="E123" t="s">
        <v>174</v>
      </c>
      <c r="G123" t="s">
        <v>53</v>
      </c>
      <c r="H123" t="s">
        <v>54</v>
      </c>
      <c r="I123" t="s">
        <v>36</v>
      </c>
      <c r="J123" t="s">
        <v>52</v>
      </c>
      <c r="K123" t="s">
        <v>29</v>
      </c>
      <c r="L123" t="s">
        <v>55</v>
      </c>
      <c r="M123" t="s">
        <v>550</v>
      </c>
      <c r="N123" t="s">
        <v>176</v>
      </c>
      <c r="O123" t="s">
        <v>75</v>
      </c>
      <c r="P123" t="s">
        <v>551</v>
      </c>
      <c r="Q123" t="s">
        <v>49</v>
      </c>
      <c r="R123" s="29" t="s">
        <v>552</v>
      </c>
      <c r="S123">
        <v>34.79</v>
      </c>
      <c r="T123">
        <v>14916</v>
      </c>
      <c r="U123">
        <v>1019.94</v>
      </c>
      <c r="V123">
        <v>15935.94</v>
      </c>
    </row>
    <row r="124" spans="1:22" x14ac:dyDescent="0.3">
      <c r="A124">
        <v>15741</v>
      </c>
      <c r="B124">
        <v>454303066</v>
      </c>
      <c r="C124" t="s">
        <v>553</v>
      </c>
      <c r="D124" s="9" t="s">
        <v>554</v>
      </c>
      <c r="E124" t="s">
        <v>174</v>
      </c>
      <c r="G124" t="s">
        <v>53</v>
      </c>
      <c r="H124" t="s">
        <v>54</v>
      </c>
      <c r="I124" t="s">
        <v>36</v>
      </c>
      <c r="J124" t="s">
        <v>52</v>
      </c>
      <c r="K124" t="s">
        <v>29</v>
      </c>
      <c r="L124" t="s">
        <v>55</v>
      </c>
      <c r="M124" t="s">
        <v>555</v>
      </c>
      <c r="N124" t="s">
        <v>176</v>
      </c>
      <c r="O124" t="s">
        <v>75</v>
      </c>
      <c r="P124" t="s">
        <v>556</v>
      </c>
      <c r="Q124" t="s">
        <v>46</v>
      </c>
      <c r="R124" s="29" t="s">
        <v>557</v>
      </c>
      <c r="S124">
        <v>26.15</v>
      </c>
      <c r="T124">
        <v>11136</v>
      </c>
      <c r="U124">
        <v>1439.94</v>
      </c>
      <c r="V124">
        <v>12575.94</v>
      </c>
    </row>
    <row r="125" spans="1:22" x14ac:dyDescent="0.3">
      <c r="A125">
        <v>15741</v>
      </c>
      <c r="B125">
        <v>454306527</v>
      </c>
      <c r="C125" t="s">
        <v>558</v>
      </c>
      <c r="D125" s="9" t="s">
        <v>559</v>
      </c>
      <c r="E125" t="s">
        <v>174</v>
      </c>
      <c r="G125" t="s">
        <v>53</v>
      </c>
      <c r="H125" t="s">
        <v>54</v>
      </c>
      <c r="I125" t="s">
        <v>36</v>
      </c>
      <c r="J125" t="s">
        <v>52</v>
      </c>
      <c r="K125" t="s">
        <v>29</v>
      </c>
      <c r="L125" t="s">
        <v>55</v>
      </c>
      <c r="M125" t="s">
        <v>560</v>
      </c>
      <c r="N125" t="s">
        <v>176</v>
      </c>
      <c r="O125" t="s">
        <v>75</v>
      </c>
      <c r="P125" t="s">
        <v>561</v>
      </c>
      <c r="Q125" t="s">
        <v>47</v>
      </c>
      <c r="R125" s="29" t="s">
        <v>106</v>
      </c>
      <c r="S125">
        <v>23.68</v>
      </c>
      <c r="T125">
        <v>9721</v>
      </c>
      <c r="U125">
        <v>1439.94</v>
      </c>
      <c r="V125">
        <v>11160.94</v>
      </c>
    </row>
    <row r="126" spans="1:22" x14ac:dyDescent="0.3">
      <c r="A126">
        <v>15741</v>
      </c>
      <c r="B126">
        <v>454303487</v>
      </c>
      <c r="C126" t="s">
        <v>562</v>
      </c>
      <c r="D126" s="9" t="s">
        <v>563</v>
      </c>
      <c r="E126" t="s">
        <v>174</v>
      </c>
      <c r="G126" t="s">
        <v>53</v>
      </c>
      <c r="H126" t="s">
        <v>54</v>
      </c>
      <c r="I126" t="s">
        <v>36</v>
      </c>
      <c r="J126" t="s">
        <v>52</v>
      </c>
      <c r="K126" t="s">
        <v>29</v>
      </c>
      <c r="L126" t="s">
        <v>55</v>
      </c>
      <c r="M126" t="s">
        <v>564</v>
      </c>
      <c r="N126" t="s">
        <v>176</v>
      </c>
      <c r="O126" t="s">
        <v>75</v>
      </c>
      <c r="P126" t="s">
        <v>565</v>
      </c>
      <c r="Q126" t="s">
        <v>69</v>
      </c>
      <c r="R126" s="29" t="s">
        <v>566</v>
      </c>
      <c r="S126">
        <v>23.47</v>
      </c>
      <c r="T126">
        <v>9721</v>
      </c>
      <c r="U126">
        <v>1439.94</v>
      </c>
      <c r="V126">
        <v>11160.94</v>
      </c>
    </row>
    <row r="127" spans="1:22" x14ac:dyDescent="0.3">
      <c r="A127">
        <v>15741</v>
      </c>
      <c r="B127">
        <v>454302455</v>
      </c>
      <c r="C127" t="s">
        <v>567</v>
      </c>
      <c r="D127" s="9" t="s">
        <v>568</v>
      </c>
      <c r="E127" t="s">
        <v>174</v>
      </c>
      <c r="G127" t="s">
        <v>53</v>
      </c>
      <c r="H127" t="s">
        <v>54</v>
      </c>
      <c r="I127" t="s">
        <v>36</v>
      </c>
      <c r="J127" t="s">
        <v>52</v>
      </c>
      <c r="K127" t="s">
        <v>29</v>
      </c>
      <c r="L127" t="s">
        <v>55</v>
      </c>
      <c r="M127" t="s">
        <v>569</v>
      </c>
      <c r="N127" t="s">
        <v>176</v>
      </c>
      <c r="O127" t="s">
        <v>75</v>
      </c>
      <c r="P127" t="s">
        <v>570</v>
      </c>
      <c r="Q127" t="s">
        <v>67</v>
      </c>
      <c r="R127" s="29" t="s">
        <v>104</v>
      </c>
      <c r="S127">
        <v>7.19</v>
      </c>
      <c r="T127">
        <v>10513</v>
      </c>
      <c r="U127">
        <v>959.88</v>
      </c>
      <c r="V127">
        <v>11472.88</v>
      </c>
    </row>
    <row r="128" spans="1:22" x14ac:dyDescent="0.3">
      <c r="A128">
        <v>15741</v>
      </c>
      <c r="B128">
        <v>454303648</v>
      </c>
      <c r="C128" t="s">
        <v>571</v>
      </c>
      <c r="D128" s="9" t="s">
        <v>572</v>
      </c>
      <c r="E128" t="s">
        <v>174</v>
      </c>
      <c r="G128" t="s">
        <v>53</v>
      </c>
      <c r="H128" t="s">
        <v>54</v>
      </c>
      <c r="I128" t="s">
        <v>36</v>
      </c>
      <c r="J128" t="s">
        <v>52</v>
      </c>
      <c r="K128" t="s">
        <v>29</v>
      </c>
      <c r="L128" t="s">
        <v>55</v>
      </c>
      <c r="M128" t="s">
        <v>573</v>
      </c>
      <c r="N128" t="s">
        <v>176</v>
      </c>
      <c r="O128" t="s">
        <v>75</v>
      </c>
      <c r="P128" t="s">
        <v>574</v>
      </c>
      <c r="Q128" t="s">
        <v>69</v>
      </c>
      <c r="R128" s="29" t="s">
        <v>575</v>
      </c>
      <c r="S128">
        <v>23.6</v>
      </c>
      <c r="T128">
        <v>9721</v>
      </c>
      <c r="U128">
        <v>1439.94</v>
      </c>
      <c r="V128">
        <v>11160.94</v>
      </c>
    </row>
    <row r="129" spans="1:22" x14ac:dyDescent="0.3">
      <c r="A129">
        <v>15741</v>
      </c>
      <c r="B129">
        <v>454319319</v>
      </c>
      <c r="C129" t="s">
        <v>576</v>
      </c>
      <c r="D129" s="9" t="s">
        <v>577</v>
      </c>
      <c r="E129" t="s">
        <v>174</v>
      </c>
      <c r="G129" t="s">
        <v>53</v>
      </c>
      <c r="H129" t="s">
        <v>54</v>
      </c>
      <c r="I129" t="s">
        <v>36</v>
      </c>
      <c r="J129" t="s">
        <v>52</v>
      </c>
      <c r="K129" t="s">
        <v>29</v>
      </c>
      <c r="L129" t="s">
        <v>55</v>
      </c>
      <c r="M129" t="s">
        <v>578</v>
      </c>
      <c r="N129" t="s">
        <v>176</v>
      </c>
      <c r="O129" t="s">
        <v>75</v>
      </c>
      <c r="P129" t="s">
        <v>579</v>
      </c>
      <c r="Q129" t="s">
        <v>69</v>
      </c>
      <c r="R129" s="29" t="s">
        <v>580</v>
      </c>
      <c r="S129">
        <v>34.6</v>
      </c>
      <c r="T129">
        <v>14916</v>
      </c>
      <c r="U129">
        <v>899.94</v>
      </c>
      <c r="V129">
        <v>15815.94</v>
      </c>
    </row>
    <row r="130" spans="1:22" x14ac:dyDescent="0.3">
      <c r="A130">
        <v>15741</v>
      </c>
      <c r="B130">
        <v>454324219</v>
      </c>
      <c r="C130" t="s">
        <v>581</v>
      </c>
      <c r="D130" s="9" t="s">
        <v>582</v>
      </c>
      <c r="E130" t="s">
        <v>174</v>
      </c>
      <c r="G130" t="s">
        <v>53</v>
      </c>
      <c r="H130" t="s">
        <v>54</v>
      </c>
      <c r="I130" t="s">
        <v>36</v>
      </c>
      <c r="J130" t="s">
        <v>52</v>
      </c>
      <c r="K130" t="s">
        <v>29</v>
      </c>
      <c r="L130" t="s">
        <v>55</v>
      </c>
      <c r="M130" t="s">
        <v>583</v>
      </c>
      <c r="N130" t="s">
        <v>176</v>
      </c>
      <c r="O130" t="s">
        <v>75</v>
      </c>
      <c r="P130" t="s">
        <v>584</v>
      </c>
      <c r="Q130" t="s">
        <v>81</v>
      </c>
      <c r="R130" s="29" t="s">
        <v>585</v>
      </c>
      <c r="S130">
        <v>35.19</v>
      </c>
      <c r="T130">
        <v>27380</v>
      </c>
      <c r="U130">
        <v>0</v>
      </c>
      <c r="V130">
        <v>27380</v>
      </c>
    </row>
    <row r="131" spans="1:22" x14ac:dyDescent="0.3">
      <c r="A131">
        <v>15741</v>
      </c>
      <c r="B131">
        <v>454384958</v>
      </c>
      <c r="C131" t="s">
        <v>586</v>
      </c>
      <c r="D131" s="9" t="s">
        <v>587</v>
      </c>
      <c r="E131" t="s">
        <v>174</v>
      </c>
      <c r="G131" t="s">
        <v>53</v>
      </c>
      <c r="H131" t="s">
        <v>54</v>
      </c>
      <c r="I131" t="s">
        <v>36</v>
      </c>
      <c r="J131" t="s">
        <v>52</v>
      </c>
      <c r="K131" t="s">
        <v>29</v>
      </c>
      <c r="L131" t="s">
        <v>55</v>
      </c>
      <c r="M131" t="s">
        <v>588</v>
      </c>
      <c r="N131" t="s">
        <v>176</v>
      </c>
      <c r="O131" t="s">
        <v>75</v>
      </c>
      <c r="P131" t="s">
        <v>589</v>
      </c>
      <c r="Q131" t="s">
        <v>122</v>
      </c>
      <c r="R131" s="29" t="s">
        <v>590</v>
      </c>
      <c r="S131">
        <v>33.74</v>
      </c>
      <c r="T131">
        <v>26813</v>
      </c>
      <c r="U131">
        <v>0</v>
      </c>
      <c r="V131">
        <v>26813</v>
      </c>
    </row>
    <row r="132" spans="1:22" x14ac:dyDescent="0.3">
      <c r="A132">
        <v>15741</v>
      </c>
      <c r="B132">
        <v>454302821</v>
      </c>
      <c r="C132" t="s">
        <v>591</v>
      </c>
      <c r="D132" s="9" t="s">
        <v>592</v>
      </c>
      <c r="E132" t="s">
        <v>174</v>
      </c>
      <c r="G132" t="s">
        <v>53</v>
      </c>
      <c r="H132" t="s">
        <v>54</v>
      </c>
      <c r="I132" t="s">
        <v>36</v>
      </c>
      <c r="J132" t="s">
        <v>52</v>
      </c>
      <c r="K132" t="s">
        <v>29</v>
      </c>
      <c r="L132" t="s">
        <v>55</v>
      </c>
      <c r="M132" t="s">
        <v>593</v>
      </c>
      <c r="N132" t="s">
        <v>176</v>
      </c>
      <c r="O132" t="s">
        <v>75</v>
      </c>
      <c r="P132" t="s">
        <v>594</v>
      </c>
      <c r="Q132" t="s">
        <v>153</v>
      </c>
      <c r="R132" s="29" t="s">
        <v>595</v>
      </c>
      <c r="S132">
        <v>20.62</v>
      </c>
      <c r="T132">
        <v>8303</v>
      </c>
      <c r="U132">
        <v>1439.94</v>
      </c>
      <c r="V132">
        <v>9742.94</v>
      </c>
    </row>
    <row r="133" spans="1:22" x14ac:dyDescent="0.3">
      <c r="A133">
        <v>15741</v>
      </c>
      <c r="B133">
        <v>141787372</v>
      </c>
      <c r="C133" t="s">
        <v>596</v>
      </c>
      <c r="D133" s="9" t="s">
        <v>597</v>
      </c>
      <c r="E133" t="s">
        <v>174</v>
      </c>
      <c r="G133" t="s">
        <v>53</v>
      </c>
      <c r="H133" t="s">
        <v>54</v>
      </c>
      <c r="I133" t="s">
        <v>36</v>
      </c>
      <c r="J133" t="s">
        <v>52</v>
      </c>
      <c r="K133" t="s">
        <v>29</v>
      </c>
      <c r="L133" t="s">
        <v>55</v>
      </c>
      <c r="M133" t="s">
        <v>598</v>
      </c>
      <c r="N133" t="s">
        <v>176</v>
      </c>
      <c r="O133" t="s">
        <v>75</v>
      </c>
      <c r="P133" t="s">
        <v>599</v>
      </c>
      <c r="Q133" t="s">
        <v>87</v>
      </c>
      <c r="R133" s="29" t="s">
        <v>600</v>
      </c>
      <c r="S133">
        <v>100.81</v>
      </c>
      <c r="T133">
        <v>56490</v>
      </c>
      <c r="U133">
        <v>2699.82</v>
      </c>
      <c r="V133">
        <v>59189.82</v>
      </c>
    </row>
    <row r="134" spans="1:22" x14ac:dyDescent="0.3">
      <c r="A134">
        <v>15741</v>
      </c>
      <c r="B134">
        <v>454421603</v>
      </c>
      <c r="C134" t="s">
        <v>601</v>
      </c>
      <c r="D134" s="9" t="s">
        <v>602</v>
      </c>
      <c r="E134" t="s">
        <v>174</v>
      </c>
      <c r="G134" t="s">
        <v>53</v>
      </c>
      <c r="H134" t="s">
        <v>54</v>
      </c>
      <c r="I134" t="s">
        <v>36</v>
      </c>
      <c r="J134" t="s">
        <v>52</v>
      </c>
      <c r="K134" t="s">
        <v>29</v>
      </c>
      <c r="L134" t="s">
        <v>55</v>
      </c>
      <c r="M134" t="s">
        <v>603</v>
      </c>
      <c r="N134" t="s">
        <v>176</v>
      </c>
      <c r="O134" t="s">
        <v>75</v>
      </c>
      <c r="P134" t="s">
        <v>604</v>
      </c>
      <c r="Q134" t="s">
        <v>62</v>
      </c>
      <c r="R134" s="29" t="s">
        <v>605</v>
      </c>
      <c r="S134">
        <v>11.17</v>
      </c>
      <c r="T134">
        <v>19243</v>
      </c>
      <c r="U134">
        <v>539.94000000000005</v>
      </c>
      <c r="V134">
        <v>19782.939999999999</v>
      </c>
    </row>
    <row r="135" spans="1:22" x14ac:dyDescent="0.3">
      <c r="A135">
        <v>15741</v>
      </c>
      <c r="B135">
        <v>454302693</v>
      </c>
      <c r="C135" t="s">
        <v>606</v>
      </c>
      <c r="D135" s="9" t="s">
        <v>607</v>
      </c>
      <c r="E135" t="s">
        <v>174</v>
      </c>
      <c r="G135" t="s">
        <v>53</v>
      </c>
      <c r="H135" t="s">
        <v>54</v>
      </c>
      <c r="I135" t="s">
        <v>36</v>
      </c>
      <c r="J135" t="s">
        <v>52</v>
      </c>
      <c r="K135" t="s">
        <v>29</v>
      </c>
      <c r="L135" t="s">
        <v>55</v>
      </c>
      <c r="M135" t="s">
        <v>608</v>
      </c>
      <c r="N135" t="s">
        <v>176</v>
      </c>
      <c r="O135" t="s">
        <v>75</v>
      </c>
      <c r="P135" t="s">
        <v>609</v>
      </c>
      <c r="Q135" t="s">
        <v>91</v>
      </c>
      <c r="R135" s="29" t="s">
        <v>56</v>
      </c>
      <c r="S135">
        <v>12.79</v>
      </c>
      <c r="T135">
        <v>13253</v>
      </c>
      <c r="U135">
        <v>539.94000000000005</v>
      </c>
      <c r="V135">
        <v>13792.94</v>
      </c>
    </row>
    <row r="136" spans="1:22" x14ac:dyDescent="0.3">
      <c r="A136">
        <v>15741</v>
      </c>
      <c r="B136">
        <v>454303273</v>
      </c>
      <c r="C136" t="s">
        <v>610</v>
      </c>
      <c r="D136" s="9" t="s">
        <v>611</v>
      </c>
      <c r="E136" t="s">
        <v>174</v>
      </c>
      <c r="G136" t="s">
        <v>53</v>
      </c>
      <c r="H136" t="s">
        <v>54</v>
      </c>
      <c r="I136" t="s">
        <v>36</v>
      </c>
      <c r="J136" t="s">
        <v>52</v>
      </c>
      <c r="K136" t="s">
        <v>29</v>
      </c>
      <c r="L136" t="s">
        <v>55</v>
      </c>
      <c r="M136" t="s">
        <v>612</v>
      </c>
      <c r="N136" t="s">
        <v>176</v>
      </c>
      <c r="O136" t="s">
        <v>75</v>
      </c>
      <c r="P136" t="s">
        <v>613</v>
      </c>
      <c r="Q136" t="s">
        <v>46</v>
      </c>
      <c r="R136" s="29" t="s">
        <v>614</v>
      </c>
      <c r="S136">
        <v>12.83</v>
      </c>
      <c r="T136">
        <v>5943</v>
      </c>
      <c r="U136">
        <v>539.94000000000005</v>
      </c>
      <c r="V136">
        <v>6482.9400000000005</v>
      </c>
    </row>
    <row r="137" spans="1:22" x14ac:dyDescent="0.3">
      <c r="A137">
        <v>15741</v>
      </c>
      <c r="B137">
        <v>454350632</v>
      </c>
      <c r="C137" t="s">
        <v>615</v>
      </c>
      <c r="D137" s="9" t="s">
        <v>616</v>
      </c>
      <c r="E137" t="s">
        <v>174</v>
      </c>
      <c r="G137" t="s">
        <v>53</v>
      </c>
      <c r="H137" t="s">
        <v>54</v>
      </c>
      <c r="I137" t="s">
        <v>36</v>
      </c>
      <c r="J137" t="s">
        <v>52</v>
      </c>
      <c r="K137" t="s">
        <v>29</v>
      </c>
      <c r="L137" t="s">
        <v>55</v>
      </c>
      <c r="M137" t="s">
        <v>617</v>
      </c>
      <c r="N137" t="s">
        <v>176</v>
      </c>
      <c r="O137" t="s">
        <v>75</v>
      </c>
      <c r="P137" t="s">
        <v>618</v>
      </c>
      <c r="Q137" t="s">
        <v>46</v>
      </c>
      <c r="R137" s="29" t="s">
        <v>619</v>
      </c>
      <c r="S137">
        <v>34.24</v>
      </c>
      <c r="T137">
        <v>14916</v>
      </c>
      <c r="U137">
        <v>0</v>
      </c>
      <c r="V137">
        <v>14916</v>
      </c>
    </row>
    <row r="138" spans="1:22" x14ac:dyDescent="0.3">
      <c r="A138">
        <v>15741</v>
      </c>
      <c r="B138">
        <v>454350271</v>
      </c>
      <c r="C138" t="s">
        <v>620</v>
      </c>
      <c r="D138" s="9" t="s">
        <v>621</v>
      </c>
      <c r="E138" t="s">
        <v>174</v>
      </c>
      <c r="G138" t="s">
        <v>53</v>
      </c>
      <c r="H138" t="s">
        <v>54</v>
      </c>
      <c r="I138" t="s">
        <v>36</v>
      </c>
      <c r="J138" t="s">
        <v>52</v>
      </c>
      <c r="K138" t="s">
        <v>29</v>
      </c>
      <c r="L138" t="s">
        <v>55</v>
      </c>
      <c r="M138" t="s">
        <v>622</v>
      </c>
      <c r="N138" t="s">
        <v>176</v>
      </c>
      <c r="O138" t="s">
        <v>75</v>
      </c>
      <c r="P138" t="s">
        <v>623</v>
      </c>
      <c r="Q138" t="s">
        <v>70</v>
      </c>
      <c r="R138" s="29" t="s">
        <v>624</v>
      </c>
      <c r="S138">
        <v>33.83</v>
      </c>
      <c r="T138">
        <v>14444</v>
      </c>
      <c r="U138">
        <v>1439.94</v>
      </c>
      <c r="V138">
        <v>15883.94</v>
      </c>
    </row>
    <row r="139" spans="1:22" x14ac:dyDescent="0.3">
      <c r="A139">
        <v>15741</v>
      </c>
      <c r="B139">
        <v>454697689</v>
      </c>
      <c r="C139" t="s">
        <v>625</v>
      </c>
      <c r="D139" s="9" t="s">
        <v>626</v>
      </c>
      <c r="E139" t="s">
        <v>174</v>
      </c>
      <c r="G139" t="s">
        <v>53</v>
      </c>
      <c r="H139" t="s">
        <v>54</v>
      </c>
      <c r="I139" t="s">
        <v>36</v>
      </c>
      <c r="J139" t="s">
        <v>52</v>
      </c>
      <c r="K139" t="s">
        <v>29</v>
      </c>
      <c r="L139" t="s">
        <v>55</v>
      </c>
      <c r="M139" t="s">
        <v>627</v>
      </c>
      <c r="N139" t="s">
        <v>176</v>
      </c>
      <c r="O139" t="s">
        <v>75</v>
      </c>
      <c r="P139" t="s">
        <v>628</v>
      </c>
      <c r="Q139" t="s">
        <v>31</v>
      </c>
      <c r="R139" s="29" t="s">
        <v>629</v>
      </c>
      <c r="S139">
        <v>20.82</v>
      </c>
      <c r="T139">
        <v>8303</v>
      </c>
      <c r="U139">
        <v>899.94</v>
      </c>
      <c r="V139">
        <v>9202.94</v>
      </c>
    </row>
    <row r="140" spans="1:22" x14ac:dyDescent="0.3">
      <c r="A140">
        <v>15741</v>
      </c>
      <c r="B140">
        <v>454795321</v>
      </c>
      <c r="C140" t="s">
        <v>630</v>
      </c>
      <c r="D140" s="9" t="s">
        <v>631</v>
      </c>
      <c r="E140" t="s">
        <v>174</v>
      </c>
      <c r="G140" t="s">
        <v>53</v>
      </c>
      <c r="H140" t="s">
        <v>54</v>
      </c>
      <c r="I140" t="s">
        <v>36</v>
      </c>
      <c r="J140" t="s">
        <v>52</v>
      </c>
      <c r="K140" t="s">
        <v>29</v>
      </c>
      <c r="L140" t="s">
        <v>55</v>
      </c>
      <c r="M140" t="s">
        <v>632</v>
      </c>
      <c r="N140" t="s">
        <v>176</v>
      </c>
      <c r="O140" t="s">
        <v>75</v>
      </c>
      <c r="P140" t="s">
        <v>633</v>
      </c>
      <c r="Q140" t="s">
        <v>73</v>
      </c>
      <c r="R140" s="29" t="s">
        <v>634</v>
      </c>
      <c r="S140">
        <v>10.130000000000001</v>
      </c>
      <c r="T140">
        <v>5943</v>
      </c>
      <c r="U140">
        <v>0</v>
      </c>
      <c r="V140">
        <v>5943</v>
      </c>
    </row>
    <row r="141" spans="1:22" x14ac:dyDescent="0.3">
      <c r="A141">
        <v>15741</v>
      </c>
      <c r="B141">
        <v>454795992</v>
      </c>
      <c r="C141" t="s">
        <v>635</v>
      </c>
      <c r="D141" s="9" t="s">
        <v>636</v>
      </c>
      <c r="E141" t="s">
        <v>174</v>
      </c>
      <c r="G141" t="s">
        <v>53</v>
      </c>
      <c r="H141" t="s">
        <v>54</v>
      </c>
      <c r="I141" t="s">
        <v>36</v>
      </c>
      <c r="J141" t="s">
        <v>52</v>
      </c>
      <c r="K141" t="s">
        <v>29</v>
      </c>
      <c r="L141" t="s">
        <v>55</v>
      </c>
      <c r="M141" t="s">
        <v>637</v>
      </c>
      <c r="N141" t="s">
        <v>176</v>
      </c>
      <c r="O141" t="s">
        <v>75</v>
      </c>
      <c r="P141" t="s">
        <v>638</v>
      </c>
      <c r="Q141" t="s">
        <v>86</v>
      </c>
      <c r="R141" s="29" t="s">
        <v>639</v>
      </c>
      <c r="S141">
        <v>21.27</v>
      </c>
      <c r="T141">
        <v>18273</v>
      </c>
      <c r="U141">
        <v>1619.94</v>
      </c>
      <c r="V141">
        <v>19892.939999999999</v>
      </c>
    </row>
    <row r="142" spans="1:22" x14ac:dyDescent="0.3">
      <c r="A142">
        <v>15741</v>
      </c>
      <c r="B142">
        <v>454795052</v>
      </c>
      <c r="C142" t="s">
        <v>640</v>
      </c>
      <c r="D142" s="9" t="s">
        <v>641</v>
      </c>
      <c r="E142" t="s">
        <v>174</v>
      </c>
      <c r="G142" t="s">
        <v>53</v>
      </c>
      <c r="H142" t="s">
        <v>54</v>
      </c>
      <c r="I142" t="s">
        <v>36</v>
      </c>
      <c r="J142" t="s">
        <v>52</v>
      </c>
      <c r="K142" t="s">
        <v>29</v>
      </c>
      <c r="L142" t="s">
        <v>55</v>
      </c>
      <c r="M142" t="s">
        <v>642</v>
      </c>
      <c r="N142" t="s">
        <v>176</v>
      </c>
      <c r="O142" t="s">
        <v>75</v>
      </c>
      <c r="P142" t="s">
        <v>643</v>
      </c>
      <c r="Q142" t="s">
        <v>77</v>
      </c>
      <c r="R142" s="29" t="s">
        <v>644</v>
      </c>
      <c r="S142">
        <v>11.66</v>
      </c>
      <c r="T142">
        <v>12360</v>
      </c>
      <c r="U142">
        <v>599.94000000000005</v>
      </c>
      <c r="V142">
        <v>12959.94</v>
      </c>
    </row>
    <row r="143" spans="1:22" x14ac:dyDescent="0.3">
      <c r="A143">
        <v>15741</v>
      </c>
      <c r="B143">
        <v>454791795</v>
      </c>
      <c r="C143" t="s">
        <v>645</v>
      </c>
      <c r="D143" s="9" t="s">
        <v>646</v>
      </c>
      <c r="E143" t="s">
        <v>174</v>
      </c>
      <c r="G143" t="s">
        <v>53</v>
      </c>
      <c r="H143" t="s">
        <v>54</v>
      </c>
      <c r="I143" t="s">
        <v>36</v>
      </c>
      <c r="J143" t="s">
        <v>52</v>
      </c>
      <c r="K143" t="s">
        <v>29</v>
      </c>
      <c r="L143" t="s">
        <v>55</v>
      </c>
      <c r="M143" t="s">
        <v>647</v>
      </c>
      <c r="N143" t="s">
        <v>176</v>
      </c>
      <c r="O143" t="s">
        <v>75</v>
      </c>
      <c r="P143" t="s">
        <v>648</v>
      </c>
      <c r="Q143" t="s">
        <v>71</v>
      </c>
      <c r="R143" s="29" t="s">
        <v>649</v>
      </c>
      <c r="S143">
        <v>11.84</v>
      </c>
      <c r="T143">
        <v>5943</v>
      </c>
      <c r="U143">
        <v>599.94000000000005</v>
      </c>
      <c r="V143">
        <v>6542.9400000000005</v>
      </c>
    </row>
    <row r="144" spans="1:22" x14ac:dyDescent="0.3">
      <c r="A144">
        <v>15741</v>
      </c>
      <c r="B144">
        <v>454794125</v>
      </c>
      <c r="C144" t="s">
        <v>650</v>
      </c>
      <c r="D144" s="9" t="s">
        <v>651</v>
      </c>
      <c r="E144" t="s">
        <v>174</v>
      </c>
      <c r="G144" t="s">
        <v>53</v>
      </c>
      <c r="H144" t="s">
        <v>54</v>
      </c>
      <c r="I144" t="s">
        <v>36</v>
      </c>
      <c r="J144" t="s">
        <v>52</v>
      </c>
      <c r="K144" t="s">
        <v>29</v>
      </c>
      <c r="L144" t="s">
        <v>55</v>
      </c>
      <c r="M144" t="s">
        <v>652</v>
      </c>
      <c r="N144" t="s">
        <v>176</v>
      </c>
      <c r="O144" t="s">
        <v>75</v>
      </c>
      <c r="P144" t="s">
        <v>653</v>
      </c>
      <c r="Q144" t="s">
        <v>69</v>
      </c>
      <c r="R144" s="29" t="s">
        <v>167</v>
      </c>
      <c r="S144">
        <v>24.44</v>
      </c>
      <c r="T144">
        <v>10193</v>
      </c>
      <c r="U144">
        <v>1199.8800000000001</v>
      </c>
      <c r="V144">
        <v>11392.880000000001</v>
      </c>
    </row>
    <row r="145" spans="1:22" x14ac:dyDescent="0.3">
      <c r="A145">
        <v>15741</v>
      </c>
      <c r="B145">
        <v>454792358</v>
      </c>
      <c r="C145" t="s">
        <v>654</v>
      </c>
      <c r="D145" s="9" t="s">
        <v>655</v>
      </c>
      <c r="E145" t="s">
        <v>174</v>
      </c>
      <c r="G145" t="s">
        <v>53</v>
      </c>
      <c r="H145" t="s">
        <v>54</v>
      </c>
      <c r="I145" t="s">
        <v>36</v>
      </c>
      <c r="J145" t="s">
        <v>52</v>
      </c>
      <c r="K145" t="s">
        <v>29</v>
      </c>
      <c r="L145" t="s">
        <v>55</v>
      </c>
      <c r="M145" t="s">
        <v>656</v>
      </c>
      <c r="N145" t="s">
        <v>176</v>
      </c>
      <c r="O145" t="s">
        <v>75</v>
      </c>
      <c r="P145" t="s">
        <v>657</v>
      </c>
      <c r="Q145" t="s">
        <v>69</v>
      </c>
      <c r="R145" s="29" t="s">
        <v>658</v>
      </c>
      <c r="S145">
        <v>20.58</v>
      </c>
      <c r="T145">
        <v>8303</v>
      </c>
      <c r="U145">
        <v>1619.94</v>
      </c>
      <c r="V145">
        <v>9922.94</v>
      </c>
    </row>
    <row r="146" spans="1:22" x14ac:dyDescent="0.3">
      <c r="A146">
        <v>15741</v>
      </c>
      <c r="B146">
        <v>454793625</v>
      </c>
      <c r="C146" t="s">
        <v>659</v>
      </c>
      <c r="D146" s="9" t="s">
        <v>660</v>
      </c>
      <c r="E146" t="s">
        <v>174</v>
      </c>
      <c r="G146" t="s">
        <v>53</v>
      </c>
      <c r="H146" t="s">
        <v>54</v>
      </c>
      <c r="I146" t="s">
        <v>36</v>
      </c>
      <c r="J146" t="s">
        <v>52</v>
      </c>
      <c r="K146" t="s">
        <v>29</v>
      </c>
      <c r="L146" t="s">
        <v>55</v>
      </c>
      <c r="M146" t="s">
        <v>661</v>
      </c>
      <c r="N146" t="s">
        <v>176</v>
      </c>
      <c r="O146" t="s">
        <v>75</v>
      </c>
      <c r="P146" t="s">
        <v>662</v>
      </c>
      <c r="Q146" t="s">
        <v>32</v>
      </c>
      <c r="R146" s="29" t="s">
        <v>172</v>
      </c>
      <c r="S146">
        <v>10.09</v>
      </c>
      <c r="T146">
        <v>5943</v>
      </c>
      <c r="U146">
        <v>0</v>
      </c>
      <c r="V146">
        <v>5943</v>
      </c>
    </row>
    <row r="147" spans="1:22" x14ac:dyDescent="0.3">
      <c r="A147">
        <v>15741</v>
      </c>
      <c r="B147">
        <v>454795745</v>
      </c>
      <c r="C147" t="s">
        <v>663</v>
      </c>
      <c r="D147" s="9" t="s">
        <v>664</v>
      </c>
      <c r="E147" t="s">
        <v>174</v>
      </c>
      <c r="G147" t="s">
        <v>53</v>
      </c>
      <c r="H147" t="s">
        <v>54</v>
      </c>
      <c r="I147" t="s">
        <v>36</v>
      </c>
      <c r="J147" t="s">
        <v>52</v>
      </c>
      <c r="K147" t="s">
        <v>29</v>
      </c>
      <c r="L147" t="s">
        <v>55</v>
      </c>
      <c r="M147" t="s">
        <v>665</v>
      </c>
      <c r="N147" t="s">
        <v>176</v>
      </c>
      <c r="O147" t="s">
        <v>75</v>
      </c>
      <c r="P147" t="s">
        <v>666</v>
      </c>
      <c r="Q147" t="s">
        <v>124</v>
      </c>
      <c r="R147" s="29" t="s">
        <v>159</v>
      </c>
      <c r="S147">
        <v>12.13</v>
      </c>
      <c r="T147">
        <v>13529</v>
      </c>
      <c r="U147">
        <v>599.94000000000005</v>
      </c>
      <c r="V147">
        <v>14128.94</v>
      </c>
    </row>
    <row r="148" spans="1:22" x14ac:dyDescent="0.3">
      <c r="A148">
        <v>15741</v>
      </c>
      <c r="B148">
        <v>454807036</v>
      </c>
      <c r="C148" t="s">
        <v>667</v>
      </c>
      <c r="D148" s="9" t="s">
        <v>668</v>
      </c>
      <c r="E148" t="s">
        <v>174</v>
      </c>
      <c r="G148" t="s">
        <v>53</v>
      </c>
      <c r="H148" t="s">
        <v>54</v>
      </c>
      <c r="I148" t="s">
        <v>36</v>
      </c>
      <c r="J148" t="s">
        <v>52</v>
      </c>
      <c r="K148" t="s">
        <v>29</v>
      </c>
      <c r="L148" t="s">
        <v>55</v>
      </c>
      <c r="M148" t="s">
        <v>669</v>
      </c>
      <c r="N148" t="s">
        <v>176</v>
      </c>
      <c r="O148" t="s">
        <v>75</v>
      </c>
      <c r="P148" t="s">
        <v>670</v>
      </c>
      <c r="Q148" t="s">
        <v>47</v>
      </c>
      <c r="R148" s="29" t="s">
        <v>671</v>
      </c>
      <c r="S148">
        <v>7.43</v>
      </c>
      <c r="T148">
        <v>5465</v>
      </c>
      <c r="U148">
        <v>0</v>
      </c>
      <c r="V148">
        <v>5465</v>
      </c>
    </row>
    <row r="149" spans="1:22" x14ac:dyDescent="0.3">
      <c r="A149">
        <v>15741</v>
      </c>
      <c r="B149">
        <v>454796337</v>
      </c>
      <c r="C149" t="s">
        <v>672</v>
      </c>
      <c r="D149" s="9" t="s">
        <v>673</v>
      </c>
      <c r="E149" t="s">
        <v>174</v>
      </c>
      <c r="G149" t="s">
        <v>53</v>
      </c>
      <c r="H149" t="s">
        <v>54</v>
      </c>
      <c r="I149" t="s">
        <v>36</v>
      </c>
      <c r="J149" t="s">
        <v>52</v>
      </c>
      <c r="K149" t="s">
        <v>29</v>
      </c>
      <c r="L149" t="s">
        <v>55</v>
      </c>
      <c r="M149" t="s">
        <v>674</v>
      </c>
      <c r="N149" t="s">
        <v>176</v>
      </c>
      <c r="O149" t="s">
        <v>75</v>
      </c>
      <c r="P149" t="s">
        <v>675</v>
      </c>
      <c r="Q149" t="s">
        <v>119</v>
      </c>
      <c r="R149" s="29" t="s">
        <v>676</v>
      </c>
      <c r="S149">
        <v>9.9700000000000006</v>
      </c>
      <c r="T149">
        <v>5465</v>
      </c>
      <c r="U149">
        <v>539.94000000000005</v>
      </c>
      <c r="V149">
        <v>6004.9400000000005</v>
      </c>
    </row>
    <row r="150" spans="1:22" x14ac:dyDescent="0.3">
      <c r="A150">
        <v>15741</v>
      </c>
      <c r="B150">
        <v>454794646</v>
      </c>
      <c r="C150" t="s">
        <v>677</v>
      </c>
      <c r="D150" s="9" t="s">
        <v>678</v>
      </c>
      <c r="E150" t="s">
        <v>174</v>
      </c>
      <c r="G150" t="s">
        <v>53</v>
      </c>
      <c r="H150" t="s">
        <v>54</v>
      </c>
      <c r="I150" t="s">
        <v>36</v>
      </c>
      <c r="J150" t="s">
        <v>52</v>
      </c>
      <c r="K150" t="s">
        <v>29</v>
      </c>
      <c r="L150" t="s">
        <v>55</v>
      </c>
      <c r="M150" t="s">
        <v>679</v>
      </c>
      <c r="N150" t="s">
        <v>176</v>
      </c>
      <c r="O150" t="s">
        <v>75</v>
      </c>
      <c r="P150" t="s">
        <v>680</v>
      </c>
      <c r="Q150" t="s">
        <v>69</v>
      </c>
      <c r="R150" s="29" t="s">
        <v>169</v>
      </c>
      <c r="S150">
        <v>55.61</v>
      </c>
      <c r="T150">
        <v>24454</v>
      </c>
      <c r="U150">
        <v>1079.94</v>
      </c>
      <c r="V150">
        <v>25533.94</v>
      </c>
    </row>
    <row r="151" spans="1:22" x14ac:dyDescent="0.3">
      <c r="A151">
        <v>15741</v>
      </c>
      <c r="B151">
        <v>454792470</v>
      </c>
      <c r="C151" t="s">
        <v>681</v>
      </c>
      <c r="D151" s="9" t="s">
        <v>682</v>
      </c>
      <c r="E151" t="s">
        <v>174</v>
      </c>
      <c r="G151" t="s">
        <v>53</v>
      </c>
      <c r="H151" t="s">
        <v>54</v>
      </c>
      <c r="I151" t="s">
        <v>36</v>
      </c>
      <c r="J151" t="s">
        <v>52</v>
      </c>
      <c r="K151" t="s">
        <v>29</v>
      </c>
      <c r="L151" t="s">
        <v>55</v>
      </c>
      <c r="M151" t="s">
        <v>683</v>
      </c>
      <c r="N151" t="s">
        <v>176</v>
      </c>
      <c r="O151" t="s">
        <v>75</v>
      </c>
      <c r="P151" t="s">
        <v>684</v>
      </c>
      <c r="Q151" t="s">
        <v>69</v>
      </c>
      <c r="R151" s="29" t="s">
        <v>685</v>
      </c>
      <c r="S151">
        <v>24.12</v>
      </c>
      <c r="T151">
        <v>10193</v>
      </c>
      <c r="U151">
        <v>1619.94</v>
      </c>
      <c r="V151">
        <v>11812.94</v>
      </c>
    </row>
    <row r="152" spans="1:22" x14ac:dyDescent="0.3">
      <c r="A152">
        <v>15741</v>
      </c>
      <c r="B152">
        <v>454725839</v>
      </c>
      <c r="C152" t="s">
        <v>686</v>
      </c>
      <c r="D152" s="9" t="s">
        <v>687</v>
      </c>
      <c r="E152" t="s">
        <v>174</v>
      </c>
      <c r="G152" t="s">
        <v>53</v>
      </c>
      <c r="H152" t="s">
        <v>54</v>
      </c>
      <c r="I152" t="s">
        <v>36</v>
      </c>
      <c r="J152" t="s">
        <v>52</v>
      </c>
      <c r="K152" t="s">
        <v>29</v>
      </c>
      <c r="L152" t="s">
        <v>55</v>
      </c>
      <c r="M152" t="s">
        <v>688</v>
      </c>
      <c r="N152" t="s">
        <v>176</v>
      </c>
      <c r="O152" t="s">
        <v>75</v>
      </c>
      <c r="P152" t="s">
        <v>689</v>
      </c>
      <c r="Q152" t="s">
        <v>102</v>
      </c>
      <c r="R152" s="29" t="s">
        <v>690</v>
      </c>
      <c r="S152">
        <v>20.46</v>
      </c>
      <c r="T152">
        <v>26875</v>
      </c>
      <c r="U152">
        <v>1619.94</v>
      </c>
      <c r="V152">
        <v>28494.94</v>
      </c>
    </row>
    <row r="153" spans="1:22" x14ac:dyDescent="0.3">
      <c r="A153">
        <v>15741</v>
      </c>
      <c r="B153">
        <v>454798651</v>
      </c>
      <c r="C153" t="s">
        <v>691</v>
      </c>
      <c r="D153" s="9" t="s">
        <v>692</v>
      </c>
      <c r="E153" t="s">
        <v>174</v>
      </c>
      <c r="G153" t="s">
        <v>53</v>
      </c>
      <c r="H153" t="s">
        <v>54</v>
      </c>
      <c r="I153" t="s">
        <v>36</v>
      </c>
      <c r="J153" t="s">
        <v>52</v>
      </c>
      <c r="K153" t="s">
        <v>29</v>
      </c>
      <c r="L153" t="s">
        <v>55</v>
      </c>
      <c r="M153" t="s">
        <v>693</v>
      </c>
      <c r="N153" t="s">
        <v>176</v>
      </c>
      <c r="O153" t="s">
        <v>75</v>
      </c>
      <c r="P153" t="s">
        <v>694</v>
      </c>
      <c r="Q153" t="s">
        <v>78</v>
      </c>
      <c r="R153" s="29" t="s">
        <v>695</v>
      </c>
      <c r="S153">
        <v>55.69</v>
      </c>
      <c r="T153">
        <v>44676</v>
      </c>
      <c r="U153">
        <v>1363.15</v>
      </c>
      <c r="V153">
        <v>46039.15</v>
      </c>
    </row>
    <row r="154" spans="1:22" x14ac:dyDescent="0.3">
      <c r="A154">
        <v>15741</v>
      </c>
      <c r="B154">
        <v>454715487</v>
      </c>
      <c r="C154" t="s">
        <v>696</v>
      </c>
      <c r="D154" s="9" t="s">
        <v>697</v>
      </c>
      <c r="E154" t="s">
        <v>174</v>
      </c>
      <c r="G154" t="s">
        <v>53</v>
      </c>
      <c r="H154" t="s">
        <v>54</v>
      </c>
      <c r="I154" t="s">
        <v>36</v>
      </c>
      <c r="J154" t="s">
        <v>52</v>
      </c>
      <c r="K154" t="s">
        <v>29</v>
      </c>
      <c r="L154" t="s">
        <v>55</v>
      </c>
      <c r="M154" t="s">
        <v>698</v>
      </c>
      <c r="N154" t="s">
        <v>176</v>
      </c>
      <c r="O154" t="s">
        <v>75</v>
      </c>
      <c r="P154" t="s">
        <v>699</v>
      </c>
      <c r="Q154" t="s">
        <v>115</v>
      </c>
      <c r="R154" s="29" t="s">
        <v>170</v>
      </c>
      <c r="S154">
        <v>25.57</v>
      </c>
      <c r="T154">
        <v>21189</v>
      </c>
      <c r="U154">
        <v>1199.8800000000001</v>
      </c>
      <c r="V154">
        <v>22388.880000000001</v>
      </c>
    </row>
    <row r="155" spans="1:22" x14ac:dyDescent="0.3">
      <c r="A155">
        <v>15741</v>
      </c>
      <c r="B155">
        <v>454715046</v>
      </c>
      <c r="C155" t="s">
        <v>700</v>
      </c>
      <c r="D155" s="9" t="s">
        <v>701</v>
      </c>
      <c r="E155" t="s">
        <v>174</v>
      </c>
      <c r="G155" t="s">
        <v>53</v>
      </c>
      <c r="H155" t="s">
        <v>54</v>
      </c>
      <c r="I155" t="s">
        <v>36</v>
      </c>
      <c r="J155" t="s">
        <v>52</v>
      </c>
      <c r="K155" t="s">
        <v>29</v>
      </c>
      <c r="L155" t="s">
        <v>55</v>
      </c>
      <c r="M155" t="s">
        <v>702</v>
      </c>
      <c r="N155" t="s">
        <v>176</v>
      </c>
      <c r="O155" t="s">
        <v>75</v>
      </c>
      <c r="P155" t="s">
        <v>703</v>
      </c>
      <c r="Q155" t="s">
        <v>96</v>
      </c>
      <c r="R155" s="29" t="s">
        <v>704</v>
      </c>
      <c r="S155">
        <v>20.309999999999999</v>
      </c>
      <c r="T155">
        <v>14298</v>
      </c>
      <c r="U155">
        <v>1619.94</v>
      </c>
      <c r="V155">
        <v>15917.94</v>
      </c>
    </row>
    <row r="156" spans="1:22" x14ac:dyDescent="0.3">
      <c r="A156">
        <v>15741</v>
      </c>
      <c r="B156">
        <v>454795675</v>
      </c>
      <c r="C156" t="s">
        <v>705</v>
      </c>
      <c r="D156" s="9" t="s">
        <v>706</v>
      </c>
      <c r="E156" t="s">
        <v>174</v>
      </c>
      <c r="G156" t="s">
        <v>53</v>
      </c>
      <c r="H156" t="s">
        <v>54</v>
      </c>
      <c r="I156" t="s">
        <v>36</v>
      </c>
      <c r="J156" t="s">
        <v>52</v>
      </c>
      <c r="K156" t="s">
        <v>29</v>
      </c>
      <c r="L156" t="s">
        <v>55</v>
      </c>
      <c r="M156" t="s">
        <v>707</v>
      </c>
      <c r="N156" t="s">
        <v>176</v>
      </c>
      <c r="O156" t="s">
        <v>75</v>
      </c>
      <c r="P156" t="s">
        <v>708</v>
      </c>
      <c r="Q156" t="s">
        <v>46</v>
      </c>
      <c r="R156" s="29" t="s">
        <v>709</v>
      </c>
      <c r="S156">
        <v>23.66</v>
      </c>
      <c r="T156">
        <v>9721</v>
      </c>
      <c r="U156">
        <v>1619.94</v>
      </c>
      <c r="V156">
        <v>11340.94</v>
      </c>
    </row>
    <row r="157" spans="1:22" x14ac:dyDescent="0.3">
      <c r="A157">
        <v>15741</v>
      </c>
      <c r="B157">
        <v>454841650</v>
      </c>
      <c r="C157" t="s">
        <v>710</v>
      </c>
      <c r="D157" s="9" t="s">
        <v>711</v>
      </c>
      <c r="E157" t="s">
        <v>174</v>
      </c>
      <c r="G157" t="s">
        <v>53</v>
      </c>
      <c r="H157" t="s">
        <v>54</v>
      </c>
      <c r="I157" t="s">
        <v>36</v>
      </c>
      <c r="J157" t="s">
        <v>52</v>
      </c>
      <c r="K157" t="s">
        <v>29</v>
      </c>
      <c r="L157" t="s">
        <v>55</v>
      </c>
      <c r="M157" t="s">
        <v>712</v>
      </c>
      <c r="N157" t="s">
        <v>176</v>
      </c>
      <c r="O157" t="s">
        <v>75</v>
      </c>
      <c r="P157" t="s">
        <v>713</v>
      </c>
      <c r="Q157" t="s">
        <v>157</v>
      </c>
      <c r="R157" s="29" t="s">
        <v>714</v>
      </c>
      <c r="S157">
        <v>9.77</v>
      </c>
      <c r="T157">
        <v>5465</v>
      </c>
      <c r="U157">
        <v>539.94000000000005</v>
      </c>
      <c r="V157">
        <v>6004.9400000000005</v>
      </c>
    </row>
    <row r="158" spans="1:22" x14ac:dyDescent="0.3">
      <c r="A158">
        <v>15741</v>
      </c>
      <c r="B158">
        <v>454715002</v>
      </c>
      <c r="C158" t="s">
        <v>715</v>
      </c>
      <c r="D158" s="9" t="s">
        <v>716</v>
      </c>
      <c r="E158" t="s">
        <v>174</v>
      </c>
      <c r="G158" t="s">
        <v>53</v>
      </c>
      <c r="H158" t="s">
        <v>54</v>
      </c>
      <c r="I158" t="s">
        <v>36</v>
      </c>
      <c r="J158" t="s">
        <v>52</v>
      </c>
      <c r="K158" t="s">
        <v>29</v>
      </c>
      <c r="L158" t="s">
        <v>55</v>
      </c>
      <c r="M158" t="s">
        <v>717</v>
      </c>
      <c r="N158" t="s">
        <v>176</v>
      </c>
      <c r="O158" t="s">
        <v>75</v>
      </c>
      <c r="P158" t="s">
        <v>718</v>
      </c>
      <c r="Q158" t="s">
        <v>719</v>
      </c>
      <c r="R158" s="29" t="s">
        <v>720</v>
      </c>
      <c r="S158">
        <v>20.64</v>
      </c>
      <c r="T158">
        <v>13116</v>
      </c>
      <c r="U158">
        <v>1619.94</v>
      </c>
      <c r="V158">
        <v>14735.94</v>
      </c>
    </row>
    <row r="159" spans="1:22" x14ac:dyDescent="0.3">
      <c r="A159">
        <v>15741</v>
      </c>
      <c r="B159">
        <v>454795416</v>
      </c>
      <c r="C159" t="s">
        <v>721</v>
      </c>
      <c r="D159" s="9" t="s">
        <v>722</v>
      </c>
      <c r="E159" t="s">
        <v>174</v>
      </c>
      <c r="G159" t="s">
        <v>53</v>
      </c>
      <c r="H159" t="s">
        <v>54</v>
      </c>
      <c r="I159" t="s">
        <v>36</v>
      </c>
      <c r="J159" t="s">
        <v>52</v>
      </c>
      <c r="K159" t="s">
        <v>29</v>
      </c>
      <c r="L159" t="s">
        <v>55</v>
      </c>
      <c r="M159" t="s">
        <v>723</v>
      </c>
      <c r="N159" t="s">
        <v>176</v>
      </c>
      <c r="O159" t="s">
        <v>75</v>
      </c>
      <c r="P159" t="s">
        <v>724</v>
      </c>
      <c r="Q159" t="s">
        <v>31</v>
      </c>
      <c r="R159" s="29" t="s">
        <v>725</v>
      </c>
      <c r="S159">
        <v>18.760000000000002</v>
      </c>
      <c r="T159">
        <v>7358</v>
      </c>
      <c r="U159">
        <v>1079.8800000000001</v>
      </c>
      <c r="V159">
        <v>8437.880000000001</v>
      </c>
    </row>
    <row r="160" spans="1:22" x14ac:dyDescent="0.3">
      <c r="A160">
        <v>15741</v>
      </c>
      <c r="B160">
        <v>454715149</v>
      </c>
      <c r="C160" t="s">
        <v>726</v>
      </c>
      <c r="D160" s="9" t="s">
        <v>727</v>
      </c>
      <c r="E160" t="s">
        <v>174</v>
      </c>
      <c r="G160" t="s">
        <v>53</v>
      </c>
      <c r="H160" t="s">
        <v>54</v>
      </c>
      <c r="I160" t="s">
        <v>36</v>
      </c>
      <c r="J160" t="s">
        <v>52</v>
      </c>
      <c r="K160" t="s">
        <v>29</v>
      </c>
      <c r="L160" t="s">
        <v>55</v>
      </c>
      <c r="M160" t="s">
        <v>296</v>
      </c>
      <c r="N160" t="s">
        <v>176</v>
      </c>
      <c r="O160" t="s">
        <v>75</v>
      </c>
      <c r="P160" t="s">
        <v>728</v>
      </c>
      <c r="Q160" t="s">
        <v>32</v>
      </c>
      <c r="R160" s="29" t="s">
        <v>729</v>
      </c>
      <c r="S160">
        <v>10.67</v>
      </c>
      <c r="T160">
        <v>5943</v>
      </c>
      <c r="U160">
        <v>0</v>
      </c>
      <c r="V160">
        <v>5943</v>
      </c>
    </row>
    <row r="161" spans="1:22" x14ac:dyDescent="0.3">
      <c r="A161">
        <v>15741</v>
      </c>
      <c r="B161">
        <v>454794988</v>
      </c>
      <c r="C161" t="s">
        <v>730</v>
      </c>
      <c r="D161" s="9" t="s">
        <v>731</v>
      </c>
      <c r="E161" t="s">
        <v>174</v>
      </c>
      <c r="G161" t="s">
        <v>53</v>
      </c>
      <c r="H161" t="s">
        <v>54</v>
      </c>
      <c r="I161" t="s">
        <v>36</v>
      </c>
      <c r="J161" t="s">
        <v>52</v>
      </c>
      <c r="K161" t="s">
        <v>29</v>
      </c>
      <c r="L161" t="s">
        <v>55</v>
      </c>
      <c r="M161" t="s">
        <v>732</v>
      </c>
      <c r="N161" t="s">
        <v>176</v>
      </c>
      <c r="O161" t="s">
        <v>75</v>
      </c>
      <c r="P161" t="s">
        <v>733</v>
      </c>
      <c r="Q161" t="s">
        <v>69</v>
      </c>
      <c r="R161" s="29" t="s">
        <v>734</v>
      </c>
      <c r="S161">
        <v>23.97</v>
      </c>
      <c r="T161">
        <v>9721</v>
      </c>
      <c r="U161">
        <v>1619.94</v>
      </c>
      <c r="V161">
        <v>11340.94</v>
      </c>
    </row>
    <row r="162" spans="1:22" x14ac:dyDescent="0.3">
      <c r="A162">
        <v>15741</v>
      </c>
      <c r="B162">
        <v>454794268</v>
      </c>
      <c r="C162" t="s">
        <v>735</v>
      </c>
      <c r="D162" s="9" t="s">
        <v>736</v>
      </c>
      <c r="E162" t="s">
        <v>174</v>
      </c>
      <c r="G162" t="s">
        <v>53</v>
      </c>
      <c r="H162" t="s">
        <v>54</v>
      </c>
      <c r="I162" t="s">
        <v>36</v>
      </c>
      <c r="J162" t="s">
        <v>52</v>
      </c>
      <c r="K162" t="s">
        <v>29</v>
      </c>
      <c r="L162" t="s">
        <v>55</v>
      </c>
      <c r="M162" t="s">
        <v>737</v>
      </c>
      <c r="N162" t="s">
        <v>176</v>
      </c>
      <c r="O162" t="s">
        <v>75</v>
      </c>
      <c r="P162" t="s">
        <v>738</v>
      </c>
      <c r="Q162" t="s">
        <v>84</v>
      </c>
      <c r="R162" s="29" t="s">
        <v>166</v>
      </c>
      <c r="S162">
        <v>20.309999999999999</v>
      </c>
      <c r="T162">
        <v>14298</v>
      </c>
      <c r="U162">
        <v>1619.94</v>
      </c>
      <c r="V162">
        <v>15917.94</v>
      </c>
    </row>
    <row r="163" spans="1:22" x14ac:dyDescent="0.3">
      <c r="A163">
        <v>15741</v>
      </c>
      <c r="B163">
        <v>454798878</v>
      </c>
      <c r="C163" t="s">
        <v>739</v>
      </c>
      <c r="D163" s="9" t="s">
        <v>740</v>
      </c>
      <c r="E163" t="s">
        <v>174</v>
      </c>
      <c r="G163" t="s">
        <v>53</v>
      </c>
      <c r="H163" t="s">
        <v>54</v>
      </c>
      <c r="I163" t="s">
        <v>36</v>
      </c>
      <c r="J163" t="s">
        <v>52</v>
      </c>
      <c r="K163" t="s">
        <v>29</v>
      </c>
      <c r="L163" t="s">
        <v>55</v>
      </c>
      <c r="M163" t="s">
        <v>741</v>
      </c>
      <c r="N163" t="s">
        <v>176</v>
      </c>
      <c r="O163" t="s">
        <v>75</v>
      </c>
      <c r="P163" t="s">
        <v>742</v>
      </c>
      <c r="Q163" t="s">
        <v>32</v>
      </c>
      <c r="R163" s="29" t="s">
        <v>743</v>
      </c>
      <c r="S163">
        <v>63.38</v>
      </c>
      <c r="T163">
        <v>27724</v>
      </c>
      <c r="U163">
        <v>968.94</v>
      </c>
      <c r="V163">
        <v>28692.94</v>
      </c>
    </row>
    <row r="164" spans="1:22" x14ac:dyDescent="0.3">
      <c r="A164">
        <v>15741</v>
      </c>
      <c r="B164">
        <v>454871646</v>
      </c>
      <c r="C164" t="s">
        <v>744</v>
      </c>
      <c r="D164" s="9" t="s">
        <v>745</v>
      </c>
      <c r="E164" t="s">
        <v>174</v>
      </c>
      <c r="G164" t="s">
        <v>53</v>
      </c>
      <c r="H164" t="s">
        <v>54</v>
      </c>
      <c r="I164" t="s">
        <v>36</v>
      </c>
      <c r="J164" t="s">
        <v>52</v>
      </c>
      <c r="K164" t="s">
        <v>29</v>
      </c>
      <c r="L164" t="s">
        <v>55</v>
      </c>
      <c r="M164" t="s">
        <v>746</v>
      </c>
      <c r="N164" t="s">
        <v>176</v>
      </c>
      <c r="O164" t="s">
        <v>75</v>
      </c>
      <c r="P164" t="s">
        <v>747</v>
      </c>
      <c r="Q164" t="s">
        <v>118</v>
      </c>
      <c r="R164" s="29" t="s">
        <v>748</v>
      </c>
      <c r="S164">
        <v>26.67</v>
      </c>
      <c r="T164">
        <v>16593</v>
      </c>
      <c r="U164">
        <v>13199.94</v>
      </c>
      <c r="V164">
        <v>29792.940000000002</v>
      </c>
    </row>
    <row r="165" spans="1:22" x14ac:dyDescent="0.3">
      <c r="A165">
        <v>15741</v>
      </c>
      <c r="B165">
        <v>454795246</v>
      </c>
      <c r="C165" t="s">
        <v>749</v>
      </c>
      <c r="D165" s="9" t="s">
        <v>750</v>
      </c>
      <c r="E165" t="s">
        <v>174</v>
      </c>
      <c r="G165" t="s">
        <v>53</v>
      </c>
      <c r="H165" t="s">
        <v>54</v>
      </c>
      <c r="I165" t="s">
        <v>36</v>
      </c>
      <c r="J165" t="s">
        <v>52</v>
      </c>
      <c r="K165" t="s">
        <v>29</v>
      </c>
      <c r="L165" t="s">
        <v>55</v>
      </c>
      <c r="M165" t="s">
        <v>751</v>
      </c>
      <c r="N165" t="s">
        <v>176</v>
      </c>
      <c r="O165" t="s">
        <v>75</v>
      </c>
      <c r="P165" t="s">
        <v>752</v>
      </c>
      <c r="Q165" t="s">
        <v>47</v>
      </c>
      <c r="R165" s="29" t="s">
        <v>753</v>
      </c>
      <c r="S165">
        <v>20.79</v>
      </c>
      <c r="T165">
        <v>8303</v>
      </c>
      <c r="U165">
        <v>1619.94</v>
      </c>
      <c r="V165">
        <v>9922.94</v>
      </c>
    </row>
    <row r="166" spans="1:22" x14ac:dyDescent="0.3">
      <c r="A166">
        <v>15741</v>
      </c>
      <c r="B166">
        <v>454794350</v>
      </c>
      <c r="C166" t="s">
        <v>754</v>
      </c>
      <c r="D166" s="9" t="s">
        <v>755</v>
      </c>
      <c r="E166" t="s">
        <v>174</v>
      </c>
      <c r="G166" t="s">
        <v>53</v>
      </c>
      <c r="H166" t="s">
        <v>54</v>
      </c>
      <c r="I166" t="s">
        <v>36</v>
      </c>
      <c r="J166" t="s">
        <v>52</v>
      </c>
      <c r="K166" t="s">
        <v>29</v>
      </c>
      <c r="L166" t="s">
        <v>55</v>
      </c>
      <c r="M166" t="s">
        <v>756</v>
      </c>
      <c r="N166" t="s">
        <v>176</v>
      </c>
      <c r="O166" t="s">
        <v>75</v>
      </c>
      <c r="P166" t="s">
        <v>757</v>
      </c>
      <c r="Q166" t="s">
        <v>79</v>
      </c>
      <c r="R166" s="29" t="s">
        <v>168</v>
      </c>
      <c r="S166">
        <v>20.309999999999999</v>
      </c>
      <c r="T166">
        <v>13306</v>
      </c>
      <c r="U166">
        <v>1619.94</v>
      </c>
      <c r="V166">
        <v>14925.94</v>
      </c>
    </row>
    <row r="167" spans="1:22" x14ac:dyDescent="0.3">
      <c r="A167">
        <v>15741</v>
      </c>
      <c r="B167">
        <v>454535444</v>
      </c>
      <c r="C167" t="s">
        <v>758</v>
      </c>
      <c r="D167" s="9" t="s">
        <v>759</v>
      </c>
      <c r="E167" t="s">
        <v>174</v>
      </c>
      <c r="G167" t="s">
        <v>53</v>
      </c>
      <c r="H167" t="s">
        <v>54</v>
      </c>
      <c r="I167" t="s">
        <v>36</v>
      </c>
      <c r="J167" t="s">
        <v>52</v>
      </c>
      <c r="K167" t="s">
        <v>29</v>
      </c>
      <c r="L167" t="s">
        <v>55</v>
      </c>
      <c r="M167" t="s">
        <v>760</v>
      </c>
      <c r="N167" t="s">
        <v>176</v>
      </c>
      <c r="O167" t="s">
        <v>75</v>
      </c>
      <c r="P167" t="s">
        <v>761</v>
      </c>
      <c r="Q167" t="s">
        <v>121</v>
      </c>
      <c r="R167" s="29" t="s">
        <v>762</v>
      </c>
      <c r="S167">
        <v>23.02</v>
      </c>
      <c r="T167">
        <v>40272</v>
      </c>
      <c r="U167">
        <v>1079.8800000000001</v>
      </c>
      <c r="V167">
        <v>41351.879999999997</v>
      </c>
    </row>
    <row r="168" spans="1:22" x14ac:dyDescent="0.3">
      <c r="A168">
        <v>15741</v>
      </c>
      <c r="B168">
        <v>454550038</v>
      </c>
      <c r="C168" t="s">
        <v>763</v>
      </c>
      <c r="D168" s="9" t="s">
        <v>764</v>
      </c>
      <c r="E168" t="s">
        <v>174</v>
      </c>
      <c r="G168" t="s">
        <v>53</v>
      </c>
      <c r="H168" t="s">
        <v>54</v>
      </c>
      <c r="I168" t="s">
        <v>36</v>
      </c>
      <c r="J168" t="s">
        <v>52</v>
      </c>
      <c r="K168" t="s">
        <v>29</v>
      </c>
      <c r="L168" t="s">
        <v>55</v>
      </c>
      <c r="M168" t="s">
        <v>765</v>
      </c>
      <c r="N168" t="s">
        <v>176</v>
      </c>
      <c r="O168" t="s">
        <v>75</v>
      </c>
      <c r="P168" t="s">
        <v>766</v>
      </c>
      <c r="Q168" t="s">
        <v>69</v>
      </c>
      <c r="R168" s="29" t="s">
        <v>95</v>
      </c>
      <c r="S168">
        <v>48.41</v>
      </c>
      <c r="T168">
        <v>21527</v>
      </c>
      <c r="U168">
        <v>1019.94</v>
      </c>
      <c r="V168">
        <v>22546.94</v>
      </c>
    </row>
    <row r="169" spans="1:22" x14ac:dyDescent="0.3">
      <c r="A169">
        <v>15741</v>
      </c>
      <c r="B169">
        <v>454535375</v>
      </c>
      <c r="C169" t="s">
        <v>767</v>
      </c>
      <c r="D169" s="9" t="s">
        <v>768</v>
      </c>
      <c r="E169" t="s">
        <v>174</v>
      </c>
      <c r="G169" t="s">
        <v>53</v>
      </c>
      <c r="H169" t="s">
        <v>54</v>
      </c>
      <c r="I169" t="s">
        <v>36</v>
      </c>
      <c r="J169" t="s">
        <v>52</v>
      </c>
      <c r="K169" t="s">
        <v>29</v>
      </c>
      <c r="L169" t="s">
        <v>55</v>
      </c>
      <c r="M169" t="s">
        <v>769</v>
      </c>
      <c r="N169" t="s">
        <v>176</v>
      </c>
      <c r="O169" t="s">
        <v>75</v>
      </c>
      <c r="P169" t="s">
        <v>770</v>
      </c>
      <c r="Q169" t="s">
        <v>33</v>
      </c>
      <c r="R169" s="29" t="s">
        <v>771</v>
      </c>
      <c r="S169">
        <v>10.06</v>
      </c>
      <c r="T169">
        <v>5943</v>
      </c>
      <c r="U169">
        <v>0</v>
      </c>
      <c r="V169">
        <v>5943</v>
      </c>
    </row>
    <row r="170" spans="1:22" x14ac:dyDescent="0.3">
      <c r="A170">
        <v>15741</v>
      </c>
      <c r="B170">
        <v>454431827</v>
      </c>
      <c r="C170" t="s">
        <v>772</v>
      </c>
      <c r="D170" s="9" t="s">
        <v>773</v>
      </c>
      <c r="E170" t="s">
        <v>174</v>
      </c>
      <c r="G170" t="s">
        <v>53</v>
      </c>
      <c r="H170" t="s">
        <v>54</v>
      </c>
      <c r="I170" t="s">
        <v>36</v>
      </c>
      <c r="J170" t="s">
        <v>52</v>
      </c>
      <c r="K170" t="s">
        <v>29</v>
      </c>
      <c r="L170" t="s">
        <v>55</v>
      </c>
      <c r="M170" t="s">
        <v>774</v>
      </c>
      <c r="N170" t="s">
        <v>176</v>
      </c>
      <c r="O170" t="s">
        <v>75</v>
      </c>
      <c r="P170" t="s">
        <v>775</v>
      </c>
      <c r="Q170" t="s">
        <v>155</v>
      </c>
      <c r="R170" s="29" t="s">
        <v>776</v>
      </c>
      <c r="S170">
        <v>71.53</v>
      </c>
      <c r="T170">
        <v>30995</v>
      </c>
      <c r="U170">
        <v>1019.94</v>
      </c>
      <c r="V170">
        <v>32014.94</v>
      </c>
    </row>
    <row r="171" spans="1:22" x14ac:dyDescent="0.3">
      <c r="A171">
        <v>15741</v>
      </c>
      <c r="B171">
        <v>454421338</v>
      </c>
      <c r="C171" t="s">
        <v>777</v>
      </c>
      <c r="D171" s="9" t="s">
        <v>778</v>
      </c>
      <c r="E171" t="s">
        <v>174</v>
      </c>
      <c r="G171" t="s">
        <v>53</v>
      </c>
      <c r="H171" t="s">
        <v>54</v>
      </c>
      <c r="I171" t="s">
        <v>36</v>
      </c>
      <c r="J171" t="s">
        <v>52</v>
      </c>
      <c r="K171" t="s">
        <v>29</v>
      </c>
      <c r="L171" t="s">
        <v>55</v>
      </c>
      <c r="M171" t="s">
        <v>779</v>
      </c>
      <c r="N171" t="s">
        <v>176</v>
      </c>
      <c r="O171" t="s">
        <v>75</v>
      </c>
      <c r="P171" t="s">
        <v>780</v>
      </c>
      <c r="Q171" t="s">
        <v>46</v>
      </c>
      <c r="R171" s="29" t="s">
        <v>781</v>
      </c>
      <c r="S171">
        <v>14.04</v>
      </c>
      <c r="T171">
        <v>5943</v>
      </c>
      <c r="U171">
        <v>959.88</v>
      </c>
      <c r="V171">
        <v>6902.88</v>
      </c>
    </row>
    <row r="172" spans="1:22" x14ac:dyDescent="0.3">
      <c r="A172">
        <v>15741</v>
      </c>
      <c r="B172">
        <v>454532381</v>
      </c>
      <c r="C172" t="s">
        <v>782</v>
      </c>
      <c r="D172" s="9" t="s">
        <v>783</v>
      </c>
      <c r="E172" t="s">
        <v>174</v>
      </c>
      <c r="G172" t="s">
        <v>53</v>
      </c>
      <c r="H172" t="s">
        <v>54</v>
      </c>
      <c r="I172" t="s">
        <v>36</v>
      </c>
      <c r="J172" t="s">
        <v>52</v>
      </c>
      <c r="K172" t="s">
        <v>29</v>
      </c>
      <c r="L172" t="s">
        <v>55</v>
      </c>
      <c r="M172" t="s">
        <v>784</v>
      </c>
      <c r="N172" t="s">
        <v>176</v>
      </c>
      <c r="O172" t="s">
        <v>75</v>
      </c>
      <c r="P172" t="s">
        <v>785</v>
      </c>
      <c r="Q172" t="s">
        <v>66</v>
      </c>
      <c r="R172" s="29" t="s">
        <v>786</v>
      </c>
      <c r="S172">
        <v>10.26</v>
      </c>
      <c r="T172">
        <v>10408</v>
      </c>
      <c r="U172">
        <v>1019.88</v>
      </c>
      <c r="V172">
        <v>11427.88</v>
      </c>
    </row>
    <row r="173" spans="1:22" x14ac:dyDescent="0.3">
      <c r="A173">
        <v>15741</v>
      </c>
      <c r="B173">
        <v>454551094</v>
      </c>
      <c r="C173" t="s">
        <v>787</v>
      </c>
      <c r="D173" s="9" t="s">
        <v>788</v>
      </c>
      <c r="E173" t="s">
        <v>174</v>
      </c>
      <c r="G173" t="s">
        <v>53</v>
      </c>
      <c r="H173" t="s">
        <v>54</v>
      </c>
      <c r="I173" t="s">
        <v>36</v>
      </c>
      <c r="J173" t="s">
        <v>52</v>
      </c>
      <c r="K173" t="s">
        <v>29</v>
      </c>
      <c r="L173" t="s">
        <v>55</v>
      </c>
      <c r="M173" t="s">
        <v>789</v>
      </c>
      <c r="N173" t="s">
        <v>176</v>
      </c>
      <c r="O173" t="s">
        <v>75</v>
      </c>
      <c r="P173" t="s">
        <v>790</v>
      </c>
      <c r="Q173" t="s">
        <v>153</v>
      </c>
      <c r="R173" s="29" t="s">
        <v>791</v>
      </c>
      <c r="S173">
        <v>48.46</v>
      </c>
      <c r="T173">
        <v>21527</v>
      </c>
      <c r="U173">
        <v>1019.94</v>
      </c>
      <c r="V173">
        <v>22546.94</v>
      </c>
    </row>
    <row r="174" spans="1:22" x14ac:dyDescent="0.3">
      <c r="A174">
        <v>15741</v>
      </c>
      <c r="B174">
        <v>454535206</v>
      </c>
      <c r="C174" t="s">
        <v>792</v>
      </c>
      <c r="D174" s="9" t="s">
        <v>793</v>
      </c>
      <c r="E174" t="s">
        <v>174</v>
      </c>
      <c r="G174" t="s">
        <v>53</v>
      </c>
      <c r="H174" t="s">
        <v>54</v>
      </c>
      <c r="I174" t="s">
        <v>36</v>
      </c>
      <c r="J174" t="s">
        <v>52</v>
      </c>
      <c r="K174" t="s">
        <v>29</v>
      </c>
      <c r="L174" t="s">
        <v>55</v>
      </c>
      <c r="M174" t="s">
        <v>794</v>
      </c>
      <c r="N174" t="s">
        <v>176</v>
      </c>
      <c r="O174" t="s">
        <v>75</v>
      </c>
      <c r="P174" t="s">
        <v>795</v>
      </c>
      <c r="Q174" t="s">
        <v>69</v>
      </c>
      <c r="R174" s="29" t="s">
        <v>796</v>
      </c>
      <c r="S174">
        <v>48.39</v>
      </c>
      <c r="T174">
        <v>21527</v>
      </c>
      <c r="U174">
        <v>1019.94</v>
      </c>
      <c r="V174">
        <v>22546.94</v>
      </c>
    </row>
    <row r="175" spans="1:22" x14ac:dyDescent="0.3">
      <c r="A175">
        <v>15741</v>
      </c>
      <c r="B175">
        <v>454533353</v>
      </c>
      <c r="C175" t="s">
        <v>797</v>
      </c>
      <c r="D175" s="9" t="s">
        <v>798</v>
      </c>
      <c r="E175" t="s">
        <v>174</v>
      </c>
      <c r="G175" t="s">
        <v>53</v>
      </c>
      <c r="H175" t="s">
        <v>54</v>
      </c>
      <c r="I175" t="s">
        <v>36</v>
      </c>
      <c r="J175" t="s">
        <v>52</v>
      </c>
      <c r="K175" t="s">
        <v>29</v>
      </c>
      <c r="L175" t="s">
        <v>55</v>
      </c>
      <c r="M175" t="s">
        <v>799</v>
      </c>
      <c r="N175" t="s">
        <v>176</v>
      </c>
      <c r="O175" t="s">
        <v>75</v>
      </c>
      <c r="P175" t="s">
        <v>800</v>
      </c>
      <c r="Q175" t="s">
        <v>47</v>
      </c>
      <c r="R175" s="29" t="s">
        <v>801</v>
      </c>
      <c r="S175">
        <v>25.56</v>
      </c>
      <c r="T175">
        <v>10666</v>
      </c>
      <c r="U175">
        <v>1499.94</v>
      </c>
      <c r="V175">
        <v>12165.94</v>
      </c>
    </row>
    <row r="176" spans="1:22" x14ac:dyDescent="0.3">
      <c r="A176">
        <v>15741</v>
      </c>
      <c r="B176">
        <v>454533836</v>
      </c>
      <c r="C176" t="s">
        <v>802</v>
      </c>
      <c r="D176" s="9" t="s">
        <v>803</v>
      </c>
      <c r="E176" t="s">
        <v>174</v>
      </c>
      <c r="G176" t="s">
        <v>53</v>
      </c>
      <c r="H176" t="s">
        <v>54</v>
      </c>
      <c r="I176" t="s">
        <v>36</v>
      </c>
      <c r="J176" t="s">
        <v>52</v>
      </c>
      <c r="K176" t="s">
        <v>29</v>
      </c>
      <c r="L176" t="s">
        <v>55</v>
      </c>
      <c r="M176" t="s">
        <v>804</v>
      </c>
      <c r="N176" t="s">
        <v>176</v>
      </c>
      <c r="O176" t="s">
        <v>75</v>
      </c>
      <c r="P176" t="s">
        <v>805</v>
      </c>
      <c r="Q176" t="s">
        <v>30</v>
      </c>
      <c r="R176" s="29" t="s">
        <v>806</v>
      </c>
      <c r="S176">
        <v>26.3</v>
      </c>
      <c r="T176">
        <v>11136</v>
      </c>
      <c r="U176">
        <v>1499.94</v>
      </c>
      <c r="V176">
        <v>12635.94</v>
      </c>
    </row>
    <row r="177" spans="1:22" x14ac:dyDescent="0.3">
      <c r="A177">
        <v>15741</v>
      </c>
      <c r="B177">
        <v>454533946</v>
      </c>
      <c r="C177" t="s">
        <v>807</v>
      </c>
      <c r="D177" s="9" t="s">
        <v>808</v>
      </c>
      <c r="E177" t="s">
        <v>174</v>
      </c>
      <c r="G177" t="s">
        <v>53</v>
      </c>
      <c r="H177" t="s">
        <v>54</v>
      </c>
      <c r="I177" t="s">
        <v>36</v>
      </c>
      <c r="J177" t="s">
        <v>52</v>
      </c>
      <c r="K177" t="s">
        <v>29</v>
      </c>
      <c r="L177" t="s">
        <v>55</v>
      </c>
      <c r="M177" t="s">
        <v>809</v>
      </c>
      <c r="N177" t="s">
        <v>176</v>
      </c>
      <c r="O177" t="s">
        <v>75</v>
      </c>
      <c r="P177" t="s">
        <v>810</v>
      </c>
      <c r="Q177" t="s">
        <v>153</v>
      </c>
      <c r="R177" s="29" t="s">
        <v>811</v>
      </c>
      <c r="S177">
        <v>21.77</v>
      </c>
      <c r="T177">
        <v>8777</v>
      </c>
      <c r="U177">
        <v>1439.82</v>
      </c>
      <c r="V177">
        <v>10216.82</v>
      </c>
    </row>
    <row r="178" spans="1:22" x14ac:dyDescent="0.3">
      <c r="A178">
        <v>15741</v>
      </c>
      <c r="B178">
        <v>454534997</v>
      </c>
      <c r="C178" t="s">
        <v>812</v>
      </c>
      <c r="D178" s="9" t="s">
        <v>813</v>
      </c>
      <c r="E178" t="s">
        <v>174</v>
      </c>
      <c r="G178" t="s">
        <v>53</v>
      </c>
      <c r="H178" t="s">
        <v>54</v>
      </c>
      <c r="I178" t="s">
        <v>36</v>
      </c>
      <c r="J178" t="s">
        <v>52</v>
      </c>
      <c r="K178" t="s">
        <v>29</v>
      </c>
      <c r="L178" t="s">
        <v>55</v>
      </c>
      <c r="M178" t="s">
        <v>814</v>
      </c>
      <c r="N178" t="s">
        <v>176</v>
      </c>
      <c r="O178" t="s">
        <v>75</v>
      </c>
      <c r="P178" t="s">
        <v>815</v>
      </c>
      <c r="Q178" t="s">
        <v>93</v>
      </c>
      <c r="R178" s="29" t="s">
        <v>816</v>
      </c>
      <c r="S178">
        <v>4.4000000000000004</v>
      </c>
      <c r="T178">
        <v>8343</v>
      </c>
      <c r="U178">
        <v>0</v>
      </c>
      <c r="V178">
        <v>8343</v>
      </c>
    </row>
    <row r="179" spans="1:22" x14ac:dyDescent="0.3">
      <c r="A179">
        <v>15741</v>
      </c>
      <c r="B179">
        <v>454535109</v>
      </c>
      <c r="C179" t="s">
        <v>817</v>
      </c>
      <c r="D179" s="9" t="s">
        <v>818</v>
      </c>
      <c r="E179" t="s">
        <v>174</v>
      </c>
      <c r="G179" t="s">
        <v>53</v>
      </c>
      <c r="H179" t="s">
        <v>54</v>
      </c>
      <c r="I179" t="s">
        <v>36</v>
      </c>
      <c r="J179" t="s">
        <v>52</v>
      </c>
      <c r="K179" t="s">
        <v>29</v>
      </c>
      <c r="L179" t="s">
        <v>55</v>
      </c>
      <c r="M179" t="s">
        <v>819</v>
      </c>
      <c r="N179" t="s">
        <v>176</v>
      </c>
      <c r="O179" t="s">
        <v>75</v>
      </c>
      <c r="P179" t="s">
        <v>820</v>
      </c>
      <c r="Q179" t="s">
        <v>139</v>
      </c>
      <c r="R179" s="29" t="s">
        <v>821</v>
      </c>
      <c r="S179">
        <v>11.46</v>
      </c>
      <c r="T179">
        <v>19214</v>
      </c>
      <c r="U179">
        <v>539.94000000000005</v>
      </c>
      <c r="V179">
        <v>19753.939999999999</v>
      </c>
    </row>
    <row r="180" spans="1:22" x14ac:dyDescent="0.3">
      <c r="A180">
        <v>15741</v>
      </c>
      <c r="B180">
        <v>454419968</v>
      </c>
      <c r="C180" t="s">
        <v>822</v>
      </c>
      <c r="D180" s="9" t="s">
        <v>823</v>
      </c>
      <c r="E180" t="s">
        <v>174</v>
      </c>
      <c r="G180" t="s">
        <v>53</v>
      </c>
      <c r="H180" t="s">
        <v>54</v>
      </c>
      <c r="I180" t="s">
        <v>36</v>
      </c>
      <c r="J180" t="s">
        <v>52</v>
      </c>
      <c r="K180" t="s">
        <v>29</v>
      </c>
      <c r="L180" t="s">
        <v>55</v>
      </c>
      <c r="M180" t="s">
        <v>824</v>
      </c>
      <c r="N180" t="s">
        <v>176</v>
      </c>
      <c r="O180" t="s">
        <v>75</v>
      </c>
      <c r="P180" t="s">
        <v>825</v>
      </c>
      <c r="Q180" t="s">
        <v>87</v>
      </c>
      <c r="R180" s="29" t="s">
        <v>826</v>
      </c>
      <c r="S180">
        <v>86.07</v>
      </c>
      <c r="T180">
        <v>49313</v>
      </c>
      <c r="U180">
        <v>1199.94</v>
      </c>
      <c r="V180">
        <v>50512.94</v>
      </c>
    </row>
    <row r="181" spans="1:22" x14ac:dyDescent="0.3">
      <c r="A181">
        <v>15741</v>
      </c>
      <c r="B181">
        <v>454551121</v>
      </c>
      <c r="C181" t="s">
        <v>827</v>
      </c>
      <c r="D181" s="9" t="s">
        <v>828</v>
      </c>
      <c r="E181" t="s">
        <v>174</v>
      </c>
      <c r="G181" t="s">
        <v>53</v>
      </c>
      <c r="H181" t="s">
        <v>54</v>
      </c>
      <c r="I181" t="s">
        <v>36</v>
      </c>
      <c r="J181" t="s">
        <v>52</v>
      </c>
      <c r="K181" t="s">
        <v>29</v>
      </c>
      <c r="L181" t="s">
        <v>55</v>
      </c>
      <c r="M181" t="s">
        <v>829</v>
      </c>
      <c r="N181" t="s">
        <v>176</v>
      </c>
      <c r="O181" t="s">
        <v>75</v>
      </c>
      <c r="P181" t="s">
        <v>830</v>
      </c>
      <c r="Q181" t="s">
        <v>74</v>
      </c>
      <c r="R181" s="29" t="s">
        <v>791</v>
      </c>
      <c r="S181">
        <v>54.81</v>
      </c>
      <c r="T181">
        <v>24045</v>
      </c>
      <c r="U181">
        <v>1799.88</v>
      </c>
      <c r="V181">
        <v>25844.880000000001</v>
      </c>
    </row>
    <row r="182" spans="1:22" x14ac:dyDescent="0.3">
      <c r="A182">
        <v>15741</v>
      </c>
      <c r="B182">
        <v>454532512</v>
      </c>
      <c r="C182" t="s">
        <v>831</v>
      </c>
      <c r="D182" s="9" t="s">
        <v>832</v>
      </c>
      <c r="E182" t="s">
        <v>174</v>
      </c>
      <c r="G182" t="s">
        <v>53</v>
      </c>
      <c r="H182" t="s">
        <v>54</v>
      </c>
      <c r="I182" t="s">
        <v>36</v>
      </c>
      <c r="J182" t="s">
        <v>52</v>
      </c>
      <c r="K182" t="s">
        <v>29</v>
      </c>
      <c r="L182" t="s">
        <v>55</v>
      </c>
      <c r="M182" t="s">
        <v>833</v>
      </c>
      <c r="N182" t="s">
        <v>176</v>
      </c>
      <c r="O182" t="s">
        <v>75</v>
      </c>
      <c r="P182" t="s">
        <v>834</v>
      </c>
      <c r="Q182" t="s">
        <v>111</v>
      </c>
      <c r="R182" s="29" t="s">
        <v>835</v>
      </c>
      <c r="S182">
        <v>13.48</v>
      </c>
      <c r="T182">
        <v>10217</v>
      </c>
      <c r="U182">
        <v>539.94000000000005</v>
      </c>
      <c r="V182">
        <v>10756.94</v>
      </c>
    </row>
    <row r="183" spans="1:22" x14ac:dyDescent="0.3">
      <c r="A183">
        <v>15741</v>
      </c>
      <c r="B183">
        <v>454534019</v>
      </c>
      <c r="C183" t="s">
        <v>836</v>
      </c>
      <c r="D183" s="9" t="s">
        <v>837</v>
      </c>
      <c r="E183" t="s">
        <v>174</v>
      </c>
      <c r="G183" t="s">
        <v>53</v>
      </c>
      <c r="H183" t="s">
        <v>54</v>
      </c>
      <c r="I183" t="s">
        <v>36</v>
      </c>
      <c r="J183" t="s">
        <v>52</v>
      </c>
      <c r="K183" t="s">
        <v>29</v>
      </c>
      <c r="L183" t="s">
        <v>55</v>
      </c>
      <c r="M183" t="s">
        <v>838</v>
      </c>
      <c r="N183" t="s">
        <v>176</v>
      </c>
      <c r="O183" t="s">
        <v>75</v>
      </c>
      <c r="P183" t="s">
        <v>839</v>
      </c>
      <c r="Q183" t="s">
        <v>112</v>
      </c>
      <c r="R183" s="29" t="s">
        <v>840</v>
      </c>
      <c r="S183">
        <v>7.3</v>
      </c>
      <c r="T183">
        <v>10865</v>
      </c>
      <c r="U183">
        <v>959.88</v>
      </c>
      <c r="V183">
        <v>11824.88</v>
      </c>
    </row>
    <row r="184" spans="1:22" x14ac:dyDescent="0.3">
      <c r="A184">
        <v>15741</v>
      </c>
      <c r="B184">
        <v>454532634</v>
      </c>
      <c r="C184" t="s">
        <v>841</v>
      </c>
      <c r="D184" s="9" t="s">
        <v>842</v>
      </c>
      <c r="E184" t="s">
        <v>174</v>
      </c>
      <c r="G184" t="s">
        <v>53</v>
      </c>
      <c r="H184" t="s">
        <v>54</v>
      </c>
      <c r="I184" t="s">
        <v>36</v>
      </c>
      <c r="J184" t="s">
        <v>52</v>
      </c>
      <c r="K184" t="s">
        <v>29</v>
      </c>
      <c r="L184" t="s">
        <v>55</v>
      </c>
      <c r="M184" t="s">
        <v>843</v>
      </c>
      <c r="N184" t="s">
        <v>176</v>
      </c>
      <c r="O184" t="s">
        <v>75</v>
      </c>
      <c r="P184" t="s">
        <v>844</v>
      </c>
      <c r="Q184" t="s">
        <v>90</v>
      </c>
      <c r="R184" s="29" t="s">
        <v>845</v>
      </c>
      <c r="S184">
        <v>72.66</v>
      </c>
      <c r="T184">
        <v>54200</v>
      </c>
      <c r="U184">
        <v>2219.94</v>
      </c>
      <c r="V184">
        <v>56419.94</v>
      </c>
    </row>
    <row r="185" spans="1:22" x14ac:dyDescent="0.3">
      <c r="A185">
        <v>15741</v>
      </c>
      <c r="B185">
        <v>454535307</v>
      </c>
      <c r="C185" t="s">
        <v>846</v>
      </c>
      <c r="D185" s="9" t="s">
        <v>847</v>
      </c>
      <c r="E185" t="s">
        <v>174</v>
      </c>
      <c r="G185" t="s">
        <v>53</v>
      </c>
      <c r="H185" t="s">
        <v>54</v>
      </c>
      <c r="I185" t="s">
        <v>36</v>
      </c>
      <c r="J185" t="s">
        <v>52</v>
      </c>
      <c r="K185" t="s">
        <v>29</v>
      </c>
      <c r="L185" t="s">
        <v>55</v>
      </c>
      <c r="M185" t="s">
        <v>848</v>
      </c>
      <c r="N185" t="s">
        <v>176</v>
      </c>
      <c r="O185" t="s">
        <v>75</v>
      </c>
      <c r="P185" t="s">
        <v>849</v>
      </c>
      <c r="Q185" t="s">
        <v>127</v>
      </c>
      <c r="R185" s="29" t="s">
        <v>850</v>
      </c>
      <c r="S185">
        <v>26.34</v>
      </c>
      <c r="T185">
        <v>16593</v>
      </c>
      <c r="U185">
        <v>1499.94</v>
      </c>
      <c r="V185">
        <v>18092.939999999999</v>
      </c>
    </row>
    <row r="186" spans="1:22" x14ac:dyDescent="0.3">
      <c r="A186">
        <v>15741</v>
      </c>
      <c r="B186">
        <v>454399036</v>
      </c>
      <c r="C186" t="s">
        <v>851</v>
      </c>
      <c r="D186" s="9" t="s">
        <v>852</v>
      </c>
      <c r="E186" t="s">
        <v>174</v>
      </c>
      <c r="G186" t="s">
        <v>53</v>
      </c>
      <c r="H186" t="s">
        <v>54</v>
      </c>
      <c r="I186" t="s">
        <v>36</v>
      </c>
      <c r="J186" t="s">
        <v>52</v>
      </c>
      <c r="K186" t="s">
        <v>29</v>
      </c>
      <c r="L186" t="s">
        <v>55</v>
      </c>
      <c r="M186" t="s">
        <v>853</v>
      </c>
      <c r="N186" t="s">
        <v>176</v>
      </c>
      <c r="O186" t="s">
        <v>75</v>
      </c>
      <c r="P186" t="s">
        <v>854</v>
      </c>
      <c r="Q186" t="s">
        <v>69</v>
      </c>
      <c r="R186" s="29" t="s">
        <v>855</v>
      </c>
      <c r="S186">
        <v>20.59</v>
      </c>
      <c r="T186">
        <v>8303</v>
      </c>
      <c r="U186">
        <v>1499.94</v>
      </c>
      <c r="V186">
        <v>9802.94</v>
      </c>
    </row>
    <row r="187" spans="1:22" x14ac:dyDescent="0.3">
      <c r="A187">
        <v>15741</v>
      </c>
      <c r="B187">
        <v>454535915</v>
      </c>
      <c r="C187" t="s">
        <v>856</v>
      </c>
      <c r="D187" s="9" t="s">
        <v>857</v>
      </c>
      <c r="E187" t="s">
        <v>174</v>
      </c>
      <c r="G187" t="s">
        <v>53</v>
      </c>
      <c r="H187" t="s">
        <v>54</v>
      </c>
      <c r="I187" t="s">
        <v>36</v>
      </c>
      <c r="J187" t="s">
        <v>52</v>
      </c>
      <c r="K187" t="s">
        <v>29</v>
      </c>
      <c r="L187" t="s">
        <v>55</v>
      </c>
      <c r="M187" t="s">
        <v>858</v>
      </c>
      <c r="N187" t="s">
        <v>176</v>
      </c>
      <c r="O187" t="s">
        <v>75</v>
      </c>
      <c r="P187" t="s">
        <v>859</v>
      </c>
      <c r="Q187" t="s">
        <v>46</v>
      </c>
      <c r="R187" s="29" t="s">
        <v>860</v>
      </c>
      <c r="S187">
        <v>11.67</v>
      </c>
      <c r="T187">
        <v>5943</v>
      </c>
      <c r="U187">
        <v>599.88</v>
      </c>
      <c r="V187">
        <v>6542.88</v>
      </c>
    </row>
    <row r="188" spans="1:22" x14ac:dyDescent="0.3">
      <c r="A188">
        <v>15741</v>
      </c>
      <c r="B188">
        <v>454533682</v>
      </c>
      <c r="C188" t="s">
        <v>861</v>
      </c>
      <c r="D188" s="9" t="s">
        <v>862</v>
      </c>
      <c r="E188" t="s">
        <v>174</v>
      </c>
      <c r="G188" t="s">
        <v>53</v>
      </c>
      <c r="H188" t="s">
        <v>54</v>
      </c>
      <c r="I188" t="s">
        <v>36</v>
      </c>
      <c r="J188" t="s">
        <v>52</v>
      </c>
      <c r="K188" t="s">
        <v>29</v>
      </c>
      <c r="L188" t="s">
        <v>55</v>
      </c>
      <c r="M188" t="s">
        <v>863</v>
      </c>
      <c r="N188" t="s">
        <v>176</v>
      </c>
      <c r="O188" t="s">
        <v>75</v>
      </c>
      <c r="P188" t="s">
        <v>864</v>
      </c>
      <c r="Q188" t="s">
        <v>141</v>
      </c>
      <c r="R188" s="29" t="s">
        <v>865</v>
      </c>
      <c r="S188">
        <v>7.31</v>
      </c>
      <c r="T188">
        <v>10865</v>
      </c>
      <c r="U188">
        <v>0</v>
      </c>
      <c r="V188">
        <v>10865</v>
      </c>
    </row>
    <row r="189" spans="1:22" x14ac:dyDescent="0.3">
      <c r="A189">
        <v>15741</v>
      </c>
      <c r="B189">
        <v>454535549</v>
      </c>
      <c r="C189" t="s">
        <v>866</v>
      </c>
      <c r="D189" s="9" t="s">
        <v>867</v>
      </c>
      <c r="E189" t="s">
        <v>174</v>
      </c>
      <c r="G189" t="s">
        <v>53</v>
      </c>
      <c r="H189" t="s">
        <v>54</v>
      </c>
      <c r="I189" t="s">
        <v>36</v>
      </c>
      <c r="J189" t="s">
        <v>52</v>
      </c>
      <c r="K189" t="s">
        <v>29</v>
      </c>
      <c r="L189" t="s">
        <v>55</v>
      </c>
      <c r="M189" t="s">
        <v>868</v>
      </c>
      <c r="N189" t="s">
        <v>176</v>
      </c>
      <c r="O189" t="s">
        <v>75</v>
      </c>
      <c r="P189" t="s">
        <v>869</v>
      </c>
      <c r="Q189" t="s">
        <v>120</v>
      </c>
      <c r="R189" s="29" t="s">
        <v>870</v>
      </c>
      <c r="S189">
        <v>30.24</v>
      </c>
      <c r="T189">
        <v>25392</v>
      </c>
      <c r="U189">
        <v>1499.94</v>
      </c>
      <c r="V189">
        <v>26891.94</v>
      </c>
    </row>
    <row r="190" spans="1:22" x14ac:dyDescent="0.3">
      <c r="A190">
        <v>15741</v>
      </c>
      <c r="B190">
        <v>454536000</v>
      </c>
      <c r="C190" t="s">
        <v>871</v>
      </c>
      <c r="D190" s="9" t="s">
        <v>872</v>
      </c>
      <c r="E190" t="s">
        <v>174</v>
      </c>
      <c r="G190" t="s">
        <v>53</v>
      </c>
      <c r="H190" t="s">
        <v>54</v>
      </c>
      <c r="I190" t="s">
        <v>36</v>
      </c>
      <c r="J190" t="s">
        <v>52</v>
      </c>
      <c r="K190" t="s">
        <v>29</v>
      </c>
      <c r="L190" t="s">
        <v>55</v>
      </c>
      <c r="M190" t="s">
        <v>873</v>
      </c>
      <c r="N190" t="s">
        <v>176</v>
      </c>
      <c r="O190" t="s">
        <v>75</v>
      </c>
      <c r="P190" t="s">
        <v>874</v>
      </c>
      <c r="Q190" t="s">
        <v>80</v>
      </c>
      <c r="R190" s="29" t="s">
        <v>875</v>
      </c>
      <c r="S190">
        <v>11.75</v>
      </c>
      <c r="T190">
        <v>12809</v>
      </c>
      <c r="U190">
        <v>0</v>
      </c>
      <c r="V190">
        <v>12809</v>
      </c>
    </row>
    <row r="191" spans="1:22" x14ac:dyDescent="0.3">
      <c r="A191">
        <v>15741</v>
      </c>
      <c r="B191">
        <v>454532944</v>
      </c>
      <c r="C191" t="s">
        <v>876</v>
      </c>
      <c r="D191" s="9" t="s">
        <v>877</v>
      </c>
      <c r="E191" t="s">
        <v>174</v>
      </c>
      <c r="G191" t="s">
        <v>53</v>
      </c>
      <c r="H191" t="s">
        <v>54</v>
      </c>
      <c r="I191" t="s">
        <v>36</v>
      </c>
      <c r="J191" t="s">
        <v>52</v>
      </c>
      <c r="K191" t="s">
        <v>29</v>
      </c>
      <c r="L191" t="s">
        <v>55</v>
      </c>
      <c r="M191" t="s">
        <v>878</v>
      </c>
      <c r="N191" t="s">
        <v>176</v>
      </c>
      <c r="O191" t="s">
        <v>75</v>
      </c>
      <c r="P191" t="s">
        <v>879</v>
      </c>
      <c r="Q191" t="s">
        <v>77</v>
      </c>
      <c r="R191" s="29" t="s">
        <v>880</v>
      </c>
      <c r="S191">
        <v>26.45</v>
      </c>
      <c r="T191">
        <v>20621</v>
      </c>
      <c r="U191">
        <v>1499.94</v>
      </c>
      <c r="V191">
        <v>22120.94</v>
      </c>
    </row>
    <row r="192" spans="1:22" x14ac:dyDescent="0.3">
      <c r="A192">
        <v>15741</v>
      </c>
      <c r="B192">
        <v>454812364</v>
      </c>
      <c r="C192" t="s">
        <v>881</v>
      </c>
      <c r="D192" s="9" t="s">
        <v>882</v>
      </c>
      <c r="E192" t="s">
        <v>174</v>
      </c>
      <c r="G192" t="s">
        <v>53</v>
      </c>
      <c r="H192" t="s">
        <v>54</v>
      </c>
      <c r="I192" t="s">
        <v>36</v>
      </c>
      <c r="J192" t="s">
        <v>52</v>
      </c>
      <c r="K192" t="s">
        <v>29</v>
      </c>
      <c r="L192" t="s">
        <v>55</v>
      </c>
      <c r="M192" t="s">
        <v>883</v>
      </c>
      <c r="N192" t="s">
        <v>176</v>
      </c>
      <c r="O192" t="s">
        <v>75</v>
      </c>
      <c r="P192" t="s">
        <v>884</v>
      </c>
      <c r="Q192" t="s">
        <v>76</v>
      </c>
      <c r="R192" s="29" t="s">
        <v>885</v>
      </c>
      <c r="S192">
        <v>257.54000000000002</v>
      </c>
      <c r="T192">
        <v>97272</v>
      </c>
      <c r="U192">
        <v>11399.94</v>
      </c>
      <c r="V192">
        <v>108671.94</v>
      </c>
    </row>
    <row r="193" spans="1:22" x14ac:dyDescent="0.3">
      <c r="A193">
        <v>15741</v>
      </c>
      <c r="B193">
        <v>454871560</v>
      </c>
      <c r="C193" t="s">
        <v>886</v>
      </c>
      <c r="D193" s="9" t="s">
        <v>887</v>
      </c>
      <c r="E193" t="s">
        <v>174</v>
      </c>
      <c r="G193" t="s">
        <v>53</v>
      </c>
      <c r="H193" t="s">
        <v>54</v>
      </c>
      <c r="I193" t="s">
        <v>36</v>
      </c>
      <c r="J193" t="s">
        <v>52</v>
      </c>
      <c r="K193" t="s">
        <v>29</v>
      </c>
      <c r="L193" t="s">
        <v>55</v>
      </c>
      <c r="M193" t="s">
        <v>888</v>
      </c>
      <c r="N193" t="s">
        <v>176</v>
      </c>
      <c r="O193" t="s">
        <v>75</v>
      </c>
      <c r="P193" t="s">
        <v>889</v>
      </c>
      <c r="Q193" t="s">
        <v>74</v>
      </c>
      <c r="R193" s="29" t="s">
        <v>890</v>
      </c>
      <c r="S193">
        <v>6.72</v>
      </c>
      <c r="T193">
        <v>5465</v>
      </c>
      <c r="U193">
        <v>0</v>
      </c>
      <c r="V193">
        <v>5465</v>
      </c>
    </row>
    <row r="194" spans="1:22" x14ac:dyDescent="0.3">
      <c r="A194">
        <v>15741</v>
      </c>
      <c r="B194">
        <v>454880378</v>
      </c>
      <c r="C194" t="s">
        <v>891</v>
      </c>
      <c r="D194" s="9" t="s">
        <v>892</v>
      </c>
      <c r="E194" t="s">
        <v>174</v>
      </c>
      <c r="G194" t="s">
        <v>53</v>
      </c>
      <c r="H194" t="s">
        <v>54</v>
      </c>
      <c r="I194" t="s">
        <v>36</v>
      </c>
      <c r="J194" t="s">
        <v>52</v>
      </c>
      <c r="K194" t="s">
        <v>29</v>
      </c>
      <c r="L194" t="s">
        <v>55</v>
      </c>
      <c r="M194" t="s">
        <v>893</v>
      </c>
      <c r="N194" t="s">
        <v>176</v>
      </c>
      <c r="O194" t="s">
        <v>75</v>
      </c>
      <c r="P194" t="s">
        <v>894</v>
      </c>
      <c r="Q194" t="s">
        <v>94</v>
      </c>
      <c r="R194" s="29" t="s">
        <v>895</v>
      </c>
      <c r="S194">
        <v>10.11</v>
      </c>
      <c r="T194">
        <v>5943</v>
      </c>
      <c r="U194">
        <v>839.88</v>
      </c>
      <c r="V194">
        <v>6782.88</v>
      </c>
    </row>
    <row r="195" spans="1:22" x14ac:dyDescent="0.3">
      <c r="A195">
        <v>15741</v>
      </c>
      <c r="B195">
        <v>454628964</v>
      </c>
      <c r="C195" t="s">
        <v>896</v>
      </c>
      <c r="D195" s="9" t="s">
        <v>897</v>
      </c>
      <c r="E195" t="s">
        <v>174</v>
      </c>
      <c r="G195" t="s">
        <v>53</v>
      </c>
      <c r="H195" t="s">
        <v>54</v>
      </c>
      <c r="I195" t="s">
        <v>36</v>
      </c>
      <c r="J195" t="s">
        <v>52</v>
      </c>
      <c r="K195" t="s">
        <v>29</v>
      </c>
      <c r="L195" t="s">
        <v>55</v>
      </c>
      <c r="M195" t="s">
        <v>898</v>
      </c>
      <c r="N195" t="s">
        <v>176</v>
      </c>
      <c r="O195" t="s">
        <v>75</v>
      </c>
      <c r="P195" t="s">
        <v>899</v>
      </c>
      <c r="Q195" t="s">
        <v>74</v>
      </c>
      <c r="R195" s="29" t="s">
        <v>900</v>
      </c>
      <c r="S195">
        <v>11.7</v>
      </c>
      <c r="T195">
        <v>5943</v>
      </c>
      <c r="U195">
        <v>599.88</v>
      </c>
      <c r="V195">
        <v>6542.88</v>
      </c>
    </row>
    <row r="196" spans="1:22" x14ac:dyDescent="0.3">
      <c r="A196">
        <v>15741</v>
      </c>
      <c r="B196">
        <v>454791679</v>
      </c>
      <c r="C196" t="s">
        <v>901</v>
      </c>
      <c r="D196" s="9" t="s">
        <v>902</v>
      </c>
      <c r="E196" t="s">
        <v>174</v>
      </c>
      <c r="G196" t="s">
        <v>53</v>
      </c>
      <c r="H196" t="s">
        <v>54</v>
      </c>
      <c r="I196" t="s">
        <v>36</v>
      </c>
      <c r="J196" t="s">
        <v>52</v>
      </c>
      <c r="K196" t="s">
        <v>29</v>
      </c>
      <c r="L196" t="s">
        <v>55</v>
      </c>
      <c r="M196" t="s">
        <v>903</v>
      </c>
      <c r="N196" t="s">
        <v>176</v>
      </c>
      <c r="O196" t="s">
        <v>75</v>
      </c>
      <c r="P196" t="s">
        <v>904</v>
      </c>
      <c r="Q196" t="s">
        <v>69</v>
      </c>
      <c r="R196" s="29" t="s">
        <v>905</v>
      </c>
      <c r="S196">
        <v>6.62</v>
      </c>
      <c r="T196">
        <v>5465</v>
      </c>
      <c r="U196">
        <v>2579.7600000000002</v>
      </c>
      <c r="V196">
        <v>8044.76</v>
      </c>
    </row>
    <row r="197" spans="1:22" x14ac:dyDescent="0.3">
      <c r="A197">
        <v>15741</v>
      </c>
      <c r="B197">
        <v>454802014</v>
      </c>
      <c r="C197" t="s">
        <v>906</v>
      </c>
      <c r="D197" s="9" t="s">
        <v>907</v>
      </c>
      <c r="E197" t="s">
        <v>174</v>
      </c>
      <c r="G197" t="s">
        <v>53</v>
      </c>
      <c r="H197" t="s">
        <v>54</v>
      </c>
      <c r="I197" t="s">
        <v>36</v>
      </c>
      <c r="J197" t="s">
        <v>52</v>
      </c>
      <c r="K197" t="s">
        <v>29</v>
      </c>
      <c r="L197" t="s">
        <v>55</v>
      </c>
      <c r="M197" t="s">
        <v>908</v>
      </c>
      <c r="N197" t="s">
        <v>176</v>
      </c>
      <c r="O197" t="s">
        <v>75</v>
      </c>
      <c r="P197" t="s">
        <v>909</v>
      </c>
      <c r="Q197" t="s">
        <v>48</v>
      </c>
      <c r="R197" s="29" t="s">
        <v>910</v>
      </c>
      <c r="S197">
        <v>11.75</v>
      </c>
      <c r="T197">
        <v>5943</v>
      </c>
      <c r="U197">
        <v>0</v>
      </c>
      <c r="V197">
        <v>5943</v>
      </c>
    </row>
    <row r="198" spans="1:22" x14ac:dyDescent="0.3">
      <c r="A198">
        <v>15741</v>
      </c>
      <c r="B198">
        <v>454885237</v>
      </c>
      <c r="C198" t="s">
        <v>911</v>
      </c>
      <c r="D198" s="9" t="s">
        <v>912</v>
      </c>
      <c r="E198" t="s">
        <v>174</v>
      </c>
      <c r="G198" t="s">
        <v>53</v>
      </c>
      <c r="H198" t="s">
        <v>54</v>
      </c>
      <c r="I198" t="s">
        <v>36</v>
      </c>
      <c r="J198" t="s">
        <v>52</v>
      </c>
      <c r="K198" t="s">
        <v>29</v>
      </c>
      <c r="L198" t="s">
        <v>55</v>
      </c>
      <c r="M198" t="s">
        <v>913</v>
      </c>
      <c r="N198" t="s">
        <v>176</v>
      </c>
      <c r="O198" t="s">
        <v>75</v>
      </c>
      <c r="P198" t="s">
        <v>914</v>
      </c>
      <c r="Q198" t="s">
        <v>105</v>
      </c>
      <c r="R198" s="29" t="s">
        <v>915</v>
      </c>
      <c r="S198">
        <v>11.38</v>
      </c>
      <c r="T198">
        <v>12046</v>
      </c>
      <c r="U198">
        <v>779.94</v>
      </c>
      <c r="V198">
        <v>12825.94</v>
      </c>
    </row>
    <row r="199" spans="1:22" x14ac:dyDescent="0.3">
      <c r="A199">
        <v>15741</v>
      </c>
      <c r="B199">
        <v>454873493</v>
      </c>
      <c r="C199" t="s">
        <v>916</v>
      </c>
      <c r="D199" s="9" t="s">
        <v>917</v>
      </c>
      <c r="E199" t="s">
        <v>174</v>
      </c>
      <c r="G199" t="s">
        <v>53</v>
      </c>
      <c r="H199" t="s">
        <v>54</v>
      </c>
      <c r="I199" t="s">
        <v>36</v>
      </c>
      <c r="J199" t="s">
        <v>52</v>
      </c>
      <c r="K199" t="s">
        <v>29</v>
      </c>
      <c r="L199" t="s">
        <v>55</v>
      </c>
      <c r="M199" t="s">
        <v>918</v>
      </c>
      <c r="N199" t="s">
        <v>176</v>
      </c>
      <c r="O199" t="s">
        <v>75</v>
      </c>
      <c r="P199" t="s">
        <v>919</v>
      </c>
      <c r="Q199" t="s">
        <v>72</v>
      </c>
      <c r="R199" s="29" t="s">
        <v>920</v>
      </c>
      <c r="S199">
        <v>265.5</v>
      </c>
      <c r="T199">
        <v>100048</v>
      </c>
      <c r="U199">
        <v>5399.94</v>
      </c>
      <c r="V199">
        <v>105447.94</v>
      </c>
    </row>
    <row r="200" spans="1:22" x14ac:dyDescent="0.3">
      <c r="A200">
        <v>15741</v>
      </c>
      <c r="B200">
        <v>454872071</v>
      </c>
      <c r="C200" t="s">
        <v>921</v>
      </c>
      <c r="D200" s="9" t="s">
        <v>922</v>
      </c>
      <c r="E200" t="s">
        <v>174</v>
      </c>
      <c r="G200" t="s">
        <v>53</v>
      </c>
      <c r="H200" t="s">
        <v>54</v>
      </c>
      <c r="I200" t="s">
        <v>36</v>
      </c>
      <c r="J200" t="s">
        <v>52</v>
      </c>
      <c r="K200" t="s">
        <v>29</v>
      </c>
      <c r="L200" t="s">
        <v>55</v>
      </c>
      <c r="M200" t="s">
        <v>923</v>
      </c>
      <c r="N200" t="s">
        <v>176</v>
      </c>
      <c r="O200" t="s">
        <v>75</v>
      </c>
      <c r="P200" t="s">
        <v>924</v>
      </c>
      <c r="Q200" t="s">
        <v>48</v>
      </c>
      <c r="R200" s="29" t="s">
        <v>925</v>
      </c>
      <c r="S200">
        <v>6.72</v>
      </c>
      <c r="T200">
        <v>5465</v>
      </c>
      <c r="U200">
        <v>0</v>
      </c>
      <c r="V200">
        <v>5465</v>
      </c>
    </row>
    <row r="201" spans="1:22" x14ac:dyDescent="0.3">
      <c r="A201">
        <v>15741</v>
      </c>
      <c r="B201">
        <v>454841729</v>
      </c>
      <c r="C201" t="s">
        <v>926</v>
      </c>
      <c r="D201" s="9" t="s">
        <v>927</v>
      </c>
      <c r="E201" t="s">
        <v>174</v>
      </c>
      <c r="G201" t="s">
        <v>53</v>
      </c>
      <c r="H201" t="s">
        <v>54</v>
      </c>
      <c r="I201" t="s">
        <v>36</v>
      </c>
      <c r="J201" t="s">
        <v>52</v>
      </c>
      <c r="K201" t="s">
        <v>29</v>
      </c>
      <c r="L201" t="s">
        <v>55</v>
      </c>
      <c r="M201" t="s">
        <v>928</v>
      </c>
      <c r="N201" t="s">
        <v>176</v>
      </c>
      <c r="O201" t="s">
        <v>75</v>
      </c>
      <c r="P201" t="s">
        <v>929</v>
      </c>
      <c r="Q201" t="s">
        <v>98</v>
      </c>
      <c r="R201" s="29" t="s">
        <v>930</v>
      </c>
      <c r="S201">
        <v>26.21</v>
      </c>
      <c r="T201">
        <v>16785</v>
      </c>
      <c r="U201">
        <v>1619.94</v>
      </c>
      <c r="V201">
        <v>18404.939999999999</v>
      </c>
    </row>
    <row r="202" spans="1:22" x14ac:dyDescent="0.3">
      <c r="A202">
        <v>15741</v>
      </c>
      <c r="B202">
        <v>454841582</v>
      </c>
      <c r="C202" t="s">
        <v>931</v>
      </c>
      <c r="D202" s="9" t="s">
        <v>932</v>
      </c>
      <c r="E202" t="s">
        <v>174</v>
      </c>
      <c r="G202" t="s">
        <v>53</v>
      </c>
      <c r="H202" t="s">
        <v>54</v>
      </c>
      <c r="I202" t="s">
        <v>36</v>
      </c>
      <c r="J202" t="s">
        <v>52</v>
      </c>
      <c r="K202" t="s">
        <v>29</v>
      </c>
      <c r="L202" t="s">
        <v>55</v>
      </c>
      <c r="M202" t="s">
        <v>933</v>
      </c>
      <c r="N202" t="s">
        <v>176</v>
      </c>
      <c r="O202" t="s">
        <v>75</v>
      </c>
      <c r="P202" t="s">
        <v>934</v>
      </c>
      <c r="Q202" t="s">
        <v>93</v>
      </c>
      <c r="R202" s="29" t="s">
        <v>935</v>
      </c>
      <c r="S202">
        <v>25.68</v>
      </c>
      <c r="T202">
        <v>19761</v>
      </c>
      <c r="U202">
        <v>0</v>
      </c>
      <c r="V202">
        <v>19761</v>
      </c>
    </row>
    <row r="203" spans="1:22" x14ac:dyDescent="0.3">
      <c r="A203">
        <v>15741</v>
      </c>
      <c r="B203">
        <v>454595184</v>
      </c>
      <c r="C203" t="s">
        <v>936</v>
      </c>
      <c r="D203" s="9" t="s">
        <v>937</v>
      </c>
      <c r="E203" t="s">
        <v>174</v>
      </c>
      <c r="G203" t="s">
        <v>53</v>
      </c>
      <c r="H203" t="s">
        <v>54</v>
      </c>
      <c r="I203" t="s">
        <v>36</v>
      </c>
      <c r="J203" t="s">
        <v>52</v>
      </c>
      <c r="K203" t="s">
        <v>29</v>
      </c>
      <c r="L203" t="s">
        <v>55</v>
      </c>
      <c r="M203" t="s">
        <v>938</v>
      </c>
      <c r="N203" t="s">
        <v>176</v>
      </c>
      <c r="O203" t="s">
        <v>75</v>
      </c>
      <c r="P203" t="s">
        <v>939</v>
      </c>
      <c r="Q203" t="s">
        <v>61</v>
      </c>
      <c r="R203" s="29" t="s">
        <v>940</v>
      </c>
      <c r="S203">
        <v>23.62</v>
      </c>
      <c r="T203">
        <v>18218</v>
      </c>
      <c r="U203">
        <v>1499.94</v>
      </c>
      <c r="V203">
        <v>19717.939999999999</v>
      </c>
    </row>
    <row r="204" spans="1:22" x14ac:dyDescent="0.3">
      <c r="A204">
        <v>15741</v>
      </c>
      <c r="B204">
        <v>454654138</v>
      </c>
      <c r="C204" t="s">
        <v>941</v>
      </c>
      <c r="D204" s="9" t="s">
        <v>942</v>
      </c>
      <c r="E204" t="s">
        <v>174</v>
      </c>
      <c r="G204" t="s">
        <v>53</v>
      </c>
      <c r="H204" t="s">
        <v>54</v>
      </c>
      <c r="I204" t="s">
        <v>36</v>
      </c>
      <c r="J204" t="s">
        <v>52</v>
      </c>
      <c r="K204" t="s">
        <v>29</v>
      </c>
      <c r="L204" t="s">
        <v>55</v>
      </c>
      <c r="M204" t="s">
        <v>943</v>
      </c>
      <c r="N204" t="s">
        <v>176</v>
      </c>
      <c r="O204" t="s">
        <v>75</v>
      </c>
      <c r="P204" t="s">
        <v>944</v>
      </c>
      <c r="Q204" t="s">
        <v>90</v>
      </c>
      <c r="R204" s="29" t="s">
        <v>945</v>
      </c>
      <c r="S204">
        <v>26.87</v>
      </c>
      <c r="T204">
        <v>20534</v>
      </c>
      <c r="U204">
        <v>539.94000000000005</v>
      </c>
      <c r="V204">
        <v>21073.94</v>
      </c>
    </row>
    <row r="205" spans="1:22" x14ac:dyDescent="0.3">
      <c r="A205">
        <v>15741</v>
      </c>
      <c r="B205">
        <v>454586851</v>
      </c>
      <c r="C205" t="s">
        <v>946</v>
      </c>
      <c r="D205" s="9" t="s">
        <v>947</v>
      </c>
      <c r="E205" t="s">
        <v>174</v>
      </c>
      <c r="G205" t="s">
        <v>53</v>
      </c>
      <c r="H205" t="s">
        <v>54</v>
      </c>
      <c r="I205" t="s">
        <v>36</v>
      </c>
      <c r="J205" t="s">
        <v>52</v>
      </c>
      <c r="K205" t="s">
        <v>29</v>
      </c>
      <c r="L205" t="s">
        <v>55</v>
      </c>
      <c r="M205" t="s">
        <v>948</v>
      </c>
      <c r="N205" t="s">
        <v>176</v>
      </c>
      <c r="O205" t="s">
        <v>75</v>
      </c>
      <c r="P205" t="s">
        <v>949</v>
      </c>
      <c r="Q205" t="s">
        <v>45</v>
      </c>
      <c r="R205" s="29" t="s">
        <v>950</v>
      </c>
      <c r="S205">
        <v>13.01</v>
      </c>
      <c r="T205">
        <v>5943</v>
      </c>
      <c r="U205">
        <v>539.94000000000005</v>
      </c>
      <c r="V205">
        <v>6482.9400000000005</v>
      </c>
    </row>
    <row r="206" spans="1:22" x14ac:dyDescent="0.3">
      <c r="A206">
        <v>15741</v>
      </c>
      <c r="B206">
        <v>454563633</v>
      </c>
      <c r="C206" t="s">
        <v>951</v>
      </c>
      <c r="D206" s="9" t="s">
        <v>952</v>
      </c>
      <c r="E206" t="s">
        <v>174</v>
      </c>
      <c r="G206" t="s">
        <v>53</v>
      </c>
      <c r="H206" t="s">
        <v>54</v>
      </c>
      <c r="I206" t="s">
        <v>36</v>
      </c>
      <c r="J206" t="s">
        <v>52</v>
      </c>
      <c r="K206" t="s">
        <v>29</v>
      </c>
      <c r="L206" t="s">
        <v>55</v>
      </c>
      <c r="M206" t="s">
        <v>953</v>
      </c>
      <c r="N206" t="s">
        <v>176</v>
      </c>
      <c r="O206" t="s">
        <v>75</v>
      </c>
      <c r="P206" t="s">
        <v>954</v>
      </c>
      <c r="Q206" t="s">
        <v>32</v>
      </c>
      <c r="R206" s="29" t="s">
        <v>955</v>
      </c>
      <c r="S206">
        <v>71</v>
      </c>
      <c r="T206">
        <v>30586</v>
      </c>
      <c r="U206">
        <v>968.94</v>
      </c>
      <c r="V206">
        <v>31554.94</v>
      </c>
    </row>
    <row r="207" spans="1:22" x14ac:dyDescent="0.3">
      <c r="A207">
        <v>15741</v>
      </c>
      <c r="B207">
        <v>454628866</v>
      </c>
      <c r="C207" t="s">
        <v>956</v>
      </c>
      <c r="D207" s="9" t="s">
        <v>957</v>
      </c>
      <c r="E207" t="s">
        <v>174</v>
      </c>
      <c r="G207" t="s">
        <v>53</v>
      </c>
      <c r="H207" t="s">
        <v>54</v>
      </c>
      <c r="I207" t="s">
        <v>36</v>
      </c>
      <c r="J207" t="s">
        <v>52</v>
      </c>
      <c r="K207" t="s">
        <v>29</v>
      </c>
      <c r="L207" t="s">
        <v>55</v>
      </c>
      <c r="M207" t="s">
        <v>958</v>
      </c>
      <c r="N207" t="s">
        <v>176</v>
      </c>
      <c r="O207" t="s">
        <v>75</v>
      </c>
      <c r="P207" t="s">
        <v>959</v>
      </c>
      <c r="Q207" t="s">
        <v>69</v>
      </c>
      <c r="R207" s="29" t="s">
        <v>960</v>
      </c>
      <c r="S207">
        <v>25.67</v>
      </c>
      <c r="T207">
        <v>10666</v>
      </c>
      <c r="U207">
        <v>839.88</v>
      </c>
      <c r="V207">
        <v>11505.88</v>
      </c>
    </row>
    <row r="208" spans="1:22" x14ac:dyDescent="0.3">
      <c r="A208">
        <v>15741</v>
      </c>
      <c r="B208">
        <v>454629887</v>
      </c>
      <c r="C208" t="s">
        <v>961</v>
      </c>
      <c r="D208" s="9" t="s">
        <v>962</v>
      </c>
      <c r="E208" t="s">
        <v>174</v>
      </c>
      <c r="G208" t="s">
        <v>53</v>
      </c>
      <c r="H208" t="s">
        <v>54</v>
      </c>
      <c r="I208" t="s">
        <v>36</v>
      </c>
      <c r="J208" t="s">
        <v>52</v>
      </c>
      <c r="K208" t="s">
        <v>29</v>
      </c>
      <c r="L208" t="s">
        <v>55</v>
      </c>
      <c r="M208" t="s">
        <v>963</v>
      </c>
      <c r="N208" t="s">
        <v>176</v>
      </c>
      <c r="O208" t="s">
        <v>75</v>
      </c>
      <c r="P208" t="s">
        <v>964</v>
      </c>
      <c r="Q208" t="s">
        <v>73</v>
      </c>
      <c r="R208" s="29" t="s">
        <v>965</v>
      </c>
      <c r="S208">
        <v>10.73</v>
      </c>
      <c r="T208">
        <v>5943</v>
      </c>
      <c r="U208">
        <v>0</v>
      </c>
      <c r="V208">
        <v>5943</v>
      </c>
    </row>
    <row r="209" spans="1:22" x14ac:dyDescent="0.3">
      <c r="A209">
        <v>15741</v>
      </c>
      <c r="B209">
        <v>454483217</v>
      </c>
      <c r="C209" t="s">
        <v>966</v>
      </c>
      <c r="D209" s="9" t="s">
        <v>967</v>
      </c>
      <c r="E209" t="s">
        <v>174</v>
      </c>
      <c r="G209" t="s">
        <v>53</v>
      </c>
      <c r="H209" t="s">
        <v>54</v>
      </c>
      <c r="I209" t="s">
        <v>36</v>
      </c>
      <c r="J209" t="s">
        <v>52</v>
      </c>
      <c r="K209" t="s">
        <v>29</v>
      </c>
      <c r="L209" t="s">
        <v>55</v>
      </c>
      <c r="M209" t="s">
        <v>968</v>
      </c>
      <c r="N209" t="s">
        <v>176</v>
      </c>
      <c r="O209" t="s">
        <v>75</v>
      </c>
      <c r="P209" t="s">
        <v>969</v>
      </c>
      <c r="Q209" t="s">
        <v>30</v>
      </c>
      <c r="R209" s="29" t="s">
        <v>970</v>
      </c>
      <c r="S209">
        <v>10.64</v>
      </c>
      <c r="T209">
        <v>5943</v>
      </c>
      <c r="U209">
        <v>0</v>
      </c>
      <c r="V209">
        <v>5943</v>
      </c>
    </row>
    <row r="210" spans="1:22" x14ac:dyDescent="0.3">
      <c r="A210">
        <v>15741</v>
      </c>
      <c r="B210">
        <v>454564828</v>
      </c>
      <c r="C210" t="s">
        <v>971</v>
      </c>
      <c r="D210" s="9" t="s">
        <v>972</v>
      </c>
      <c r="E210" t="s">
        <v>174</v>
      </c>
      <c r="G210" t="s">
        <v>53</v>
      </c>
      <c r="H210" t="s">
        <v>54</v>
      </c>
      <c r="I210" t="s">
        <v>36</v>
      </c>
      <c r="J210" t="s">
        <v>52</v>
      </c>
      <c r="K210" t="s">
        <v>29</v>
      </c>
      <c r="L210" t="s">
        <v>55</v>
      </c>
      <c r="M210" t="s">
        <v>973</v>
      </c>
      <c r="N210" t="s">
        <v>176</v>
      </c>
      <c r="O210" t="s">
        <v>75</v>
      </c>
      <c r="P210" t="s">
        <v>974</v>
      </c>
      <c r="Q210" t="s">
        <v>69</v>
      </c>
      <c r="R210" s="29" t="s">
        <v>975</v>
      </c>
      <c r="S210">
        <v>23.54</v>
      </c>
      <c r="T210">
        <v>9721</v>
      </c>
      <c r="U210">
        <v>1499.94</v>
      </c>
      <c r="V210">
        <v>11220.94</v>
      </c>
    </row>
    <row r="211" spans="1:22" x14ac:dyDescent="0.3">
      <c r="A211">
        <v>15741</v>
      </c>
      <c r="B211">
        <v>454677209</v>
      </c>
      <c r="C211" t="s">
        <v>976</v>
      </c>
      <c r="D211" s="9" t="s">
        <v>977</v>
      </c>
      <c r="E211" t="s">
        <v>174</v>
      </c>
      <c r="G211" t="s">
        <v>53</v>
      </c>
      <c r="H211" t="s">
        <v>54</v>
      </c>
      <c r="I211" t="s">
        <v>36</v>
      </c>
      <c r="J211" t="s">
        <v>52</v>
      </c>
      <c r="K211" t="s">
        <v>29</v>
      </c>
      <c r="L211" t="s">
        <v>55</v>
      </c>
      <c r="M211" t="s">
        <v>978</v>
      </c>
      <c r="N211" t="s">
        <v>176</v>
      </c>
      <c r="O211" t="s">
        <v>75</v>
      </c>
      <c r="P211" t="s">
        <v>979</v>
      </c>
      <c r="Q211" t="s">
        <v>90</v>
      </c>
      <c r="R211" s="29" t="s">
        <v>980</v>
      </c>
      <c r="S211">
        <v>25.68</v>
      </c>
      <c r="T211">
        <v>19761</v>
      </c>
      <c r="U211">
        <v>1619.94</v>
      </c>
      <c r="V211">
        <v>21380.94</v>
      </c>
    </row>
    <row r="212" spans="1:22" x14ac:dyDescent="0.3">
      <c r="A212">
        <v>15741</v>
      </c>
      <c r="B212">
        <v>454676988</v>
      </c>
      <c r="C212" t="s">
        <v>981</v>
      </c>
      <c r="D212" s="9" t="s">
        <v>982</v>
      </c>
      <c r="E212" t="s">
        <v>174</v>
      </c>
      <c r="G212" t="s">
        <v>53</v>
      </c>
      <c r="H212" t="s">
        <v>54</v>
      </c>
      <c r="I212" t="s">
        <v>36</v>
      </c>
      <c r="J212" t="s">
        <v>52</v>
      </c>
      <c r="K212" t="s">
        <v>29</v>
      </c>
      <c r="L212" t="s">
        <v>55</v>
      </c>
      <c r="M212" t="s">
        <v>983</v>
      </c>
      <c r="N212" t="s">
        <v>176</v>
      </c>
      <c r="O212" t="s">
        <v>75</v>
      </c>
      <c r="P212" t="s">
        <v>984</v>
      </c>
      <c r="Q212" t="s">
        <v>31</v>
      </c>
      <c r="R212" s="29" t="s">
        <v>985</v>
      </c>
      <c r="S212">
        <v>20.58</v>
      </c>
      <c r="T212">
        <v>8303</v>
      </c>
      <c r="U212">
        <v>1619.94</v>
      </c>
      <c r="V212">
        <v>9922.94</v>
      </c>
    </row>
    <row r="213" spans="1:22" x14ac:dyDescent="0.3">
      <c r="A213">
        <v>15741</v>
      </c>
      <c r="B213">
        <v>454634674</v>
      </c>
      <c r="C213" t="s">
        <v>986</v>
      </c>
      <c r="D213" s="9" t="s">
        <v>987</v>
      </c>
      <c r="E213" t="s">
        <v>174</v>
      </c>
      <c r="G213" t="s">
        <v>53</v>
      </c>
      <c r="H213" t="s">
        <v>54</v>
      </c>
      <c r="I213" t="s">
        <v>36</v>
      </c>
      <c r="J213" t="s">
        <v>52</v>
      </c>
      <c r="K213" t="s">
        <v>29</v>
      </c>
      <c r="L213" t="s">
        <v>55</v>
      </c>
      <c r="M213" t="s">
        <v>988</v>
      </c>
      <c r="N213" t="s">
        <v>176</v>
      </c>
      <c r="O213" t="s">
        <v>75</v>
      </c>
      <c r="P213" t="s">
        <v>989</v>
      </c>
      <c r="Q213" t="s">
        <v>156</v>
      </c>
      <c r="R213" s="29" t="s">
        <v>990</v>
      </c>
      <c r="S213">
        <v>73.540000000000006</v>
      </c>
      <c r="T213">
        <v>31814</v>
      </c>
      <c r="U213">
        <v>1199.94</v>
      </c>
      <c r="V213">
        <v>33013.94</v>
      </c>
    </row>
    <row r="214" spans="1:22" x14ac:dyDescent="0.3">
      <c r="A214">
        <v>15741</v>
      </c>
      <c r="B214">
        <v>454595096</v>
      </c>
      <c r="C214" t="s">
        <v>991</v>
      </c>
      <c r="D214" s="9" t="s">
        <v>992</v>
      </c>
      <c r="E214" t="s">
        <v>174</v>
      </c>
      <c r="G214" t="s">
        <v>53</v>
      </c>
      <c r="H214" t="s">
        <v>54</v>
      </c>
      <c r="I214" t="s">
        <v>36</v>
      </c>
      <c r="J214" t="s">
        <v>52</v>
      </c>
      <c r="K214" t="s">
        <v>29</v>
      </c>
      <c r="L214" t="s">
        <v>55</v>
      </c>
      <c r="M214" t="s">
        <v>993</v>
      </c>
      <c r="N214" t="s">
        <v>176</v>
      </c>
      <c r="O214" t="s">
        <v>75</v>
      </c>
      <c r="P214" t="s">
        <v>994</v>
      </c>
      <c r="Q214" t="s">
        <v>67</v>
      </c>
      <c r="R214" s="29" t="s">
        <v>995</v>
      </c>
      <c r="S214">
        <v>25.59</v>
      </c>
      <c r="T214">
        <v>20174</v>
      </c>
      <c r="U214">
        <v>1079.8800000000001</v>
      </c>
      <c r="V214">
        <v>21253.88</v>
      </c>
    </row>
    <row r="215" spans="1:22" x14ac:dyDescent="0.3">
      <c r="A215">
        <v>15741</v>
      </c>
      <c r="B215">
        <v>454597205</v>
      </c>
      <c r="C215" t="s">
        <v>996</v>
      </c>
      <c r="D215" s="9" t="s">
        <v>997</v>
      </c>
      <c r="E215" t="s">
        <v>174</v>
      </c>
      <c r="G215" t="s">
        <v>53</v>
      </c>
      <c r="H215" t="s">
        <v>54</v>
      </c>
      <c r="I215" t="s">
        <v>36</v>
      </c>
      <c r="J215" t="s">
        <v>52</v>
      </c>
      <c r="K215" t="s">
        <v>29</v>
      </c>
      <c r="L215" t="s">
        <v>55</v>
      </c>
      <c r="M215" t="s">
        <v>998</v>
      </c>
      <c r="N215" t="s">
        <v>176</v>
      </c>
      <c r="O215" t="s">
        <v>75</v>
      </c>
      <c r="P215" t="s">
        <v>999</v>
      </c>
      <c r="Q215" t="s">
        <v>140</v>
      </c>
      <c r="R215" s="29" t="s">
        <v>1000</v>
      </c>
      <c r="S215">
        <v>11.02</v>
      </c>
      <c r="T215">
        <v>5943</v>
      </c>
      <c r="U215">
        <v>0</v>
      </c>
      <c r="V215">
        <v>5943</v>
      </c>
    </row>
    <row r="216" spans="1:22" x14ac:dyDescent="0.3">
      <c r="A216">
        <v>15741</v>
      </c>
      <c r="B216">
        <v>454562613</v>
      </c>
      <c r="C216" t="s">
        <v>1001</v>
      </c>
      <c r="D216" s="9" t="s">
        <v>1002</v>
      </c>
      <c r="E216" t="s">
        <v>174</v>
      </c>
      <c r="G216" t="s">
        <v>53</v>
      </c>
      <c r="H216" t="s">
        <v>54</v>
      </c>
      <c r="I216" t="s">
        <v>36</v>
      </c>
      <c r="J216" t="s">
        <v>52</v>
      </c>
      <c r="K216" t="s">
        <v>29</v>
      </c>
      <c r="L216" t="s">
        <v>55</v>
      </c>
      <c r="M216" t="s">
        <v>1003</v>
      </c>
      <c r="N216" t="s">
        <v>176</v>
      </c>
      <c r="O216" t="s">
        <v>75</v>
      </c>
      <c r="P216" t="s">
        <v>1004</v>
      </c>
      <c r="Q216" t="s">
        <v>142</v>
      </c>
      <c r="R216" s="29" t="s">
        <v>1005</v>
      </c>
      <c r="S216">
        <v>73.239999999999995</v>
      </c>
      <c r="T216">
        <v>83654</v>
      </c>
      <c r="U216">
        <v>1199.94</v>
      </c>
      <c r="V216">
        <v>84853.94</v>
      </c>
    </row>
    <row r="217" spans="1:22" x14ac:dyDescent="0.3">
      <c r="A217">
        <v>15741</v>
      </c>
      <c r="B217">
        <v>454629099</v>
      </c>
      <c r="C217" t="s">
        <v>1006</v>
      </c>
      <c r="D217" s="9" t="s">
        <v>1007</v>
      </c>
      <c r="E217" t="s">
        <v>174</v>
      </c>
      <c r="G217" t="s">
        <v>53</v>
      </c>
      <c r="H217" t="s">
        <v>54</v>
      </c>
      <c r="I217" t="s">
        <v>36</v>
      </c>
      <c r="J217" t="s">
        <v>52</v>
      </c>
      <c r="K217" t="s">
        <v>29</v>
      </c>
      <c r="L217" t="s">
        <v>55</v>
      </c>
      <c r="M217" t="s">
        <v>1008</v>
      </c>
      <c r="N217" t="s">
        <v>176</v>
      </c>
      <c r="O217" t="s">
        <v>75</v>
      </c>
      <c r="P217" t="s">
        <v>1009</v>
      </c>
      <c r="Q217" t="s">
        <v>108</v>
      </c>
      <c r="R217" s="29" t="s">
        <v>1010</v>
      </c>
      <c r="S217">
        <v>10.8</v>
      </c>
      <c r="T217">
        <v>12046</v>
      </c>
      <c r="U217">
        <v>0</v>
      </c>
      <c r="V217">
        <v>12046</v>
      </c>
    </row>
    <row r="218" spans="1:22" x14ac:dyDescent="0.3">
      <c r="A218">
        <v>15741</v>
      </c>
      <c r="B218">
        <v>454629129</v>
      </c>
      <c r="C218" t="s">
        <v>1011</v>
      </c>
      <c r="D218" s="9" t="s">
        <v>1012</v>
      </c>
      <c r="E218" t="s">
        <v>174</v>
      </c>
      <c r="G218" t="s">
        <v>53</v>
      </c>
      <c r="H218" t="s">
        <v>54</v>
      </c>
      <c r="I218" t="s">
        <v>36</v>
      </c>
      <c r="J218" t="s">
        <v>52</v>
      </c>
      <c r="K218" t="s">
        <v>29</v>
      </c>
      <c r="L218" t="s">
        <v>55</v>
      </c>
      <c r="M218" t="s">
        <v>1013</v>
      </c>
      <c r="N218" t="s">
        <v>176</v>
      </c>
      <c r="O218" t="s">
        <v>75</v>
      </c>
      <c r="P218" t="s">
        <v>1014</v>
      </c>
      <c r="Q218" t="s">
        <v>153</v>
      </c>
      <c r="R218" s="29" t="s">
        <v>1010</v>
      </c>
      <c r="S218">
        <v>23.43</v>
      </c>
      <c r="T218">
        <v>9721</v>
      </c>
      <c r="U218">
        <v>1619.94</v>
      </c>
      <c r="V218">
        <v>11340.94</v>
      </c>
    </row>
    <row r="219" spans="1:22" x14ac:dyDescent="0.3">
      <c r="A219">
        <v>15741</v>
      </c>
      <c r="B219">
        <v>454631242</v>
      </c>
      <c r="C219" t="s">
        <v>1015</v>
      </c>
      <c r="D219" s="9" t="s">
        <v>1016</v>
      </c>
      <c r="E219" t="s">
        <v>174</v>
      </c>
      <c r="G219" t="s">
        <v>53</v>
      </c>
      <c r="H219" t="s">
        <v>54</v>
      </c>
      <c r="I219" t="s">
        <v>36</v>
      </c>
      <c r="J219" t="s">
        <v>52</v>
      </c>
      <c r="K219" t="s">
        <v>29</v>
      </c>
      <c r="L219" t="s">
        <v>55</v>
      </c>
      <c r="M219" t="s">
        <v>1017</v>
      </c>
      <c r="N219" t="s">
        <v>176</v>
      </c>
      <c r="O219" t="s">
        <v>75</v>
      </c>
      <c r="P219" t="s">
        <v>1018</v>
      </c>
      <c r="Q219" t="s">
        <v>80</v>
      </c>
      <c r="R219" s="29" t="s">
        <v>1019</v>
      </c>
      <c r="S219">
        <v>23.47</v>
      </c>
      <c r="T219">
        <v>19032</v>
      </c>
      <c r="U219">
        <v>1619.94</v>
      </c>
      <c r="V219">
        <v>20651.939999999999</v>
      </c>
    </row>
    <row r="220" spans="1:22" x14ac:dyDescent="0.3">
      <c r="A220">
        <v>15741</v>
      </c>
      <c r="B220">
        <v>454630017</v>
      </c>
      <c r="C220" t="s">
        <v>1020</v>
      </c>
      <c r="D220" s="9" t="s">
        <v>1021</v>
      </c>
      <c r="E220" t="s">
        <v>174</v>
      </c>
      <c r="G220" t="s">
        <v>53</v>
      </c>
      <c r="H220" t="s">
        <v>54</v>
      </c>
      <c r="I220" t="s">
        <v>36</v>
      </c>
      <c r="J220" t="s">
        <v>52</v>
      </c>
      <c r="K220" t="s">
        <v>29</v>
      </c>
      <c r="L220" t="s">
        <v>55</v>
      </c>
      <c r="M220" t="s">
        <v>1022</v>
      </c>
      <c r="N220" t="s">
        <v>176</v>
      </c>
      <c r="O220" t="s">
        <v>75</v>
      </c>
      <c r="P220" t="s">
        <v>1023</v>
      </c>
      <c r="Q220" t="s">
        <v>33</v>
      </c>
      <c r="R220" s="29" t="s">
        <v>1024</v>
      </c>
      <c r="S220">
        <v>47.26</v>
      </c>
      <c r="T220">
        <v>21055</v>
      </c>
      <c r="U220">
        <v>3239.88</v>
      </c>
      <c r="V220">
        <v>24294.880000000001</v>
      </c>
    </row>
    <row r="221" spans="1:22" x14ac:dyDescent="0.3">
      <c r="A221">
        <v>15741</v>
      </c>
      <c r="B221">
        <v>141692326</v>
      </c>
      <c r="C221" t="s">
        <v>1025</v>
      </c>
      <c r="D221" s="9" t="s">
        <v>1026</v>
      </c>
      <c r="E221" t="s">
        <v>174</v>
      </c>
      <c r="G221" t="s">
        <v>53</v>
      </c>
      <c r="H221" t="s">
        <v>54</v>
      </c>
      <c r="I221" t="s">
        <v>36</v>
      </c>
      <c r="J221" t="s">
        <v>52</v>
      </c>
      <c r="K221" t="s">
        <v>29</v>
      </c>
      <c r="L221" t="s">
        <v>55</v>
      </c>
      <c r="M221" t="s">
        <v>1027</v>
      </c>
      <c r="N221" t="s">
        <v>176</v>
      </c>
      <c r="O221" t="s">
        <v>75</v>
      </c>
      <c r="P221" t="s">
        <v>1028</v>
      </c>
      <c r="Q221" t="s">
        <v>48</v>
      </c>
      <c r="R221" s="29" t="s">
        <v>1029</v>
      </c>
      <c r="S221">
        <v>9.19</v>
      </c>
      <c r="T221">
        <v>7424.5</v>
      </c>
      <c r="U221">
        <v>0</v>
      </c>
      <c r="V221">
        <v>7424.5</v>
      </c>
    </row>
    <row r="222" spans="1:22" x14ac:dyDescent="0.3">
      <c r="A222">
        <v>15741</v>
      </c>
      <c r="B222">
        <v>141819244</v>
      </c>
      <c r="C222" t="s">
        <v>1030</v>
      </c>
      <c r="D222" s="9" t="s">
        <v>1031</v>
      </c>
      <c r="E222" t="s">
        <v>174</v>
      </c>
      <c r="G222" t="s">
        <v>53</v>
      </c>
      <c r="H222" t="s">
        <v>54</v>
      </c>
      <c r="I222" t="s">
        <v>36</v>
      </c>
      <c r="J222" t="s">
        <v>52</v>
      </c>
      <c r="K222" t="s">
        <v>29</v>
      </c>
      <c r="L222" t="s">
        <v>55</v>
      </c>
      <c r="M222" t="s">
        <v>1032</v>
      </c>
      <c r="N222" t="s">
        <v>176</v>
      </c>
      <c r="O222" t="s">
        <v>75</v>
      </c>
      <c r="P222" t="s">
        <v>1033</v>
      </c>
      <c r="Q222" t="s">
        <v>91</v>
      </c>
      <c r="R222" s="29" t="s">
        <v>1034</v>
      </c>
      <c r="S222">
        <v>20.420000000000002</v>
      </c>
      <c r="T222">
        <v>17221</v>
      </c>
      <c r="U222">
        <v>1439.94</v>
      </c>
      <c r="V222">
        <v>18660.939999999999</v>
      </c>
    </row>
    <row r="223" spans="1:22" x14ac:dyDescent="0.3">
      <c r="A223">
        <v>15741</v>
      </c>
      <c r="B223">
        <v>454229883</v>
      </c>
      <c r="C223" t="s">
        <v>1035</v>
      </c>
      <c r="D223" s="9" t="s">
        <v>1036</v>
      </c>
      <c r="E223" t="s">
        <v>174</v>
      </c>
      <c r="G223" t="s">
        <v>53</v>
      </c>
      <c r="H223" t="s">
        <v>54</v>
      </c>
      <c r="I223" t="s">
        <v>36</v>
      </c>
      <c r="J223" t="s">
        <v>52</v>
      </c>
      <c r="K223" t="s">
        <v>29</v>
      </c>
      <c r="L223" t="s">
        <v>55</v>
      </c>
      <c r="M223" t="s">
        <v>1037</v>
      </c>
      <c r="N223" t="s">
        <v>176</v>
      </c>
      <c r="O223" t="s">
        <v>75</v>
      </c>
      <c r="P223" t="s">
        <v>1038</v>
      </c>
      <c r="Q223" t="s">
        <v>139</v>
      </c>
      <c r="R223" s="29" t="s">
        <v>1039</v>
      </c>
      <c r="S223">
        <v>10.27</v>
      </c>
      <c r="T223">
        <v>19214</v>
      </c>
      <c r="U223">
        <v>0</v>
      </c>
      <c r="V223">
        <v>19214</v>
      </c>
    </row>
    <row r="224" spans="1:22" x14ac:dyDescent="0.3">
      <c r="A224">
        <v>15741</v>
      </c>
      <c r="B224">
        <v>454215510</v>
      </c>
      <c r="C224" t="s">
        <v>1040</v>
      </c>
      <c r="D224" s="9" t="s">
        <v>1041</v>
      </c>
      <c r="E224" t="s">
        <v>174</v>
      </c>
      <c r="G224" t="s">
        <v>53</v>
      </c>
      <c r="H224" t="s">
        <v>54</v>
      </c>
      <c r="I224" t="s">
        <v>36</v>
      </c>
      <c r="J224" t="s">
        <v>52</v>
      </c>
      <c r="K224" t="s">
        <v>29</v>
      </c>
      <c r="L224" t="s">
        <v>55</v>
      </c>
      <c r="M224" t="s">
        <v>1042</v>
      </c>
      <c r="N224" t="s">
        <v>176</v>
      </c>
      <c r="O224" t="s">
        <v>75</v>
      </c>
      <c r="P224" t="s">
        <v>889</v>
      </c>
      <c r="Q224" t="s">
        <v>74</v>
      </c>
      <c r="R224" s="29" t="s">
        <v>1043</v>
      </c>
      <c r="S224">
        <v>7.46</v>
      </c>
      <c r="T224">
        <v>5465</v>
      </c>
      <c r="U224">
        <v>1019.88</v>
      </c>
      <c r="V224">
        <v>6484.88</v>
      </c>
    </row>
    <row r="225" spans="1:22" x14ac:dyDescent="0.3">
      <c r="A225">
        <v>15741</v>
      </c>
      <c r="B225">
        <v>454229789</v>
      </c>
      <c r="C225" t="s">
        <v>1044</v>
      </c>
      <c r="D225" s="9" t="s">
        <v>1045</v>
      </c>
      <c r="E225" t="s">
        <v>174</v>
      </c>
      <c r="G225" t="s">
        <v>53</v>
      </c>
      <c r="H225" t="s">
        <v>54</v>
      </c>
      <c r="I225" t="s">
        <v>36</v>
      </c>
      <c r="J225" t="s">
        <v>52</v>
      </c>
      <c r="K225" t="s">
        <v>29</v>
      </c>
      <c r="L225" t="s">
        <v>55</v>
      </c>
      <c r="M225" t="s">
        <v>1046</v>
      </c>
      <c r="N225" t="s">
        <v>176</v>
      </c>
      <c r="O225" t="s">
        <v>75</v>
      </c>
      <c r="P225" t="s">
        <v>1047</v>
      </c>
      <c r="Q225" t="s">
        <v>33</v>
      </c>
      <c r="R225" s="29" t="s">
        <v>1048</v>
      </c>
      <c r="S225">
        <v>26.56</v>
      </c>
      <c r="T225">
        <v>11136</v>
      </c>
      <c r="U225">
        <v>1439.94</v>
      </c>
      <c r="V225">
        <v>12575.94</v>
      </c>
    </row>
    <row r="226" spans="1:22" x14ac:dyDescent="0.3">
      <c r="A226">
        <v>15741</v>
      </c>
      <c r="B226">
        <v>454229747</v>
      </c>
      <c r="C226" t="s">
        <v>1049</v>
      </c>
      <c r="D226" s="9" t="s">
        <v>1050</v>
      </c>
      <c r="E226" t="s">
        <v>174</v>
      </c>
      <c r="G226" t="s">
        <v>53</v>
      </c>
      <c r="H226" t="s">
        <v>54</v>
      </c>
      <c r="I226" t="s">
        <v>36</v>
      </c>
      <c r="J226" t="s">
        <v>52</v>
      </c>
      <c r="K226" t="s">
        <v>29</v>
      </c>
      <c r="L226" t="s">
        <v>55</v>
      </c>
      <c r="M226" t="s">
        <v>1051</v>
      </c>
      <c r="N226" t="s">
        <v>176</v>
      </c>
      <c r="O226" t="s">
        <v>75</v>
      </c>
      <c r="P226" t="s">
        <v>1052</v>
      </c>
      <c r="Q226" t="s">
        <v>80</v>
      </c>
      <c r="R226" s="29" t="s">
        <v>1053</v>
      </c>
      <c r="S226">
        <v>7.29</v>
      </c>
      <c r="T226">
        <v>10865</v>
      </c>
      <c r="U226">
        <v>0</v>
      </c>
      <c r="V226">
        <v>10865</v>
      </c>
    </row>
    <row r="227" spans="1:22" x14ac:dyDescent="0.3">
      <c r="A227">
        <v>15741</v>
      </c>
      <c r="B227">
        <v>141746878</v>
      </c>
      <c r="C227" t="s">
        <v>1054</v>
      </c>
      <c r="D227" s="9" t="s">
        <v>1055</v>
      </c>
      <c r="E227" t="s">
        <v>174</v>
      </c>
      <c r="G227" t="s">
        <v>53</v>
      </c>
      <c r="H227" t="s">
        <v>54</v>
      </c>
      <c r="I227" t="s">
        <v>36</v>
      </c>
      <c r="J227" t="s">
        <v>52</v>
      </c>
      <c r="K227" t="s">
        <v>29</v>
      </c>
      <c r="L227" t="s">
        <v>55</v>
      </c>
      <c r="M227" t="s">
        <v>1056</v>
      </c>
      <c r="N227" t="s">
        <v>176</v>
      </c>
      <c r="O227" t="s">
        <v>75</v>
      </c>
      <c r="P227" t="s">
        <v>1057</v>
      </c>
      <c r="Q227" t="s">
        <v>97</v>
      </c>
      <c r="R227" s="29" t="s">
        <v>1058</v>
      </c>
      <c r="S227">
        <v>20.53</v>
      </c>
      <c r="T227">
        <v>18429.5</v>
      </c>
      <c r="U227">
        <v>1439.94</v>
      </c>
      <c r="V227">
        <v>19869.439999999999</v>
      </c>
    </row>
    <row r="228" spans="1:22" x14ac:dyDescent="0.3">
      <c r="A228">
        <v>15741</v>
      </c>
      <c r="B228">
        <v>141823710</v>
      </c>
      <c r="C228" t="s">
        <v>1059</v>
      </c>
      <c r="D228" s="9" t="s">
        <v>1060</v>
      </c>
      <c r="E228" t="s">
        <v>174</v>
      </c>
      <c r="G228" t="s">
        <v>53</v>
      </c>
      <c r="H228" t="s">
        <v>54</v>
      </c>
      <c r="I228" t="s">
        <v>36</v>
      </c>
      <c r="J228" t="s">
        <v>52</v>
      </c>
      <c r="K228" t="s">
        <v>29</v>
      </c>
      <c r="L228" t="s">
        <v>55</v>
      </c>
      <c r="M228" t="s">
        <v>1061</v>
      </c>
      <c r="N228" t="s">
        <v>176</v>
      </c>
      <c r="O228" t="s">
        <v>75</v>
      </c>
      <c r="P228" t="s">
        <v>1062</v>
      </c>
      <c r="Q228" t="s">
        <v>92</v>
      </c>
      <c r="R228" s="29" t="s">
        <v>1063</v>
      </c>
      <c r="S228">
        <v>71.489999999999995</v>
      </c>
      <c r="T228">
        <v>46228</v>
      </c>
      <c r="U228">
        <v>1919.94</v>
      </c>
      <c r="V228">
        <v>48147.94</v>
      </c>
    </row>
    <row r="229" spans="1:22" x14ac:dyDescent="0.3">
      <c r="A229">
        <v>15741</v>
      </c>
      <c r="B229">
        <v>454302039</v>
      </c>
      <c r="C229" t="s">
        <v>1064</v>
      </c>
      <c r="D229" s="9" t="s">
        <v>1065</v>
      </c>
      <c r="E229" t="s">
        <v>174</v>
      </c>
      <c r="G229" t="s">
        <v>53</v>
      </c>
      <c r="H229" t="s">
        <v>54</v>
      </c>
      <c r="I229" t="s">
        <v>36</v>
      </c>
      <c r="J229" t="s">
        <v>52</v>
      </c>
      <c r="K229" t="s">
        <v>29</v>
      </c>
      <c r="L229" t="s">
        <v>55</v>
      </c>
      <c r="M229" t="s">
        <v>1066</v>
      </c>
      <c r="N229" t="s">
        <v>176</v>
      </c>
      <c r="O229" t="s">
        <v>75</v>
      </c>
      <c r="P229" t="s">
        <v>1067</v>
      </c>
      <c r="Q229" t="s">
        <v>74</v>
      </c>
      <c r="R229" s="29" t="s">
        <v>107</v>
      </c>
      <c r="S229">
        <v>7.08</v>
      </c>
      <c r="T229">
        <v>5465</v>
      </c>
      <c r="U229">
        <v>2069.7600000000002</v>
      </c>
      <c r="V229">
        <v>7534.76</v>
      </c>
    </row>
    <row r="230" spans="1:22" x14ac:dyDescent="0.3">
      <c r="A230">
        <v>15741</v>
      </c>
      <c r="B230">
        <v>454303360</v>
      </c>
      <c r="C230" t="s">
        <v>1068</v>
      </c>
      <c r="D230" s="9" t="s">
        <v>1069</v>
      </c>
      <c r="E230" t="s">
        <v>174</v>
      </c>
      <c r="G230" t="s">
        <v>53</v>
      </c>
      <c r="H230" t="s">
        <v>54</v>
      </c>
      <c r="I230" t="s">
        <v>36</v>
      </c>
      <c r="J230" t="s">
        <v>52</v>
      </c>
      <c r="K230" t="s">
        <v>29</v>
      </c>
      <c r="L230" t="s">
        <v>55</v>
      </c>
      <c r="M230" t="s">
        <v>1070</v>
      </c>
      <c r="N230" t="s">
        <v>176</v>
      </c>
      <c r="O230" t="s">
        <v>75</v>
      </c>
      <c r="P230" t="s">
        <v>1071</v>
      </c>
      <c r="Q230" t="s">
        <v>87</v>
      </c>
      <c r="R230" s="29" t="s">
        <v>1072</v>
      </c>
      <c r="S230">
        <v>11.68</v>
      </c>
      <c r="T230">
        <v>10408</v>
      </c>
      <c r="U230">
        <v>539.94000000000005</v>
      </c>
      <c r="V230">
        <v>10947.94</v>
      </c>
    </row>
    <row r="231" spans="1:22" x14ac:dyDescent="0.3">
      <c r="A231">
        <v>15741</v>
      </c>
      <c r="B231">
        <v>455178496</v>
      </c>
      <c r="C231" t="s">
        <v>1073</v>
      </c>
      <c r="D231" s="9" t="s">
        <v>1074</v>
      </c>
      <c r="E231" t="s">
        <v>174</v>
      </c>
      <c r="G231" t="s">
        <v>53</v>
      </c>
      <c r="H231" t="s">
        <v>54</v>
      </c>
      <c r="I231" t="s">
        <v>36</v>
      </c>
      <c r="J231" t="s">
        <v>52</v>
      </c>
      <c r="K231" t="s">
        <v>29</v>
      </c>
      <c r="L231" t="s">
        <v>55</v>
      </c>
      <c r="M231" t="s">
        <v>1075</v>
      </c>
      <c r="N231" t="s">
        <v>176</v>
      </c>
      <c r="O231" t="s">
        <v>75</v>
      </c>
      <c r="P231" t="s">
        <v>1076</v>
      </c>
      <c r="Q231" t="s">
        <v>46</v>
      </c>
      <c r="R231" s="29" t="s">
        <v>1077</v>
      </c>
      <c r="S231">
        <v>47.08</v>
      </c>
      <c r="T231">
        <v>21055</v>
      </c>
      <c r="U231">
        <v>1199.94</v>
      </c>
      <c r="V231">
        <v>22254.94</v>
      </c>
    </row>
    <row r="232" spans="1:22" x14ac:dyDescent="0.3">
      <c r="A232">
        <v>15741</v>
      </c>
      <c r="B232">
        <v>455186841</v>
      </c>
      <c r="C232" t="s">
        <v>1078</v>
      </c>
      <c r="D232" s="9" t="s">
        <v>1079</v>
      </c>
      <c r="E232" t="s">
        <v>174</v>
      </c>
      <c r="G232" t="s">
        <v>53</v>
      </c>
      <c r="H232" t="s">
        <v>54</v>
      </c>
      <c r="I232" t="s">
        <v>36</v>
      </c>
      <c r="J232" t="s">
        <v>52</v>
      </c>
      <c r="K232" t="s">
        <v>29</v>
      </c>
      <c r="L232" t="s">
        <v>55</v>
      </c>
      <c r="M232" t="s">
        <v>1080</v>
      </c>
      <c r="N232" t="s">
        <v>176</v>
      </c>
      <c r="O232" t="s">
        <v>75</v>
      </c>
      <c r="P232" t="s">
        <v>1081</v>
      </c>
      <c r="Q232" t="s">
        <v>78</v>
      </c>
      <c r="R232" s="29" t="s">
        <v>1082</v>
      </c>
      <c r="S232">
        <v>11.52</v>
      </c>
      <c r="T232">
        <v>13529</v>
      </c>
      <c r="U232">
        <v>959.94</v>
      </c>
      <c r="V232">
        <v>14488.94</v>
      </c>
    </row>
    <row r="233" spans="1:22" x14ac:dyDescent="0.3">
      <c r="A233">
        <v>15741</v>
      </c>
      <c r="B233">
        <v>455177739</v>
      </c>
      <c r="C233" t="s">
        <v>1083</v>
      </c>
      <c r="D233" s="9" t="s">
        <v>1084</v>
      </c>
      <c r="E233" t="s">
        <v>174</v>
      </c>
      <c r="G233" t="s">
        <v>53</v>
      </c>
      <c r="H233" t="s">
        <v>54</v>
      </c>
      <c r="I233" t="s">
        <v>36</v>
      </c>
      <c r="J233" t="s">
        <v>52</v>
      </c>
      <c r="K233" t="s">
        <v>29</v>
      </c>
      <c r="L233" t="s">
        <v>55</v>
      </c>
      <c r="M233" t="s">
        <v>1085</v>
      </c>
      <c r="N233" t="s">
        <v>176</v>
      </c>
      <c r="O233" t="s">
        <v>75</v>
      </c>
      <c r="P233" t="s">
        <v>1086</v>
      </c>
      <c r="Q233" t="s">
        <v>76</v>
      </c>
      <c r="R233" s="29" t="s">
        <v>1087</v>
      </c>
      <c r="S233">
        <v>11.37</v>
      </c>
      <c r="T233">
        <v>5943</v>
      </c>
      <c r="U233">
        <v>899.94</v>
      </c>
      <c r="V233">
        <v>6842.9400000000005</v>
      </c>
    </row>
    <row r="234" spans="1:22" x14ac:dyDescent="0.3">
      <c r="A234">
        <v>15741</v>
      </c>
      <c r="B234">
        <v>455177598</v>
      </c>
      <c r="C234" t="s">
        <v>1088</v>
      </c>
      <c r="D234" s="9" t="s">
        <v>1089</v>
      </c>
      <c r="E234" t="s">
        <v>174</v>
      </c>
      <c r="G234" t="s">
        <v>53</v>
      </c>
      <c r="H234" t="s">
        <v>54</v>
      </c>
      <c r="I234" t="s">
        <v>36</v>
      </c>
      <c r="J234" t="s">
        <v>52</v>
      </c>
      <c r="K234" t="s">
        <v>29</v>
      </c>
      <c r="L234" t="s">
        <v>55</v>
      </c>
      <c r="M234" t="s">
        <v>1090</v>
      </c>
      <c r="N234" t="s">
        <v>176</v>
      </c>
      <c r="O234" t="s">
        <v>75</v>
      </c>
      <c r="P234" t="s">
        <v>1091</v>
      </c>
      <c r="Q234" t="s">
        <v>152</v>
      </c>
      <c r="R234" s="29" t="s">
        <v>1092</v>
      </c>
      <c r="S234">
        <v>7.02</v>
      </c>
      <c r="T234">
        <v>5465</v>
      </c>
      <c r="U234">
        <v>0</v>
      </c>
      <c r="V234">
        <v>5465</v>
      </c>
    </row>
    <row r="235" spans="1:22" x14ac:dyDescent="0.3">
      <c r="A235">
        <v>15741</v>
      </c>
      <c r="B235">
        <v>455177486</v>
      </c>
      <c r="C235" t="s">
        <v>1093</v>
      </c>
      <c r="D235" s="9" t="s">
        <v>1094</v>
      </c>
      <c r="E235" t="s">
        <v>174</v>
      </c>
      <c r="G235" t="s">
        <v>53</v>
      </c>
      <c r="H235" t="s">
        <v>54</v>
      </c>
      <c r="I235" t="s">
        <v>36</v>
      </c>
      <c r="J235" t="s">
        <v>52</v>
      </c>
      <c r="K235" t="s">
        <v>29</v>
      </c>
      <c r="L235" t="s">
        <v>55</v>
      </c>
      <c r="M235" t="s">
        <v>1095</v>
      </c>
      <c r="N235" t="s">
        <v>176</v>
      </c>
      <c r="O235" t="s">
        <v>75</v>
      </c>
      <c r="P235" t="s">
        <v>1096</v>
      </c>
      <c r="Q235" t="s">
        <v>89</v>
      </c>
      <c r="R235" s="29" t="s">
        <v>1097</v>
      </c>
      <c r="S235">
        <v>15.07</v>
      </c>
      <c r="T235">
        <v>11761</v>
      </c>
      <c r="U235">
        <v>959.94</v>
      </c>
      <c r="V235">
        <v>12720.94</v>
      </c>
    </row>
    <row r="236" spans="1:22" x14ac:dyDescent="0.3">
      <c r="A236">
        <v>15741</v>
      </c>
      <c r="B236">
        <v>455177399</v>
      </c>
      <c r="C236" t="s">
        <v>1098</v>
      </c>
      <c r="D236" s="9" t="s">
        <v>1099</v>
      </c>
      <c r="E236" t="s">
        <v>174</v>
      </c>
      <c r="G236" t="s">
        <v>53</v>
      </c>
      <c r="H236" t="s">
        <v>54</v>
      </c>
      <c r="I236" t="s">
        <v>36</v>
      </c>
      <c r="J236" t="s">
        <v>52</v>
      </c>
      <c r="K236" t="s">
        <v>29</v>
      </c>
      <c r="L236" t="s">
        <v>55</v>
      </c>
      <c r="M236" t="s">
        <v>1100</v>
      </c>
      <c r="N236" t="s">
        <v>176</v>
      </c>
      <c r="O236" t="s">
        <v>75</v>
      </c>
      <c r="P236" t="s">
        <v>1101</v>
      </c>
      <c r="Q236" t="s">
        <v>69</v>
      </c>
      <c r="R236" s="29" t="s">
        <v>1097</v>
      </c>
      <c r="S236">
        <v>15.26</v>
      </c>
      <c r="T236">
        <v>5943</v>
      </c>
      <c r="U236">
        <v>959.94</v>
      </c>
      <c r="V236">
        <v>6902.9400000000005</v>
      </c>
    </row>
    <row r="237" spans="1:22" x14ac:dyDescent="0.3">
      <c r="A237">
        <v>15741</v>
      </c>
      <c r="B237">
        <v>455177271</v>
      </c>
      <c r="C237" t="s">
        <v>1102</v>
      </c>
      <c r="D237" s="9" t="s">
        <v>1103</v>
      </c>
      <c r="E237" t="s">
        <v>174</v>
      </c>
      <c r="G237" t="s">
        <v>53</v>
      </c>
      <c r="H237" t="s">
        <v>54</v>
      </c>
      <c r="I237" t="s">
        <v>36</v>
      </c>
      <c r="J237" t="s">
        <v>52</v>
      </c>
      <c r="K237" t="s">
        <v>29</v>
      </c>
      <c r="L237" t="s">
        <v>55</v>
      </c>
      <c r="M237" t="s">
        <v>1104</v>
      </c>
      <c r="N237" t="s">
        <v>176</v>
      </c>
      <c r="O237" t="s">
        <v>75</v>
      </c>
      <c r="P237" t="s">
        <v>1105</v>
      </c>
      <c r="Q237" t="s">
        <v>79</v>
      </c>
      <c r="R237" s="29" t="s">
        <v>1106</v>
      </c>
      <c r="S237">
        <v>11.32</v>
      </c>
      <c r="T237">
        <v>10408</v>
      </c>
      <c r="U237">
        <v>899.94</v>
      </c>
      <c r="V237">
        <v>11307.94</v>
      </c>
    </row>
    <row r="238" spans="1:22" x14ac:dyDescent="0.3">
      <c r="A238">
        <v>15741</v>
      </c>
      <c r="B238">
        <v>455176790</v>
      </c>
      <c r="C238" t="s">
        <v>1107</v>
      </c>
      <c r="D238" s="9" t="s">
        <v>1108</v>
      </c>
      <c r="E238" t="s">
        <v>174</v>
      </c>
      <c r="G238" t="s">
        <v>53</v>
      </c>
      <c r="H238" t="s">
        <v>54</v>
      </c>
      <c r="I238" t="s">
        <v>36</v>
      </c>
      <c r="J238" t="s">
        <v>52</v>
      </c>
      <c r="K238" t="s">
        <v>29</v>
      </c>
      <c r="L238" t="s">
        <v>55</v>
      </c>
      <c r="M238" t="s">
        <v>1109</v>
      </c>
      <c r="N238" t="s">
        <v>176</v>
      </c>
      <c r="O238" t="s">
        <v>75</v>
      </c>
      <c r="P238" t="s">
        <v>1110</v>
      </c>
      <c r="Q238" t="s">
        <v>46</v>
      </c>
      <c r="R238" s="29" t="s">
        <v>1111</v>
      </c>
      <c r="S238">
        <v>20.18</v>
      </c>
      <c r="T238">
        <v>8303</v>
      </c>
      <c r="U238">
        <v>1619.94</v>
      </c>
      <c r="V238">
        <v>9922.94</v>
      </c>
    </row>
    <row r="239" spans="1:22" x14ac:dyDescent="0.3">
      <c r="A239">
        <v>15741</v>
      </c>
      <c r="B239">
        <v>455176655</v>
      </c>
      <c r="C239" t="s">
        <v>1112</v>
      </c>
      <c r="D239" s="9" t="s">
        <v>1113</v>
      </c>
      <c r="E239" t="s">
        <v>174</v>
      </c>
      <c r="G239" t="s">
        <v>53</v>
      </c>
      <c r="H239" t="s">
        <v>54</v>
      </c>
      <c r="I239" t="s">
        <v>36</v>
      </c>
      <c r="J239" t="s">
        <v>52</v>
      </c>
      <c r="K239" t="s">
        <v>29</v>
      </c>
      <c r="L239" t="s">
        <v>55</v>
      </c>
      <c r="M239" t="s">
        <v>1114</v>
      </c>
      <c r="N239" t="s">
        <v>176</v>
      </c>
      <c r="O239" t="s">
        <v>75</v>
      </c>
      <c r="P239" t="s">
        <v>1115</v>
      </c>
      <c r="Q239" t="s">
        <v>89</v>
      </c>
      <c r="R239" s="29" t="s">
        <v>1116</v>
      </c>
      <c r="S239">
        <v>11.61</v>
      </c>
      <c r="T239">
        <v>11761</v>
      </c>
      <c r="U239">
        <v>899.94</v>
      </c>
      <c r="V239">
        <v>12660.94</v>
      </c>
    </row>
    <row r="240" spans="1:22" x14ac:dyDescent="0.3">
      <c r="A240">
        <v>15741</v>
      </c>
      <c r="B240">
        <v>455176172</v>
      </c>
      <c r="C240" t="s">
        <v>1117</v>
      </c>
      <c r="D240" s="9" t="s">
        <v>1118</v>
      </c>
      <c r="E240" t="s">
        <v>174</v>
      </c>
      <c r="G240" t="s">
        <v>53</v>
      </c>
      <c r="H240" t="s">
        <v>54</v>
      </c>
      <c r="I240" t="s">
        <v>36</v>
      </c>
      <c r="J240" t="s">
        <v>52</v>
      </c>
      <c r="K240" t="s">
        <v>29</v>
      </c>
      <c r="L240" t="s">
        <v>55</v>
      </c>
      <c r="M240" t="s">
        <v>1119</v>
      </c>
      <c r="N240" t="s">
        <v>176</v>
      </c>
      <c r="O240" t="s">
        <v>75</v>
      </c>
      <c r="P240" t="s">
        <v>1120</v>
      </c>
      <c r="Q240" t="s">
        <v>32</v>
      </c>
      <c r="R240" s="29" t="s">
        <v>1121</v>
      </c>
      <c r="S240">
        <v>29.93</v>
      </c>
      <c r="T240">
        <v>12555</v>
      </c>
      <c r="U240">
        <v>1259.94</v>
      </c>
      <c r="V240">
        <v>13814.94</v>
      </c>
    </row>
    <row r="241" spans="1:22" x14ac:dyDescent="0.3">
      <c r="A241">
        <v>15741</v>
      </c>
      <c r="B241">
        <v>455176123</v>
      </c>
      <c r="C241" t="s">
        <v>1122</v>
      </c>
      <c r="D241" s="9" t="s">
        <v>1123</v>
      </c>
      <c r="E241" t="s">
        <v>174</v>
      </c>
      <c r="G241" t="s">
        <v>53</v>
      </c>
      <c r="H241" t="s">
        <v>54</v>
      </c>
      <c r="I241" t="s">
        <v>36</v>
      </c>
      <c r="J241" t="s">
        <v>52</v>
      </c>
      <c r="K241" t="s">
        <v>29</v>
      </c>
      <c r="L241" t="s">
        <v>55</v>
      </c>
      <c r="M241" t="s">
        <v>1124</v>
      </c>
      <c r="N241" t="s">
        <v>176</v>
      </c>
      <c r="O241" t="s">
        <v>75</v>
      </c>
      <c r="P241" t="s">
        <v>1125</v>
      </c>
      <c r="Q241" t="s">
        <v>32</v>
      </c>
      <c r="R241" s="29" t="s">
        <v>1126</v>
      </c>
      <c r="S241">
        <v>9.65</v>
      </c>
      <c r="T241">
        <v>5465</v>
      </c>
      <c r="U241">
        <v>0</v>
      </c>
      <c r="V241">
        <v>5465</v>
      </c>
    </row>
    <row r="242" spans="1:22" x14ac:dyDescent="0.3">
      <c r="A242">
        <v>15741</v>
      </c>
      <c r="B242">
        <v>455176077</v>
      </c>
      <c r="C242" t="s">
        <v>1127</v>
      </c>
      <c r="D242" s="9" t="s">
        <v>1128</v>
      </c>
      <c r="E242" t="s">
        <v>174</v>
      </c>
      <c r="G242" t="s">
        <v>53</v>
      </c>
      <c r="H242" t="s">
        <v>54</v>
      </c>
      <c r="I242" t="s">
        <v>36</v>
      </c>
      <c r="J242" t="s">
        <v>52</v>
      </c>
      <c r="K242" t="s">
        <v>29</v>
      </c>
      <c r="L242" t="s">
        <v>55</v>
      </c>
      <c r="M242" t="s">
        <v>1129</v>
      </c>
      <c r="N242" t="s">
        <v>176</v>
      </c>
      <c r="O242" t="s">
        <v>75</v>
      </c>
      <c r="P242" t="s">
        <v>1130</v>
      </c>
      <c r="Q242" t="s">
        <v>74</v>
      </c>
      <c r="R242" s="29" t="s">
        <v>1131</v>
      </c>
      <c r="S242">
        <v>11.17</v>
      </c>
      <c r="T242">
        <v>5943</v>
      </c>
      <c r="U242">
        <v>899.94</v>
      </c>
      <c r="V242">
        <v>6842.9400000000005</v>
      </c>
    </row>
    <row r="243" spans="1:22" x14ac:dyDescent="0.3">
      <c r="A243">
        <v>15741</v>
      </c>
      <c r="B243">
        <v>455175984</v>
      </c>
      <c r="C243" t="s">
        <v>1132</v>
      </c>
      <c r="D243" s="9" t="s">
        <v>1133</v>
      </c>
      <c r="E243" t="s">
        <v>174</v>
      </c>
      <c r="G243" t="s">
        <v>53</v>
      </c>
      <c r="H243" t="s">
        <v>54</v>
      </c>
      <c r="I243" t="s">
        <v>36</v>
      </c>
      <c r="J243" t="s">
        <v>52</v>
      </c>
      <c r="K243" t="s">
        <v>29</v>
      </c>
      <c r="L243" t="s">
        <v>55</v>
      </c>
      <c r="M243" t="s">
        <v>1134</v>
      </c>
      <c r="N243" t="s">
        <v>176</v>
      </c>
      <c r="O243" t="s">
        <v>75</v>
      </c>
      <c r="P243" t="s">
        <v>1135</v>
      </c>
      <c r="Q243" t="s">
        <v>66</v>
      </c>
      <c r="R243" s="29" t="s">
        <v>1136</v>
      </c>
      <c r="S243">
        <v>11.25</v>
      </c>
      <c r="T243">
        <v>10408</v>
      </c>
      <c r="U243">
        <v>899.94</v>
      </c>
      <c r="V243">
        <v>11307.94</v>
      </c>
    </row>
    <row r="244" spans="1:22" x14ac:dyDescent="0.3">
      <c r="A244">
        <v>15741</v>
      </c>
      <c r="B244">
        <v>455175925</v>
      </c>
      <c r="C244" t="s">
        <v>1137</v>
      </c>
      <c r="D244" s="9" t="s">
        <v>1138</v>
      </c>
      <c r="E244" t="s">
        <v>174</v>
      </c>
      <c r="G244" t="s">
        <v>53</v>
      </c>
      <c r="H244" t="s">
        <v>54</v>
      </c>
      <c r="I244" t="s">
        <v>36</v>
      </c>
      <c r="J244" t="s">
        <v>52</v>
      </c>
      <c r="K244" t="s">
        <v>29</v>
      </c>
      <c r="L244" t="s">
        <v>55</v>
      </c>
      <c r="M244" t="s">
        <v>1139</v>
      </c>
      <c r="N244" t="s">
        <v>176</v>
      </c>
      <c r="O244" t="s">
        <v>75</v>
      </c>
      <c r="P244" t="s">
        <v>1140</v>
      </c>
      <c r="Q244" t="s">
        <v>46</v>
      </c>
      <c r="R244" s="29" t="s">
        <v>1141</v>
      </c>
      <c r="S244">
        <v>16.489999999999998</v>
      </c>
      <c r="T244">
        <v>6414</v>
      </c>
      <c r="U244">
        <v>959.94</v>
      </c>
      <c r="V244">
        <v>7373.9400000000005</v>
      </c>
    </row>
    <row r="245" spans="1:22" x14ac:dyDescent="0.3">
      <c r="A245">
        <v>15741</v>
      </c>
      <c r="B245">
        <v>455175582</v>
      </c>
      <c r="C245" t="s">
        <v>1142</v>
      </c>
      <c r="D245" s="9" t="s">
        <v>1143</v>
      </c>
      <c r="E245" t="s">
        <v>174</v>
      </c>
      <c r="G245" t="s">
        <v>53</v>
      </c>
      <c r="H245" t="s">
        <v>54</v>
      </c>
      <c r="I245" t="s">
        <v>36</v>
      </c>
      <c r="J245" t="s">
        <v>52</v>
      </c>
      <c r="K245" t="s">
        <v>29</v>
      </c>
      <c r="L245" t="s">
        <v>55</v>
      </c>
      <c r="M245" t="s">
        <v>1144</v>
      </c>
      <c r="N245" t="s">
        <v>176</v>
      </c>
      <c r="O245" t="s">
        <v>75</v>
      </c>
      <c r="P245" t="s">
        <v>1145</v>
      </c>
      <c r="Q245" t="s">
        <v>140</v>
      </c>
      <c r="R245" s="29" t="s">
        <v>1146</v>
      </c>
      <c r="S245">
        <v>9.07</v>
      </c>
      <c r="T245">
        <v>5465</v>
      </c>
      <c r="U245">
        <v>539.94000000000005</v>
      </c>
      <c r="V245">
        <v>6004.9400000000005</v>
      </c>
    </row>
    <row r="246" spans="1:22" x14ac:dyDescent="0.3">
      <c r="A246">
        <v>15741</v>
      </c>
      <c r="B246">
        <v>455175479</v>
      </c>
      <c r="C246" t="s">
        <v>1147</v>
      </c>
      <c r="D246" s="9" t="s">
        <v>1148</v>
      </c>
      <c r="E246" t="s">
        <v>174</v>
      </c>
      <c r="G246" t="s">
        <v>53</v>
      </c>
      <c r="H246" t="s">
        <v>54</v>
      </c>
      <c r="I246" t="s">
        <v>36</v>
      </c>
      <c r="J246" t="s">
        <v>52</v>
      </c>
      <c r="K246" t="s">
        <v>29</v>
      </c>
      <c r="L246" t="s">
        <v>55</v>
      </c>
      <c r="M246" t="s">
        <v>1149</v>
      </c>
      <c r="N246" t="s">
        <v>176</v>
      </c>
      <c r="O246" t="s">
        <v>75</v>
      </c>
      <c r="P246" t="s">
        <v>1150</v>
      </c>
      <c r="Q246" t="s">
        <v>100</v>
      </c>
      <c r="R246" s="29" t="s">
        <v>1151</v>
      </c>
      <c r="S246">
        <v>11.46</v>
      </c>
      <c r="T246">
        <v>11598</v>
      </c>
      <c r="U246">
        <v>899.94</v>
      </c>
      <c r="V246">
        <v>12497.94</v>
      </c>
    </row>
    <row r="247" spans="1:22" x14ac:dyDescent="0.3">
      <c r="A247">
        <v>15741</v>
      </c>
      <c r="B247">
        <v>455175393</v>
      </c>
      <c r="C247" t="s">
        <v>1152</v>
      </c>
      <c r="D247" s="9" t="s">
        <v>1153</v>
      </c>
      <c r="E247" t="s">
        <v>174</v>
      </c>
      <c r="G247" t="s">
        <v>53</v>
      </c>
      <c r="H247" t="s">
        <v>54</v>
      </c>
      <c r="I247" t="s">
        <v>36</v>
      </c>
      <c r="J247" t="s">
        <v>52</v>
      </c>
      <c r="K247" t="s">
        <v>29</v>
      </c>
      <c r="L247" t="s">
        <v>55</v>
      </c>
      <c r="M247" t="s">
        <v>1154</v>
      </c>
      <c r="N247" t="s">
        <v>176</v>
      </c>
      <c r="O247" t="s">
        <v>75</v>
      </c>
      <c r="P247" t="s">
        <v>1155</v>
      </c>
      <c r="Q247" t="s">
        <v>46</v>
      </c>
      <c r="R247" s="29" t="s">
        <v>1156</v>
      </c>
      <c r="S247">
        <v>9.15</v>
      </c>
      <c r="T247">
        <v>5465</v>
      </c>
      <c r="U247">
        <v>539.94000000000005</v>
      </c>
      <c r="V247">
        <v>6004.9400000000005</v>
      </c>
    </row>
    <row r="248" spans="1:22" x14ac:dyDescent="0.3">
      <c r="A248">
        <v>15741</v>
      </c>
      <c r="B248">
        <v>455174381</v>
      </c>
      <c r="C248" t="s">
        <v>1157</v>
      </c>
      <c r="D248" s="9" t="s">
        <v>1158</v>
      </c>
      <c r="E248" t="s">
        <v>174</v>
      </c>
      <c r="G248" t="s">
        <v>53</v>
      </c>
      <c r="H248" t="s">
        <v>54</v>
      </c>
      <c r="I248" t="s">
        <v>36</v>
      </c>
      <c r="J248" t="s">
        <v>52</v>
      </c>
      <c r="K248" t="s">
        <v>29</v>
      </c>
      <c r="L248" t="s">
        <v>55</v>
      </c>
      <c r="M248" t="s">
        <v>1159</v>
      </c>
      <c r="N248" t="s">
        <v>176</v>
      </c>
      <c r="O248" t="s">
        <v>75</v>
      </c>
      <c r="P248" t="s">
        <v>1160</v>
      </c>
      <c r="Q248" t="s">
        <v>74</v>
      </c>
      <c r="R248" s="29" t="s">
        <v>125</v>
      </c>
      <c r="S248">
        <v>11.29</v>
      </c>
      <c r="T248">
        <v>5943</v>
      </c>
      <c r="U248">
        <v>959.94</v>
      </c>
      <c r="V248">
        <v>6902.9400000000005</v>
      </c>
    </row>
    <row r="249" spans="1:22" x14ac:dyDescent="0.3">
      <c r="A249">
        <v>15741</v>
      </c>
      <c r="B249">
        <v>455174303</v>
      </c>
      <c r="C249" t="s">
        <v>1161</v>
      </c>
      <c r="D249" s="9" t="s">
        <v>1162</v>
      </c>
      <c r="E249" t="s">
        <v>174</v>
      </c>
      <c r="G249" t="s">
        <v>53</v>
      </c>
      <c r="H249" t="s">
        <v>54</v>
      </c>
      <c r="I249" t="s">
        <v>36</v>
      </c>
      <c r="J249" t="s">
        <v>52</v>
      </c>
      <c r="K249" t="s">
        <v>29</v>
      </c>
      <c r="L249" t="s">
        <v>55</v>
      </c>
      <c r="M249" t="s">
        <v>1163</v>
      </c>
      <c r="N249" t="s">
        <v>176</v>
      </c>
      <c r="O249" t="s">
        <v>75</v>
      </c>
      <c r="P249" t="s">
        <v>1164</v>
      </c>
      <c r="Q249" t="s">
        <v>98</v>
      </c>
      <c r="R249" s="29" t="s">
        <v>1165</v>
      </c>
      <c r="S249">
        <v>15.37</v>
      </c>
      <c r="T249">
        <v>10408</v>
      </c>
      <c r="U249">
        <v>959.94</v>
      </c>
      <c r="V249">
        <v>11367.94</v>
      </c>
    </row>
    <row r="250" spans="1:22" x14ac:dyDescent="0.3">
      <c r="A250">
        <v>15741</v>
      </c>
      <c r="B250">
        <v>455174273</v>
      </c>
      <c r="C250" t="s">
        <v>1166</v>
      </c>
      <c r="D250" s="9" t="s">
        <v>1167</v>
      </c>
      <c r="E250" t="s">
        <v>174</v>
      </c>
      <c r="G250" t="s">
        <v>53</v>
      </c>
      <c r="H250" t="s">
        <v>54</v>
      </c>
      <c r="I250" t="s">
        <v>36</v>
      </c>
      <c r="J250" t="s">
        <v>52</v>
      </c>
      <c r="K250" t="s">
        <v>29</v>
      </c>
      <c r="L250" t="s">
        <v>55</v>
      </c>
      <c r="M250" t="s">
        <v>1168</v>
      </c>
      <c r="N250" t="s">
        <v>176</v>
      </c>
      <c r="O250" t="s">
        <v>75</v>
      </c>
      <c r="P250" t="s">
        <v>1169</v>
      </c>
      <c r="Q250" t="s">
        <v>87</v>
      </c>
      <c r="R250" s="29" t="s">
        <v>1170</v>
      </c>
      <c r="S250">
        <v>11.16</v>
      </c>
      <c r="T250">
        <v>10408</v>
      </c>
      <c r="U250">
        <v>899.94</v>
      </c>
      <c r="V250">
        <v>11307.94</v>
      </c>
    </row>
    <row r="251" spans="1:22" x14ac:dyDescent="0.3">
      <c r="A251">
        <v>15741</v>
      </c>
      <c r="B251">
        <v>455174229</v>
      </c>
      <c r="C251" t="s">
        <v>1171</v>
      </c>
      <c r="D251" s="9" t="s">
        <v>1172</v>
      </c>
      <c r="E251" t="s">
        <v>174</v>
      </c>
      <c r="G251" t="s">
        <v>53</v>
      </c>
      <c r="H251" t="s">
        <v>54</v>
      </c>
      <c r="I251" t="s">
        <v>36</v>
      </c>
      <c r="J251" t="s">
        <v>52</v>
      </c>
      <c r="K251" t="s">
        <v>29</v>
      </c>
      <c r="L251" t="s">
        <v>1173</v>
      </c>
      <c r="M251" t="s">
        <v>1174</v>
      </c>
      <c r="N251" t="s">
        <v>176</v>
      </c>
      <c r="O251" t="s">
        <v>75</v>
      </c>
      <c r="P251" t="s">
        <v>1175</v>
      </c>
      <c r="Q251" t="s">
        <v>32</v>
      </c>
      <c r="R251" s="29" t="s">
        <v>1176</v>
      </c>
      <c r="S251">
        <v>24.62</v>
      </c>
      <c r="T251">
        <v>10193</v>
      </c>
      <c r="U251">
        <v>1799.88</v>
      </c>
      <c r="V251">
        <v>11992.880000000001</v>
      </c>
    </row>
    <row r="252" spans="1:22" x14ac:dyDescent="0.3">
      <c r="A252">
        <v>15741</v>
      </c>
      <c r="B252">
        <v>455174068</v>
      </c>
      <c r="C252" t="s">
        <v>1177</v>
      </c>
      <c r="D252" s="9" t="s">
        <v>1178</v>
      </c>
      <c r="E252" t="s">
        <v>174</v>
      </c>
      <c r="G252" t="s">
        <v>53</v>
      </c>
      <c r="H252" t="s">
        <v>54</v>
      </c>
      <c r="I252" t="s">
        <v>36</v>
      </c>
      <c r="J252" t="s">
        <v>52</v>
      </c>
      <c r="K252" t="s">
        <v>29</v>
      </c>
      <c r="L252" t="s">
        <v>55</v>
      </c>
      <c r="M252" t="s">
        <v>1179</v>
      </c>
      <c r="N252" t="s">
        <v>176</v>
      </c>
      <c r="O252" t="s">
        <v>75</v>
      </c>
      <c r="P252" t="s">
        <v>1180</v>
      </c>
      <c r="Q252" t="s">
        <v>79</v>
      </c>
      <c r="R252" s="29" t="s">
        <v>1181</v>
      </c>
      <c r="S252">
        <v>9.8000000000000007</v>
      </c>
      <c r="T252">
        <v>9209</v>
      </c>
      <c r="U252">
        <v>0</v>
      </c>
      <c r="V252">
        <v>9209</v>
      </c>
    </row>
    <row r="253" spans="1:22" x14ac:dyDescent="0.3">
      <c r="A253">
        <v>15741</v>
      </c>
      <c r="B253">
        <v>455174026</v>
      </c>
      <c r="C253" t="s">
        <v>1182</v>
      </c>
      <c r="D253" s="9" t="s">
        <v>1183</v>
      </c>
      <c r="E253" t="s">
        <v>174</v>
      </c>
      <c r="G253" t="s">
        <v>53</v>
      </c>
      <c r="H253" t="s">
        <v>54</v>
      </c>
      <c r="I253" t="s">
        <v>36</v>
      </c>
      <c r="J253" t="s">
        <v>52</v>
      </c>
      <c r="K253" t="s">
        <v>29</v>
      </c>
      <c r="L253" t="s">
        <v>55</v>
      </c>
      <c r="M253" t="s">
        <v>1184</v>
      </c>
      <c r="N253" t="s">
        <v>176</v>
      </c>
      <c r="O253" t="s">
        <v>75</v>
      </c>
      <c r="P253" t="s">
        <v>1185</v>
      </c>
      <c r="Q253" t="s">
        <v>48</v>
      </c>
      <c r="R253" s="29" t="s">
        <v>1186</v>
      </c>
      <c r="S253">
        <v>9.8000000000000007</v>
      </c>
      <c r="T253">
        <v>5465</v>
      </c>
      <c r="U253">
        <v>0</v>
      </c>
      <c r="V253">
        <v>5465</v>
      </c>
    </row>
    <row r="254" spans="1:22" x14ac:dyDescent="0.3">
      <c r="A254">
        <v>15741</v>
      </c>
      <c r="B254">
        <v>455173912</v>
      </c>
      <c r="C254" t="s">
        <v>1187</v>
      </c>
      <c r="D254" s="9" t="s">
        <v>1188</v>
      </c>
      <c r="E254" t="s">
        <v>174</v>
      </c>
      <c r="G254" t="s">
        <v>53</v>
      </c>
      <c r="H254" t="s">
        <v>54</v>
      </c>
      <c r="I254" t="s">
        <v>36</v>
      </c>
      <c r="J254" t="s">
        <v>52</v>
      </c>
      <c r="K254" t="s">
        <v>29</v>
      </c>
      <c r="L254" t="s">
        <v>55</v>
      </c>
      <c r="M254" t="s">
        <v>1189</v>
      </c>
      <c r="N254" t="s">
        <v>176</v>
      </c>
      <c r="O254" t="s">
        <v>75</v>
      </c>
      <c r="P254" t="s">
        <v>1190</v>
      </c>
      <c r="Q254" t="s">
        <v>46</v>
      </c>
      <c r="R254" s="29" t="s">
        <v>1191</v>
      </c>
      <c r="S254">
        <v>14.67</v>
      </c>
      <c r="T254">
        <v>5943</v>
      </c>
      <c r="U254">
        <v>959.94</v>
      </c>
      <c r="V254">
        <v>6902.9400000000005</v>
      </c>
    </row>
    <row r="255" spans="1:22" x14ac:dyDescent="0.3">
      <c r="A255">
        <v>15741</v>
      </c>
      <c r="B255">
        <v>455173717</v>
      </c>
      <c r="C255" t="s">
        <v>1192</v>
      </c>
      <c r="D255" s="9" t="s">
        <v>1193</v>
      </c>
      <c r="E255" t="s">
        <v>174</v>
      </c>
      <c r="G255" t="s">
        <v>53</v>
      </c>
      <c r="H255" t="s">
        <v>54</v>
      </c>
      <c r="I255" t="s">
        <v>36</v>
      </c>
      <c r="J255" t="s">
        <v>52</v>
      </c>
      <c r="K255" t="s">
        <v>29</v>
      </c>
      <c r="L255" t="s">
        <v>55</v>
      </c>
      <c r="M255" t="s">
        <v>1194</v>
      </c>
      <c r="N255" t="s">
        <v>176</v>
      </c>
      <c r="O255" t="s">
        <v>75</v>
      </c>
      <c r="P255" t="s">
        <v>1195</v>
      </c>
      <c r="Q255" t="s">
        <v>87</v>
      </c>
      <c r="R255" s="29" t="s">
        <v>1196</v>
      </c>
      <c r="S255">
        <v>9.89</v>
      </c>
      <c r="T255">
        <v>9209</v>
      </c>
      <c r="U255">
        <v>0</v>
      </c>
      <c r="V255">
        <v>9209</v>
      </c>
    </row>
    <row r="256" spans="1:22" x14ac:dyDescent="0.3">
      <c r="A256">
        <v>15741</v>
      </c>
      <c r="B256">
        <v>455094624</v>
      </c>
      <c r="C256" t="s">
        <v>1197</v>
      </c>
      <c r="D256" s="9" t="s">
        <v>1198</v>
      </c>
      <c r="E256" t="s">
        <v>174</v>
      </c>
      <c r="G256" t="s">
        <v>53</v>
      </c>
      <c r="H256" t="s">
        <v>54</v>
      </c>
      <c r="I256" t="s">
        <v>36</v>
      </c>
      <c r="J256" t="s">
        <v>52</v>
      </c>
      <c r="K256" t="s">
        <v>29</v>
      </c>
      <c r="L256" t="s">
        <v>55</v>
      </c>
      <c r="M256" t="s">
        <v>1199</v>
      </c>
      <c r="N256" t="s">
        <v>176</v>
      </c>
      <c r="O256" t="s">
        <v>75</v>
      </c>
      <c r="P256" t="s">
        <v>1200</v>
      </c>
      <c r="Q256" t="s">
        <v>31</v>
      </c>
      <c r="R256" s="29" t="s">
        <v>1201</v>
      </c>
      <c r="S256">
        <v>20.59</v>
      </c>
      <c r="T256">
        <v>8303</v>
      </c>
      <c r="U256">
        <v>1619.94</v>
      </c>
      <c r="V256">
        <v>9922.94</v>
      </c>
    </row>
    <row r="257" spans="1:22" x14ac:dyDescent="0.3">
      <c r="A257">
        <v>15741</v>
      </c>
      <c r="B257">
        <v>455094466</v>
      </c>
      <c r="C257" t="s">
        <v>1202</v>
      </c>
      <c r="D257" s="9" t="s">
        <v>1203</v>
      </c>
      <c r="E257" t="s">
        <v>174</v>
      </c>
      <c r="G257" t="s">
        <v>53</v>
      </c>
      <c r="H257" t="s">
        <v>54</v>
      </c>
      <c r="I257" t="s">
        <v>36</v>
      </c>
      <c r="J257" t="s">
        <v>52</v>
      </c>
      <c r="K257" t="s">
        <v>29</v>
      </c>
      <c r="L257" t="s">
        <v>55</v>
      </c>
      <c r="M257" t="s">
        <v>1204</v>
      </c>
      <c r="N257" t="s">
        <v>176</v>
      </c>
      <c r="O257" t="s">
        <v>75</v>
      </c>
      <c r="P257" t="s">
        <v>1205</v>
      </c>
      <c r="Q257" t="s">
        <v>66</v>
      </c>
      <c r="R257" s="29" t="s">
        <v>1206</v>
      </c>
      <c r="S257">
        <v>9.77</v>
      </c>
      <c r="T257">
        <v>9209</v>
      </c>
      <c r="U257">
        <v>0</v>
      </c>
      <c r="V257">
        <v>9209</v>
      </c>
    </row>
    <row r="258" spans="1:22" x14ac:dyDescent="0.3">
      <c r="A258">
        <v>15741</v>
      </c>
      <c r="B258">
        <v>455083934</v>
      </c>
      <c r="C258" t="s">
        <v>1207</v>
      </c>
      <c r="D258" s="9" t="s">
        <v>1208</v>
      </c>
      <c r="E258" t="s">
        <v>174</v>
      </c>
      <c r="G258" t="s">
        <v>53</v>
      </c>
      <c r="H258" t="s">
        <v>54</v>
      </c>
      <c r="I258" t="s">
        <v>36</v>
      </c>
      <c r="J258" t="s">
        <v>52</v>
      </c>
      <c r="K258" t="s">
        <v>29</v>
      </c>
      <c r="L258" t="s">
        <v>55</v>
      </c>
      <c r="M258" t="s">
        <v>1209</v>
      </c>
      <c r="N258" t="s">
        <v>176</v>
      </c>
      <c r="O258" t="s">
        <v>75</v>
      </c>
      <c r="P258" t="s">
        <v>1210</v>
      </c>
      <c r="Q258" t="s">
        <v>47</v>
      </c>
      <c r="R258" s="29" t="s">
        <v>1211</v>
      </c>
      <c r="S258">
        <v>11.25</v>
      </c>
      <c r="T258">
        <v>5943</v>
      </c>
      <c r="U258">
        <v>899.94</v>
      </c>
      <c r="V258">
        <v>6842.9400000000005</v>
      </c>
    </row>
    <row r="259" spans="1:22" x14ac:dyDescent="0.3">
      <c r="A259">
        <v>15741</v>
      </c>
      <c r="B259">
        <v>455083856</v>
      </c>
      <c r="C259" t="s">
        <v>1212</v>
      </c>
      <c r="D259" s="9" t="s">
        <v>1213</v>
      </c>
      <c r="E259" t="s">
        <v>174</v>
      </c>
      <c r="G259" t="s">
        <v>53</v>
      </c>
      <c r="H259" t="s">
        <v>54</v>
      </c>
      <c r="I259" t="s">
        <v>36</v>
      </c>
      <c r="J259" t="s">
        <v>52</v>
      </c>
      <c r="K259" t="s">
        <v>29</v>
      </c>
      <c r="L259" t="s">
        <v>1173</v>
      </c>
      <c r="M259" t="s">
        <v>1214</v>
      </c>
      <c r="N259" t="s">
        <v>176</v>
      </c>
      <c r="O259" t="s">
        <v>75</v>
      </c>
      <c r="P259" t="s">
        <v>1215</v>
      </c>
      <c r="Q259" t="s">
        <v>76</v>
      </c>
      <c r="R259" s="29" t="s">
        <v>1216</v>
      </c>
      <c r="S259">
        <v>23.09</v>
      </c>
      <c r="T259">
        <v>9721</v>
      </c>
      <c r="U259">
        <v>959.88</v>
      </c>
      <c r="V259">
        <v>10680.88</v>
      </c>
    </row>
    <row r="260" spans="1:22" x14ac:dyDescent="0.3">
      <c r="A260">
        <v>15741</v>
      </c>
      <c r="B260">
        <v>455083814</v>
      </c>
      <c r="C260" t="s">
        <v>1217</v>
      </c>
      <c r="D260" s="9" t="s">
        <v>1218</v>
      </c>
      <c r="E260" t="s">
        <v>174</v>
      </c>
      <c r="G260" t="s">
        <v>53</v>
      </c>
      <c r="H260" t="s">
        <v>54</v>
      </c>
      <c r="I260" t="s">
        <v>36</v>
      </c>
      <c r="J260" t="s">
        <v>52</v>
      </c>
      <c r="K260" t="s">
        <v>29</v>
      </c>
      <c r="L260" t="s">
        <v>55</v>
      </c>
      <c r="M260" t="s">
        <v>1219</v>
      </c>
      <c r="N260" t="s">
        <v>176</v>
      </c>
      <c r="O260" t="s">
        <v>75</v>
      </c>
      <c r="P260" t="s">
        <v>1220</v>
      </c>
      <c r="Q260" t="s">
        <v>66</v>
      </c>
      <c r="R260" s="29" t="s">
        <v>1221</v>
      </c>
      <c r="S260">
        <v>15.19</v>
      </c>
      <c r="T260">
        <v>10408</v>
      </c>
      <c r="U260">
        <v>959.94</v>
      </c>
      <c r="V260">
        <v>11367.94</v>
      </c>
    </row>
    <row r="261" spans="1:22" x14ac:dyDescent="0.3">
      <c r="A261">
        <v>15741</v>
      </c>
      <c r="B261">
        <v>455083752</v>
      </c>
      <c r="C261" t="s">
        <v>1222</v>
      </c>
      <c r="D261" s="9" t="s">
        <v>1223</v>
      </c>
      <c r="E261" t="s">
        <v>174</v>
      </c>
      <c r="G261" t="s">
        <v>53</v>
      </c>
      <c r="H261" t="s">
        <v>54</v>
      </c>
      <c r="I261" t="s">
        <v>36</v>
      </c>
      <c r="J261" t="s">
        <v>52</v>
      </c>
      <c r="K261" t="s">
        <v>29</v>
      </c>
      <c r="L261" t="s">
        <v>55</v>
      </c>
      <c r="M261" t="s">
        <v>1224</v>
      </c>
      <c r="N261" t="s">
        <v>176</v>
      </c>
      <c r="O261" t="s">
        <v>75</v>
      </c>
      <c r="P261" t="s">
        <v>1225</v>
      </c>
      <c r="Q261" t="s">
        <v>69</v>
      </c>
      <c r="R261" s="29" t="s">
        <v>1226</v>
      </c>
      <c r="S261">
        <v>11.89</v>
      </c>
      <c r="T261">
        <v>5943</v>
      </c>
      <c r="U261">
        <v>959.94</v>
      </c>
      <c r="V261">
        <v>6902.9400000000005</v>
      </c>
    </row>
    <row r="262" spans="1:22" x14ac:dyDescent="0.3">
      <c r="A262">
        <v>15741</v>
      </c>
      <c r="B262">
        <v>455072305</v>
      </c>
      <c r="C262" t="s">
        <v>1227</v>
      </c>
      <c r="D262" s="9" t="s">
        <v>1228</v>
      </c>
      <c r="E262" t="s">
        <v>174</v>
      </c>
      <c r="G262" t="s">
        <v>53</v>
      </c>
      <c r="H262" t="s">
        <v>54</v>
      </c>
      <c r="I262" t="s">
        <v>36</v>
      </c>
      <c r="J262" t="s">
        <v>52</v>
      </c>
      <c r="K262" t="s">
        <v>29</v>
      </c>
      <c r="L262" t="s">
        <v>55</v>
      </c>
      <c r="M262" t="s">
        <v>1229</v>
      </c>
      <c r="N262" t="s">
        <v>176</v>
      </c>
      <c r="O262" t="s">
        <v>75</v>
      </c>
      <c r="P262" t="s">
        <v>1230</v>
      </c>
      <c r="Q262" t="s">
        <v>66</v>
      </c>
      <c r="R262" s="29" t="s">
        <v>1231</v>
      </c>
      <c r="S262">
        <v>7.19</v>
      </c>
      <c r="T262">
        <v>9209</v>
      </c>
      <c r="U262">
        <v>0</v>
      </c>
      <c r="V262">
        <v>9209</v>
      </c>
    </row>
    <row r="263" spans="1:22" x14ac:dyDescent="0.3">
      <c r="A263">
        <v>15741</v>
      </c>
      <c r="B263">
        <v>455072290</v>
      </c>
      <c r="C263" t="s">
        <v>1232</v>
      </c>
      <c r="D263" s="9" t="s">
        <v>1233</v>
      </c>
      <c r="E263" t="s">
        <v>174</v>
      </c>
      <c r="G263" t="s">
        <v>53</v>
      </c>
      <c r="H263" t="s">
        <v>54</v>
      </c>
      <c r="I263" t="s">
        <v>36</v>
      </c>
      <c r="J263" t="s">
        <v>52</v>
      </c>
      <c r="K263" t="s">
        <v>29</v>
      </c>
      <c r="L263" t="s">
        <v>55</v>
      </c>
      <c r="M263" t="s">
        <v>1234</v>
      </c>
      <c r="N263" t="s">
        <v>176</v>
      </c>
      <c r="O263" t="s">
        <v>75</v>
      </c>
      <c r="P263" t="s">
        <v>1235</v>
      </c>
      <c r="Q263" t="s">
        <v>157</v>
      </c>
      <c r="R263" s="29" t="s">
        <v>1236</v>
      </c>
      <c r="S263">
        <v>11.93</v>
      </c>
      <c r="T263">
        <v>5943</v>
      </c>
      <c r="U263">
        <v>899.94</v>
      </c>
      <c r="V263">
        <v>6842.9400000000005</v>
      </c>
    </row>
    <row r="264" spans="1:22" x14ac:dyDescent="0.3">
      <c r="A264">
        <v>15741</v>
      </c>
      <c r="B264">
        <v>455072271</v>
      </c>
      <c r="C264" t="s">
        <v>1237</v>
      </c>
      <c r="D264" s="9" t="s">
        <v>1238</v>
      </c>
      <c r="E264" t="s">
        <v>174</v>
      </c>
      <c r="G264" t="s">
        <v>53</v>
      </c>
      <c r="H264" t="s">
        <v>54</v>
      </c>
      <c r="I264" t="s">
        <v>36</v>
      </c>
      <c r="J264" t="s">
        <v>52</v>
      </c>
      <c r="K264" t="s">
        <v>29</v>
      </c>
      <c r="L264" t="s">
        <v>55</v>
      </c>
      <c r="M264" t="s">
        <v>1239</v>
      </c>
      <c r="N264" t="s">
        <v>176</v>
      </c>
      <c r="O264" t="s">
        <v>75</v>
      </c>
      <c r="P264" t="s">
        <v>1240</v>
      </c>
      <c r="Q264" t="s">
        <v>63</v>
      </c>
      <c r="R264" s="29" t="s">
        <v>1241</v>
      </c>
      <c r="S264">
        <v>20.2</v>
      </c>
      <c r="T264">
        <v>21769</v>
      </c>
      <c r="U264">
        <v>1619.94</v>
      </c>
      <c r="V264">
        <v>23388.94</v>
      </c>
    </row>
    <row r="265" spans="1:22" x14ac:dyDescent="0.3">
      <c r="A265">
        <v>15741</v>
      </c>
      <c r="B265">
        <v>455072166</v>
      </c>
      <c r="C265" t="s">
        <v>1242</v>
      </c>
      <c r="D265" s="9" t="s">
        <v>1243</v>
      </c>
      <c r="E265" t="s">
        <v>174</v>
      </c>
      <c r="G265" t="s">
        <v>53</v>
      </c>
      <c r="H265" t="s">
        <v>54</v>
      </c>
      <c r="I265" t="s">
        <v>36</v>
      </c>
      <c r="J265" t="s">
        <v>52</v>
      </c>
      <c r="K265" t="s">
        <v>29</v>
      </c>
      <c r="L265" t="s">
        <v>55</v>
      </c>
      <c r="M265" t="s">
        <v>1244</v>
      </c>
      <c r="N265" t="s">
        <v>176</v>
      </c>
      <c r="O265" t="s">
        <v>75</v>
      </c>
      <c r="P265" t="s">
        <v>1245</v>
      </c>
      <c r="Q265" t="s">
        <v>69</v>
      </c>
      <c r="R265" s="29" t="s">
        <v>1246</v>
      </c>
      <c r="S265">
        <v>15.14</v>
      </c>
      <c r="T265">
        <v>5943</v>
      </c>
      <c r="U265">
        <v>959.94</v>
      </c>
      <c r="V265">
        <v>6902.9400000000005</v>
      </c>
    </row>
    <row r="266" spans="1:22" x14ac:dyDescent="0.3">
      <c r="A266">
        <v>15741</v>
      </c>
      <c r="B266">
        <v>455072033</v>
      </c>
      <c r="C266" t="s">
        <v>1247</v>
      </c>
      <c r="D266" s="9" t="s">
        <v>1248</v>
      </c>
      <c r="E266" t="s">
        <v>174</v>
      </c>
      <c r="G266" t="s">
        <v>53</v>
      </c>
      <c r="H266" t="s">
        <v>54</v>
      </c>
      <c r="I266" t="s">
        <v>36</v>
      </c>
      <c r="J266" t="s">
        <v>52</v>
      </c>
      <c r="K266" t="s">
        <v>1249</v>
      </c>
      <c r="L266" t="s">
        <v>1250</v>
      </c>
      <c r="M266" t="s">
        <v>1251</v>
      </c>
      <c r="N266" t="s">
        <v>176</v>
      </c>
      <c r="O266" t="s">
        <v>75</v>
      </c>
      <c r="P266" t="s">
        <v>1252</v>
      </c>
      <c r="Q266" t="s">
        <v>140</v>
      </c>
      <c r="R266" s="29" t="s">
        <v>1253</v>
      </c>
      <c r="S266">
        <v>21.75</v>
      </c>
      <c r="T266">
        <v>8777</v>
      </c>
      <c r="U266">
        <v>1019.88</v>
      </c>
      <c r="V266">
        <v>9796.8799999999992</v>
      </c>
    </row>
    <row r="267" spans="1:22" x14ac:dyDescent="0.3">
      <c r="A267">
        <v>15741</v>
      </c>
      <c r="B267">
        <v>455071938</v>
      </c>
      <c r="C267" t="s">
        <v>1254</v>
      </c>
      <c r="D267" s="9" t="s">
        <v>1255</v>
      </c>
      <c r="E267" t="s">
        <v>174</v>
      </c>
      <c r="G267" t="s">
        <v>53</v>
      </c>
      <c r="H267" t="s">
        <v>54</v>
      </c>
      <c r="I267" t="s">
        <v>36</v>
      </c>
      <c r="J267" t="s">
        <v>52</v>
      </c>
      <c r="K267" t="s">
        <v>29</v>
      </c>
      <c r="L267" t="s">
        <v>55</v>
      </c>
      <c r="M267" t="s">
        <v>1256</v>
      </c>
      <c r="N267" t="s">
        <v>176</v>
      </c>
      <c r="O267" t="s">
        <v>75</v>
      </c>
      <c r="P267" t="s">
        <v>1257</v>
      </c>
      <c r="Q267" t="s">
        <v>77</v>
      </c>
      <c r="R267" s="29" t="s">
        <v>1258</v>
      </c>
      <c r="S267">
        <v>10.95</v>
      </c>
      <c r="T267">
        <v>12360</v>
      </c>
      <c r="U267">
        <v>899.94</v>
      </c>
      <c r="V267">
        <v>13259.94</v>
      </c>
    </row>
    <row r="268" spans="1:22" x14ac:dyDescent="0.3">
      <c r="A268">
        <v>15741</v>
      </c>
      <c r="B268">
        <v>455071872</v>
      </c>
      <c r="C268" t="s">
        <v>1259</v>
      </c>
      <c r="D268" s="9" t="s">
        <v>1260</v>
      </c>
      <c r="E268" t="s">
        <v>174</v>
      </c>
      <c r="G268" t="s">
        <v>53</v>
      </c>
      <c r="H268" t="s">
        <v>54</v>
      </c>
      <c r="I268" t="s">
        <v>36</v>
      </c>
      <c r="J268" t="s">
        <v>52</v>
      </c>
      <c r="K268" t="s">
        <v>29</v>
      </c>
      <c r="L268" t="s">
        <v>55</v>
      </c>
      <c r="M268" t="s">
        <v>1261</v>
      </c>
      <c r="N268" t="s">
        <v>176</v>
      </c>
      <c r="O268" t="s">
        <v>75</v>
      </c>
      <c r="P268" t="s">
        <v>1262</v>
      </c>
      <c r="Q268" t="s">
        <v>86</v>
      </c>
      <c r="R268" s="29" t="s">
        <v>1263</v>
      </c>
      <c r="S268">
        <v>11.74</v>
      </c>
      <c r="T268">
        <v>13529</v>
      </c>
      <c r="U268">
        <v>899.94</v>
      </c>
      <c r="V268">
        <v>14428.94</v>
      </c>
    </row>
    <row r="269" spans="1:22" x14ac:dyDescent="0.3">
      <c r="A269">
        <v>15741</v>
      </c>
      <c r="B269">
        <v>455071792</v>
      </c>
      <c r="C269" t="s">
        <v>1264</v>
      </c>
      <c r="D269" s="9" t="s">
        <v>1265</v>
      </c>
      <c r="E269" t="s">
        <v>174</v>
      </c>
      <c r="G269" t="s">
        <v>53</v>
      </c>
      <c r="H269" t="s">
        <v>54</v>
      </c>
      <c r="I269" t="s">
        <v>36</v>
      </c>
      <c r="J269" t="s">
        <v>52</v>
      </c>
      <c r="K269" t="s">
        <v>29</v>
      </c>
      <c r="L269" t="s">
        <v>55</v>
      </c>
      <c r="M269" t="s">
        <v>1266</v>
      </c>
      <c r="N269" t="s">
        <v>176</v>
      </c>
      <c r="O269" t="s">
        <v>75</v>
      </c>
      <c r="P269" t="s">
        <v>1267</v>
      </c>
      <c r="Q269" t="s">
        <v>149</v>
      </c>
      <c r="R269" s="29" t="s">
        <v>1268</v>
      </c>
      <c r="S269">
        <v>12.45</v>
      </c>
      <c r="T269">
        <v>13529</v>
      </c>
      <c r="U269">
        <v>599.94000000000005</v>
      </c>
      <c r="V269">
        <v>14128.94</v>
      </c>
    </row>
    <row r="270" spans="1:22" x14ac:dyDescent="0.3">
      <c r="A270">
        <v>15741</v>
      </c>
      <c r="B270">
        <v>455071732</v>
      </c>
      <c r="C270" t="s">
        <v>1269</v>
      </c>
      <c r="D270" s="9" t="s">
        <v>1270</v>
      </c>
      <c r="E270" t="s">
        <v>174</v>
      </c>
      <c r="G270" t="s">
        <v>53</v>
      </c>
      <c r="H270" t="s">
        <v>54</v>
      </c>
      <c r="I270" t="s">
        <v>36</v>
      </c>
      <c r="J270" t="s">
        <v>52</v>
      </c>
      <c r="K270" t="s">
        <v>29</v>
      </c>
      <c r="L270" t="s">
        <v>55</v>
      </c>
      <c r="M270" t="s">
        <v>1271</v>
      </c>
      <c r="N270" t="s">
        <v>176</v>
      </c>
      <c r="O270" t="s">
        <v>75</v>
      </c>
      <c r="P270" t="s">
        <v>1272</v>
      </c>
      <c r="Q270" t="s">
        <v>151</v>
      </c>
      <c r="R270" s="29" t="s">
        <v>1273</v>
      </c>
      <c r="S270">
        <v>10.82</v>
      </c>
      <c r="T270">
        <v>5943</v>
      </c>
      <c r="U270">
        <v>899.94</v>
      </c>
      <c r="V270">
        <v>6842.9400000000005</v>
      </c>
    </row>
    <row r="271" spans="1:22" x14ac:dyDescent="0.3">
      <c r="A271">
        <v>15741</v>
      </c>
      <c r="B271">
        <v>455057996</v>
      </c>
      <c r="C271" t="s">
        <v>1274</v>
      </c>
      <c r="D271" s="9" t="s">
        <v>1275</v>
      </c>
      <c r="E271" t="s">
        <v>174</v>
      </c>
      <c r="G271" t="s">
        <v>53</v>
      </c>
      <c r="H271" t="s">
        <v>54</v>
      </c>
      <c r="I271" t="s">
        <v>36</v>
      </c>
      <c r="J271" t="s">
        <v>52</v>
      </c>
      <c r="K271" t="s">
        <v>29</v>
      </c>
      <c r="L271" t="s">
        <v>55</v>
      </c>
      <c r="M271" t="s">
        <v>1276</v>
      </c>
      <c r="N271" t="s">
        <v>176</v>
      </c>
      <c r="O271" t="s">
        <v>75</v>
      </c>
      <c r="P271" t="s">
        <v>1277</v>
      </c>
      <c r="Q271" t="s">
        <v>101</v>
      </c>
      <c r="R271" s="29" t="s">
        <v>1278</v>
      </c>
      <c r="S271">
        <v>7.31</v>
      </c>
      <c r="T271">
        <v>10262</v>
      </c>
      <c r="U271">
        <v>0</v>
      </c>
      <c r="V271">
        <v>10262</v>
      </c>
    </row>
    <row r="272" spans="1:22" x14ac:dyDescent="0.3">
      <c r="A272">
        <v>15741</v>
      </c>
      <c r="B272">
        <v>455057924</v>
      </c>
      <c r="C272" t="s">
        <v>1279</v>
      </c>
      <c r="D272" s="9" t="s">
        <v>1280</v>
      </c>
      <c r="E272" t="s">
        <v>174</v>
      </c>
      <c r="G272" t="s">
        <v>53</v>
      </c>
      <c r="H272" t="s">
        <v>54</v>
      </c>
      <c r="I272" t="s">
        <v>36</v>
      </c>
      <c r="J272" t="s">
        <v>52</v>
      </c>
      <c r="K272" t="s">
        <v>29</v>
      </c>
      <c r="L272" t="s">
        <v>55</v>
      </c>
      <c r="M272" t="s">
        <v>1281</v>
      </c>
      <c r="N272" t="s">
        <v>176</v>
      </c>
      <c r="O272" t="s">
        <v>75</v>
      </c>
      <c r="P272" t="s">
        <v>1282</v>
      </c>
      <c r="Q272" t="s">
        <v>87</v>
      </c>
      <c r="R272" s="29" t="s">
        <v>1283</v>
      </c>
      <c r="S272">
        <v>15.7</v>
      </c>
      <c r="T272">
        <v>10408</v>
      </c>
      <c r="U272">
        <v>959.94</v>
      </c>
      <c r="V272">
        <v>11367.94</v>
      </c>
    </row>
    <row r="273" spans="1:22" x14ac:dyDescent="0.3">
      <c r="A273">
        <v>15741</v>
      </c>
      <c r="B273">
        <v>455051403</v>
      </c>
      <c r="C273" t="s">
        <v>1284</v>
      </c>
      <c r="D273" s="9" t="s">
        <v>1285</v>
      </c>
      <c r="E273" t="s">
        <v>174</v>
      </c>
      <c r="G273" t="s">
        <v>53</v>
      </c>
      <c r="H273" t="s">
        <v>54</v>
      </c>
      <c r="I273" t="s">
        <v>36</v>
      </c>
      <c r="J273" t="s">
        <v>52</v>
      </c>
      <c r="K273" t="s">
        <v>29</v>
      </c>
      <c r="L273" t="s">
        <v>55</v>
      </c>
      <c r="M273" t="s">
        <v>1286</v>
      </c>
      <c r="N273" t="s">
        <v>176</v>
      </c>
      <c r="O273" t="s">
        <v>75</v>
      </c>
      <c r="P273" t="s">
        <v>1287</v>
      </c>
      <c r="Q273" t="s">
        <v>113</v>
      </c>
      <c r="R273" s="29" t="s">
        <v>1288</v>
      </c>
      <c r="S273">
        <v>11.69</v>
      </c>
      <c r="T273">
        <v>12809</v>
      </c>
      <c r="U273">
        <v>959.94</v>
      </c>
      <c r="V273">
        <v>13768.94</v>
      </c>
    </row>
    <row r="274" spans="1:22" x14ac:dyDescent="0.3">
      <c r="A274">
        <v>15741</v>
      </c>
      <c r="B274">
        <v>455052730</v>
      </c>
      <c r="C274" t="s">
        <v>1289</v>
      </c>
      <c r="D274" s="9" t="s">
        <v>1290</v>
      </c>
      <c r="E274" t="s">
        <v>174</v>
      </c>
      <c r="G274" t="s">
        <v>53</v>
      </c>
      <c r="H274" t="s">
        <v>54</v>
      </c>
      <c r="I274" t="s">
        <v>36</v>
      </c>
      <c r="J274" t="s">
        <v>52</v>
      </c>
      <c r="K274" t="s">
        <v>29</v>
      </c>
      <c r="L274" t="s">
        <v>55</v>
      </c>
      <c r="M274" t="s">
        <v>1291</v>
      </c>
      <c r="N274" t="s">
        <v>176</v>
      </c>
      <c r="O274" t="s">
        <v>75</v>
      </c>
      <c r="P274" t="s">
        <v>1292</v>
      </c>
      <c r="Q274" t="s">
        <v>69</v>
      </c>
      <c r="R274" s="29" t="s">
        <v>1293</v>
      </c>
      <c r="S274">
        <v>16.95</v>
      </c>
      <c r="T274">
        <v>6414</v>
      </c>
      <c r="U274">
        <v>959.94</v>
      </c>
      <c r="V274">
        <v>7373.9400000000005</v>
      </c>
    </row>
    <row r="275" spans="1:22" x14ac:dyDescent="0.3">
      <c r="A275">
        <v>15741</v>
      </c>
      <c r="B275">
        <v>455052628</v>
      </c>
      <c r="C275" t="s">
        <v>1294</v>
      </c>
      <c r="D275" s="9" t="s">
        <v>1295</v>
      </c>
      <c r="E275" t="s">
        <v>174</v>
      </c>
      <c r="G275" t="s">
        <v>53</v>
      </c>
      <c r="H275" t="s">
        <v>54</v>
      </c>
      <c r="I275" t="s">
        <v>36</v>
      </c>
      <c r="J275" t="s">
        <v>52</v>
      </c>
      <c r="K275" t="s">
        <v>29</v>
      </c>
      <c r="L275" t="s">
        <v>55</v>
      </c>
      <c r="M275" t="s">
        <v>1296</v>
      </c>
      <c r="N275" t="s">
        <v>176</v>
      </c>
      <c r="O275" t="s">
        <v>75</v>
      </c>
      <c r="P275" t="s">
        <v>1297</v>
      </c>
      <c r="Q275" t="s">
        <v>109</v>
      </c>
      <c r="R275" s="29" t="s">
        <v>1298</v>
      </c>
      <c r="S275">
        <v>11.35</v>
      </c>
      <c r="T275">
        <v>16741</v>
      </c>
      <c r="U275">
        <v>959.94</v>
      </c>
      <c r="V275">
        <v>17700.939999999999</v>
      </c>
    </row>
    <row r="276" spans="1:22" x14ac:dyDescent="0.3">
      <c r="A276">
        <v>15741</v>
      </c>
      <c r="B276">
        <v>455052585</v>
      </c>
      <c r="C276" t="s">
        <v>1299</v>
      </c>
      <c r="D276" s="9" t="s">
        <v>1300</v>
      </c>
      <c r="E276" t="s">
        <v>174</v>
      </c>
      <c r="G276" t="s">
        <v>53</v>
      </c>
      <c r="H276" t="s">
        <v>54</v>
      </c>
      <c r="I276" t="s">
        <v>36</v>
      </c>
      <c r="J276" t="s">
        <v>52</v>
      </c>
      <c r="K276" t="s">
        <v>29</v>
      </c>
      <c r="L276" t="s">
        <v>55</v>
      </c>
      <c r="M276" t="s">
        <v>1301</v>
      </c>
      <c r="N276" t="s">
        <v>176</v>
      </c>
      <c r="O276" t="s">
        <v>75</v>
      </c>
      <c r="P276" t="s">
        <v>1302</v>
      </c>
      <c r="Q276" t="s">
        <v>68</v>
      </c>
      <c r="R276" s="29" t="s">
        <v>1303</v>
      </c>
      <c r="S276">
        <v>11.05</v>
      </c>
      <c r="T276">
        <v>5943</v>
      </c>
      <c r="U276">
        <v>899.94</v>
      </c>
      <c r="V276">
        <v>6842.9400000000005</v>
      </c>
    </row>
    <row r="277" spans="1:22" x14ac:dyDescent="0.3">
      <c r="A277">
        <v>15741</v>
      </c>
      <c r="B277">
        <v>455052540</v>
      </c>
      <c r="C277" t="s">
        <v>1304</v>
      </c>
      <c r="D277" s="9" t="s">
        <v>1305</v>
      </c>
      <c r="E277" t="s">
        <v>174</v>
      </c>
      <c r="G277" t="s">
        <v>53</v>
      </c>
      <c r="H277" t="s">
        <v>54</v>
      </c>
      <c r="I277" t="s">
        <v>36</v>
      </c>
      <c r="J277" t="s">
        <v>52</v>
      </c>
      <c r="K277" t="s">
        <v>29</v>
      </c>
      <c r="L277" t="s">
        <v>55</v>
      </c>
      <c r="M277" t="s">
        <v>1306</v>
      </c>
      <c r="N277" t="s">
        <v>176</v>
      </c>
      <c r="O277" t="s">
        <v>75</v>
      </c>
      <c r="P277" t="s">
        <v>1307</v>
      </c>
      <c r="Q277" t="s">
        <v>31</v>
      </c>
      <c r="R277" s="29" t="s">
        <v>1308</v>
      </c>
      <c r="S277">
        <v>11.37</v>
      </c>
      <c r="T277">
        <v>5943</v>
      </c>
      <c r="U277">
        <v>899.94</v>
      </c>
      <c r="V277">
        <v>6842.9400000000005</v>
      </c>
    </row>
    <row r="278" spans="1:22" x14ac:dyDescent="0.3">
      <c r="A278">
        <v>15741</v>
      </c>
      <c r="B278">
        <v>455052243</v>
      </c>
      <c r="C278" t="s">
        <v>1309</v>
      </c>
      <c r="D278" s="9" t="s">
        <v>1310</v>
      </c>
      <c r="E278" t="s">
        <v>174</v>
      </c>
      <c r="G278" t="s">
        <v>53</v>
      </c>
      <c r="H278" t="s">
        <v>54</v>
      </c>
      <c r="I278" t="s">
        <v>36</v>
      </c>
      <c r="J278" t="s">
        <v>52</v>
      </c>
      <c r="K278" t="s">
        <v>29</v>
      </c>
      <c r="L278" t="s">
        <v>55</v>
      </c>
      <c r="M278" t="s">
        <v>1311</v>
      </c>
      <c r="N278" t="s">
        <v>176</v>
      </c>
      <c r="O278" t="s">
        <v>75</v>
      </c>
      <c r="P278" t="s">
        <v>1312</v>
      </c>
      <c r="Q278" t="s">
        <v>47</v>
      </c>
      <c r="R278" s="29" t="s">
        <v>163</v>
      </c>
      <c r="S278">
        <v>12.58</v>
      </c>
      <c r="T278">
        <v>5943</v>
      </c>
      <c r="U278">
        <v>899.94</v>
      </c>
      <c r="V278">
        <v>6842.9400000000005</v>
      </c>
    </row>
    <row r="279" spans="1:22" x14ac:dyDescent="0.3">
      <c r="A279">
        <v>15741</v>
      </c>
      <c r="B279">
        <v>455052199</v>
      </c>
      <c r="C279" t="s">
        <v>1313</v>
      </c>
      <c r="D279" s="9" t="s">
        <v>1314</v>
      </c>
      <c r="E279" t="s">
        <v>174</v>
      </c>
      <c r="G279" t="s">
        <v>53</v>
      </c>
      <c r="H279" t="s">
        <v>54</v>
      </c>
      <c r="I279" t="s">
        <v>36</v>
      </c>
      <c r="J279" t="s">
        <v>52</v>
      </c>
      <c r="K279" t="s">
        <v>29</v>
      </c>
      <c r="L279" t="s">
        <v>55</v>
      </c>
      <c r="M279" t="s">
        <v>1315</v>
      </c>
      <c r="N279" t="s">
        <v>176</v>
      </c>
      <c r="O279" t="s">
        <v>75</v>
      </c>
      <c r="P279" t="s">
        <v>1316</v>
      </c>
      <c r="Q279" t="s">
        <v>66</v>
      </c>
      <c r="R279" s="29" t="s">
        <v>1317</v>
      </c>
      <c r="S279">
        <v>11.93</v>
      </c>
      <c r="T279">
        <v>10408</v>
      </c>
      <c r="U279">
        <v>899.94</v>
      </c>
      <c r="V279">
        <v>11307.94</v>
      </c>
    </row>
    <row r="280" spans="1:22" x14ac:dyDescent="0.3">
      <c r="A280">
        <v>15741</v>
      </c>
      <c r="B280">
        <v>455052154</v>
      </c>
      <c r="C280" t="s">
        <v>1318</v>
      </c>
      <c r="D280" s="9" t="s">
        <v>1319</v>
      </c>
      <c r="E280" t="s">
        <v>174</v>
      </c>
      <c r="G280" t="s">
        <v>53</v>
      </c>
      <c r="H280" t="s">
        <v>54</v>
      </c>
      <c r="I280" t="s">
        <v>36</v>
      </c>
      <c r="J280" t="s">
        <v>52</v>
      </c>
      <c r="K280" t="s">
        <v>29</v>
      </c>
      <c r="L280" t="s">
        <v>55</v>
      </c>
      <c r="M280" t="s">
        <v>1320</v>
      </c>
      <c r="N280" t="s">
        <v>176</v>
      </c>
      <c r="O280" t="s">
        <v>75</v>
      </c>
      <c r="P280" t="s">
        <v>1321</v>
      </c>
      <c r="Q280" t="s">
        <v>48</v>
      </c>
      <c r="R280" s="29" t="s">
        <v>1322</v>
      </c>
      <c r="S280">
        <v>11.5</v>
      </c>
      <c r="T280">
        <v>5943</v>
      </c>
      <c r="U280">
        <v>959.94</v>
      </c>
      <c r="V280">
        <v>6902.9400000000005</v>
      </c>
    </row>
    <row r="281" spans="1:22" x14ac:dyDescent="0.3">
      <c r="A281">
        <v>15741</v>
      </c>
      <c r="B281">
        <v>455052091</v>
      </c>
      <c r="C281" t="s">
        <v>1323</v>
      </c>
      <c r="D281" s="9" t="s">
        <v>1324</v>
      </c>
      <c r="E281" t="s">
        <v>174</v>
      </c>
      <c r="G281" t="s">
        <v>53</v>
      </c>
      <c r="H281" t="s">
        <v>54</v>
      </c>
      <c r="I281" t="s">
        <v>36</v>
      </c>
      <c r="J281" t="s">
        <v>52</v>
      </c>
      <c r="K281" t="s">
        <v>29</v>
      </c>
      <c r="L281" t="s">
        <v>55</v>
      </c>
      <c r="M281" t="s">
        <v>1325</v>
      </c>
      <c r="N281" t="s">
        <v>176</v>
      </c>
      <c r="O281" t="s">
        <v>75</v>
      </c>
      <c r="P281" t="s">
        <v>1326</v>
      </c>
      <c r="Q281" t="s">
        <v>74</v>
      </c>
      <c r="R281" s="29" t="s">
        <v>1322</v>
      </c>
      <c r="S281">
        <v>20.420000000000002</v>
      </c>
      <c r="T281">
        <v>8303</v>
      </c>
      <c r="U281">
        <v>1619.94</v>
      </c>
      <c r="V281">
        <v>9922.94</v>
      </c>
    </row>
    <row r="282" spans="1:22" x14ac:dyDescent="0.3">
      <c r="A282">
        <v>15741</v>
      </c>
      <c r="B282">
        <v>455051953</v>
      </c>
      <c r="C282" t="s">
        <v>1327</v>
      </c>
      <c r="D282" s="9" t="s">
        <v>1328</v>
      </c>
      <c r="E282" t="s">
        <v>174</v>
      </c>
      <c r="G282" t="s">
        <v>53</v>
      </c>
      <c r="H282" t="s">
        <v>54</v>
      </c>
      <c r="I282" t="s">
        <v>36</v>
      </c>
      <c r="J282" t="s">
        <v>52</v>
      </c>
      <c r="K282" t="s">
        <v>29</v>
      </c>
      <c r="L282" t="s">
        <v>55</v>
      </c>
      <c r="M282" t="s">
        <v>1329</v>
      </c>
      <c r="N282" t="s">
        <v>176</v>
      </c>
      <c r="O282" t="s">
        <v>75</v>
      </c>
      <c r="P282" t="s">
        <v>1330</v>
      </c>
      <c r="Q282" t="s">
        <v>64</v>
      </c>
      <c r="R282" s="29" t="s">
        <v>1331</v>
      </c>
      <c r="S282">
        <v>16.36</v>
      </c>
      <c r="T282">
        <v>10989</v>
      </c>
      <c r="U282">
        <v>959.94</v>
      </c>
      <c r="V282">
        <v>11948.94</v>
      </c>
    </row>
    <row r="283" spans="1:22" x14ac:dyDescent="0.3">
      <c r="A283">
        <v>15741</v>
      </c>
      <c r="B283">
        <v>455051909</v>
      </c>
      <c r="C283" t="s">
        <v>1332</v>
      </c>
      <c r="D283" s="9" t="s">
        <v>1333</v>
      </c>
      <c r="E283" t="s">
        <v>174</v>
      </c>
      <c r="G283" t="s">
        <v>53</v>
      </c>
      <c r="H283" t="s">
        <v>54</v>
      </c>
      <c r="I283" t="s">
        <v>36</v>
      </c>
      <c r="J283" t="s">
        <v>52</v>
      </c>
      <c r="K283" t="s">
        <v>29</v>
      </c>
      <c r="L283" t="s">
        <v>55</v>
      </c>
      <c r="M283" t="s">
        <v>1334</v>
      </c>
      <c r="N283" t="s">
        <v>176</v>
      </c>
      <c r="O283" t="s">
        <v>75</v>
      </c>
      <c r="P283" t="s">
        <v>1335</v>
      </c>
      <c r="Q283" t="s">
        <v>157</v>
      </c>
      <c r="R283" s="29" t="s">
        <v>144</v>
      </c>
      <c r="S283">
        <v>11.37</v>
      </c>
      <c r="T283">
        <v>5943</v>
      </c>
      <c r="U283">
        <v>899.94</v>
      </c>
      <c r="V283">
        <v>6842.9400000000005</v>
      </c>
    </row>
    <row r="284" spans="1:22" x14ac:dyDescent="0.3">
      <c r="A284">
        <v>15741</v>
      </c>
      <c r="B284">
        <v>455051852</v>
      </c>
      <c r="C284" t="s">
        <v>1336</v>
      </c>
      <c r="D284" s="9" t="s">
        <v>1337</v>
      </c>
      <c r="E284" t="s">
        <v>174</v>
      </c>
      <c r="G284" t="s">
        <v>53</v>
      </c>
      <c r="H284" t="s">
        <v>54</v>
      </c>
      <c r="I284" t="s">
        <v>36</v>
      </c>
      <c r="J284" t="s">
        <v>52</v>
      </c>
      <c r="K284" t="s">
        <v>29</v>
      </c>
      <c r="L284" t="s">
        <v>55</v>
      </c>
      <c r="M284" t="s">
        <v>1338</v>
      </c>
      <c r="N284" t="s">
        <v>176</v>
      </c>
      <c r="O284" t="s">
        <v>75</v>
      </c>
      <c r="P284" t="s">
        <v>1339</v>
      </c>
      <c r="Q284" t="s">
        <v>74</v>
      </c>
      <c r="R284" s="29" t="s">
        <v>1340</v>
      </c>
      <c r="S284">
        <v>16.350000000000001</v>
      </c>
      <c r="T284">
        <v>6414</v>
      </c>
      <c r="U284">
        <v>959.94</v>
      </c>
      <c r="V284">
        <v>7373.9400000000005</v>
      </c>
    </row>
    <row r="285" spans="1:22" x14ac:dyDescent="0.3">
      <c r="A285">
        <v>15741</v>
      </c>
      <c r="B285">
        <v>455051739</v>
      </c>
      <c r="C285" t="s">
        <v>1341</v>
      </c>
      <c r="D285" s="9" t="s">
        <v>1342</v>
      </c>
      <c r="E285" t="s">
        <v>174</v>
      </c>
      <c r="G285" t="s">
        <v>53</v>
      </c>
      <c r="H285" t="s">
        <v>54</v>
      </c>
      <c r="I285" t="s">
        <v>36</v>
      </c>
      <c r="J285" t="s">
        <v>52</v>
      </c>
      <c r="K285" t="s">
        <v>29</v>
      </c>
      <c r="L285" t="s">
        <v>55</v>
      </c>
      <c r="M285" t="s">
        <v>1343</v>
      </c>
      <c r="N285" t="s">
        <v>176</v>
      </c>
      <c r="O285" t="s">
        <v>75</v>
      </c>
      <c r="P285" t="s">
        <v>1344</v>
      </c>
      <c r="Q285" t="s">
        <v>74</v>
      </c>
      <c r="R285" s="29" t="s">
        <v>146</v>
      </c>
      <c r="S285">
        <v>15.94</v>
      </c>
      <c r="T285">
        <v>5943</v>
      </c>
      <c r="U285">
        <v>959.94</v>
      </c>
      <c r="V285">
        <v>6902.9400000000005</v>
      </c>
    </row>
    <row r="286" spans="1:22" x14ac:dyDescent="0.3">
      <c r="A286">
        <v>15741</v>
      </c>
      <c r="B286">
        <v>455051690</v>
      </c>
      <c r="C286" t="s">
        <v>1345</v>
      </c>
      <c r="D286" s="9" t="s">
        <v>1346</v>
      </c>
      <c r="E286" t="s">
        <v>174</v>
      </c>
      <c r="G286" t="s">
        <v>53</v>
      </c>
      <c r="H286" t="s">
        <v>54</v>
      </c>
      <c r="I286" t="s">
        <v>36</v>
      </c>
      <c r="J286" t="s">
        <v>52</v>
      </c>
      <c r="K286" t="s">
        <v>29</v>
      </c>
      <c r="L286" t="s">
        <v>55</v>
      </c>
      <c r="M286" t="s">
        <v>1347</v>
      </c>
      <c r="N286" t="s">
        <v>176</v>
      </c>
      <c r="O286" t="s">
        <v>75</v>
      </c>
      <c r="P286" t="s">
        <v>1348</v>
      </c>
      <c r="Q286" t="s">
        <v>65</v>
      </c>
      <c r="R286" s="29" t="s">
        <v>1349</v>
      </c>
      <c r="S286">
        <v>11.15</v>
      </c>
      <c r="T286">
        <v>12377</v>
      </c>
      <c r="U286">
        <v>899.94</v>
      </c>
      <c r="V286">
        <v>13276.94</v>
      </c>
    </row>
    <row r="287" spans="1:22" x14ac:dyDescent="0.3">
      <c r="A287">
        <v>15741</v>
      </c>
      <c r="B287">
        <v>455051660</v>
      </c>
      <c r="C287" t="s">
        <v>1350</v>
      </c>
      <c r="D287" s="9" t="s">
        <v>1351</v>
      </c>
      <c r="E287" t="s">
        <v>174</v>
      </c>
      <c r="G287" t="s">
        <v>53</v>
      </c>
      <c r="H287" t="s">
        <v>54</v>
      </c>
      <c r="I287" t="s">
        <v>36</v>
      </c>
      <c r="J287" t="s">
        <v>52</v>
      </c>
      <c r="K287" t="s">
        <v>1249</v>
      </c>
      <c r="L287" t="s">
        <v>1250</v>
      </c>
      <c r="M287" t="s">
        <v>1352</v>
      </c>
      <c r="N287" t="s">
        <v>176</v>
      </c>
      <c r="O287" t="s">
        <v>75</v>
      </c>
      <c r="P287" t="s">
        <v>1353</v>
      </c>
      <c r="Q287" t="s">
        <v>66</v>
      </c>
      <c r="R287" s="29" t="s">
        <v>148</v>
      </c>
      <c r="S287">
        <v>52.39</v>
      </c>
      <c r="T287">
        <v>31673</v>
      </c>
      <c r="U287">
        <v>1799.88</v>
      </c>
      <c r="V287">
        <v>33472.879999999997</v>
      </c>
    </row>
    <row r="288" spans="1:22" x14ac:dyDescent="0.3">
      <c r="A288">
        <v>15741</v>
      </c>
      <c r="B288">
        <v>455035014</v>
      </c>
      <c r="C288" t="s">
        <v>1354</v>
      </c>
      <c r="D288" s="9" t="s">
        <v>1355</v>
      </c>
      <c r="E288" t="s">
        <v>174</v>
      </c>
      <c r="G288" t="s">
        <v>53</v>
      </c>
      <c r="H288" t="s">
        <v>54</v>
      </c>
      <c r="I288" t="s">
        <v>36</v>
      </c>
      <c r="J288" t="s">
        <v>52</v>
      </c>
      <c r="K288" t="s">
        <v>29</v>
      </c>
      <c r="L288" t="s">
        <v>55</v>
      </c>
      <c r="M288" t="s">
        <v>1356</v>
      </c>
      <c r="N288" t="s">
        <v>176</v>
      </c>
      <c r="O288" t="s">
        <v>75</v>
      </c>
      <c r="P288" t="s">
        <v>1357</v>
      </c>
      <c r="Q288" t="s">
        <v>116</v>
      </c>
      <c r="R288" s="29" t="s">
        <v>1358</v>
      </c>
      <c r="S288">
        <v>11.93</v>
      </c>
      <c r="T288">
        <v>11161</v>
      </c>
      <c r="U288">
        <v>899.94</v>
      </c>
      <c r="V288">
        <v>12060.94</v>
      </c>
    </row>
    <row r="289" spans="1:22" x14ac:dyDescent="0.3">
      <c r="A289">
        <v>15741</v>
      </c>
      <c r="B289">
        <v>455034988</v>
      </c>
      <c r="C289" t="s">
        <v>1359</v>
      </c>
      <c r="D289" s="9" t="s">
        <v>1360</v>
      </c>
      <c r="E289" t="s">
        <v>174</v>
      </c>
      <c r="G289" t="s">
        <v>53</v>
      </c>
      <c r="H289" t="s">
        <v>54</v>
      </c>
      <c r="I289" t="s">
        <v>36</v>
      </c>
      <c r="J289" t="s">
        <v>52</v>
      </c>
      <c r="K289" t="s">
        <v>29</v>
      </c>
      <c r="L289" t="s">
        <v>55</v>
      </c>
      <c r="M289" t="s">
        <v>1361</v>
      </c>
      <c r="N289" t="s">
        <v>176</v>
      </c>
      <c r="O289" t="s">
        <v>75</v>
      </c>
      <c r="P289" t="s">
        <v>1362</v>
      </c>
      <c r="Q289" t="s">
        <v>153</v>
      </c>
      <c r="R289" s="29" t="s">
        <v>1363</v>
      </c>
      <c r="S289">
        <v>20.77</v>
      </c>
      <c r="T289">
        <v>8303</v>
      </c>
      <c r="U289">
        <v>1619.94</v>
      </c>
      <c r="V289">
        <v>9922.94</v>
      </c>
    </row>
    <row r="290" spans="1:22" x14ac:dyDescent="0.3">
      <c r="A290">
        <v>15741</v>
      </c>
      <c r="B290">
        <v>455034964</v>
      </c>
      <c r="C290" t="s">
        <v>1364</v>
      </c>
      <c r="D290" s="9" t="s">
        <v>1365</v>
      </c>
      <c r="E290" t="s">
        <v>174</v>
      </c>
      <c r="G290" t="s">
        <v>53</v>
      </c>
      <c r="H290" t="s">
        <v>54</v>
      </c>
      <c r="I290" t="s">
        <v>36</v>
      </c>
      <c r="J290" t="s">
        <v>52</v>
      </c>
      <c r="K290" t="s">
        <v>29</v>
      </c>
      <c r="L290" t="s">
        <v>55</v>
      </c>
      <c r="M290" t="s">
        <v>1366</v>
      </c>
      <c r="N290" t="s">
        <v>176</v>
      </c>
      <c r="O290" t="s">
        <v>75</v>
      </c>
      <c r="P290" t="s">
        <v>1367</v>
      </c>
      <c r="Q290" t="s">
        <v>151</v>
      </c>
      <c r="R290" s="29" t="s">
        <v>1368</v>
      </c>
      <c r="S290">
        <v>16.88</v>
      </c>
      <c r="T290">
        <v>6414</v>
      </c>
      <c r="U290">
        <v>899.94</v>
      </c>
      <c r="V290">
        <v>7313.9400000000005</v>
      </c>
    </row>
    <row r="291" spans="1:22" x14ac:dyDescent="0.3">
      <c r="A291">
        <v>15741</v>
      </c>
      <c r="B291">
        <v>455034581</v>
      </c>
      <c r="C291" t="s">
        <v>1369</v>
      </c>
      <c r="D291" s="9" t="s">
        <v>1370</v>
      </c>
      <c r="E291" t="s">
        <v>174</v>
      </c>
      <c r="G291" t="s">
        <v>53</v>
      </c>
      <c r="H291" t="s">
        <v>54</v>
      </c>
      <c r="I291" t="s">
        <v>36</v>
      </c>
      <c r="J291" t="s">
        <v>52</v>
      </c>
      <c r="K291" t="s">
        <v>29</v>
      </c>
      <c r="L291" t="s">
        <v>55</v>
      </c>
      <c r="M291" t="s">
        <v>1371</v>
      </c>
      <c r="N291" t="s">
        <v>176</v>
      </c>
      <c r="O291" t="s">
        <v>75</v>
      </c>
      <c r="P291" t="s">
        <v>1372</v>
      </c>
      <c r="Q291" t="s">
        <v>66</v>
      </c>
      <c r="R291" s="29" t="s">
        <v>1373</v>
      </c>
      <c r="S291">
        <v>11.44</v>
      </c>
      <c r="T291">
        <v>10408</v>
      </c>
      <c r="U291">
        <v>899.94</v>
      </c>
      <c r="V291">
        <v>11307.94</v>
      </c>
    </row>
    <row r="292" spans="1:22" x14ac:dyDescent="0.3">
      <c r="A292">
        <v>15741</v>
      </c>
      <c r="B292">
        <v>455034529</v>
      </c>
      <c r="C292" t="s">
        <v>1374</v>
      </c>
      <c r="D292" s="9" t="s">
        <v>1375</v>
      </c>
      <c r="E292" t="s">
        <v>174</v>
      </c>
      <c r="G292" t="s">
        <v>53</v>
      </c>
      <c r="H292" t="s">
        <v>54</v>
      </c>
      <c r="I292" t="s">
        <v>36</v>
      </c>
      <c r="J292" t="s">
        <v>52</v>
      </c>
      <c r="K292" t="s">
        <v>29</v>
      </c>
      <c r="L292" t="s">
        <v>55</v>
      </c>
      <c r="M292" t="s">
        <v>1376</v>
      </c>
      <c r="N292" t="s">
        <v>176</v>
      </c>
      <c r="O292" t="s">
        <v>75</v>
      </c>
      <c r="P292" t="s">
        <v>1377</v>
      </c>
      <c r="Q292" t="s">
        <v>84</v>
      </c>
      <c r="R292" s="29" t="s">
        <v>1378</v>
      </c>
      <c r="S292">
        <v>14.63</v>
      </c>
      <c r="T292">
        <v>11161</v>
      </c>
      <c r="U292">
        <v>959.94</v>
      </c>
      <c r="V292">
        <v>12120.94</v>
      </c>
    </row>
    <row r="293" spans="1:22" x14ac:dyDescent="0.3">
      <c r="A293">
        <v>15741</v>
      </c>
      <c r="B293">
        <v>455034460</v>
      </c>
      <c r="C293" t="s">
        <v>1379</v>
      </c>
      <c r="D293" s="9" t="s">
        <v>1380</v>
      </c>
      <c r="E293" t="s">
        <v>174</v>
      </c>
      <c r="G293" t="s">
        <v>53</v>
      </c>
      <c r="H293" t="s">
        <v>54</v>
      </c>
      <c r="I293" t="s">
        <v>36</v>
      </c>
      <c r="J293" t="s">
        <v>52</v>
      </c>
      <c r="K293" t="s">
        <v>29</v>
      </c>
      <c r="L293" t="s">
        <v>55</v>
      </c>
      <c r="M293" t="s">
        <v>1381</v>
      </c>
      <c r="N293" t="s">
        <v>176</v>
      </c>
      <c r="O293" t="s">
        <v>75</v>
      </c>
      <c r="P293" t="s">
        <v>1382</v>
      </c>
      <c r="Q293" t="s">
        <v>117</v>
      </c>
      <c r="R293" s="29" t="s">
        <v>1383</v>
      </c>
      <c r="S293">
        <v>11.26</v>
      </c>
      <c r="T293">
        <v>13253</v>
      </c>
      <c r="U293">
        <v>899.94</v>
      </c>
      <c r="V293">
        <v>14152.94</v>
      </c>
    </row>
    <row r="294" spans="1:22" x14ac:dyDescent="0.3">
      <c r="A294">
        <v>15741</v>
      </c>
      <c r="B294">
        <v>455032624</v>
      </c>
      <c r="C294" t="s">
        <v>1384</v>
      </c>
      <c r="D294" s="9" t="s">
        <v>1385</v>
      </c>
      <c r="E294" t="s">
        <v>174</v>
      </c>
      <c r="G294" t="s">
        <v>53</v>
      </c>
      <c r="H294" t="s">
        <v>54</v>
      </c>
      <c r="I294" t="s">
        <v>36</v>
      </c>
      <c r="J294" t="s">
        <v>52</v>
      </c>
      <c r="K294" t="s">
        <v>29</v>
      </c>
      <c r="L294" t="s">
        <v>55</v>
      </c>
      <c r="M294" t="s">
        <v>1386</v>
      </c>
      <c r="N294" t="s">
        <v>176</v>
      </c>
      <c r="O294" t="s">
        <v>75</v>
      </c>
      <c r="P294" t="s">
        <v>1387</v>
      </c>
      <c r="Q294" t="s">
        <v>80</v>
      </c>
      <c r="R294" s="29" t="s">
        <v>1388</v>
      </c>
      <c r="S294">
        <v>11.09</v>
      </c>
      <c r="T294">
        <v>12809</v>
      </c>
      <c r="U294">
        <v>899.94</v>
      </c>
      <c r="V294">
        <v>13708.94</v>
      </c>
    </row>
    <row r="295" spans="1:22" x14ac:dyDescent="0.3">
      <c r="A295">
        <v>15741</v>
      </c>
      <c r="B295">
        <v>455032583</v>
      </c>
      <c r="C295" t="s">
        <v>1389</v>
      </c>
      <c r="D295" s="9" t="s">
        <v>1390</v>
      </c>
      <c r="E295" t="s">
        <v>174</v>
      </c>
      <c r="G295" t="s">
        <v>53</v>
      </c>
      <c r="H295" t="s">
        <v>54</v>
      </c>
      <c r="I295" t="s">
        <v>36</v>
      </c>
      <c r="J295" t="s">
        <v>52</v>
      </c>
      <c r="K295" t="s">
        <v>29</v>
      </c>
      <c r="L295" t="s">
        <v>55</v>
      </c>
      <c r="M295" t="s">
        <v>1391</v>
      </c>
      <c r="N295" t="s">
        <v>176</v>
      </c>
      <c r="O295" t="s">
        <v>75</v>
      </c>
      <c r="P295" t="s">
        <v>1392</v>
      </c>
      <c r="Q295" t="s">
        <v>153</v>
      </c>
      <c r="R295" s="29" t="s">
        <v>1393</v>
      </c>
      <c r="S295">
        <v>11.2</v>
      </c>
      <c r="T295">
        <v>5943</v>
      </c>
      <c r="U295">
        <v>959.94</v>
      </c>
      <c r="V295">
        <v>6902.9400000000005</v>
      </c>
    </row>
    <row r="296" spans="1:22" x14ac:dyDescent="0.3">
      <c r="A296">
        <v>15741</v>
      </c>
      <c r="B296">
        <v>455032514</v>
      </c>
      <c r="C296" t="s">
        <v>1394</v>
      </c>
      <c r="D296" s="9" t="s">
        <v>1395</v>
      </c>
      <c r="E296" t="s">
        <v>174</v>
      </c>
      <c r="G296" t="s">
        <v>53</v>
      </c>
      <c r="H296" t="s">
        <v>54</v>
      </c>
      <c r="I296" t="s">
        <v>36</v>
      </c>
      <c r="J296" t="s">
        <v>52</v>
      </c>
      <c r="K296" t="s">
        <v>29</v>
      </c>
      <c r="L296" t="s">
        <v>55</v>
      </c>
      <c r="M296" t="s">
        <v>1396</v>
      </c>
      <c r="N296" t="s">
        <v>176</v>
      </c>
      <c r="O296" t="s">
        <v>75</v>
      </c>
      <c r="P296" t="s">
        <v>1397</v>
      </c>
      <c r="Q296" t="s">
        <v>105</v>
      </c>
      <c r="R296" s="29" t="s">
        <v>1398</v>
      </c>
      <c r="S296">
        <v>12.36</v>
      </c>
      <c r="T296">
        <v>12046</v>
      </c>
      <c r="U296">
        <v>959.94</v>
      </c>
      <c r="V296">
        <v>13005.94</v>
      </c>
    </row>
    <row r="297" spans="1:22" x14ac:dyDescent="0.3">
      <c r="A297">
        <v>15741</v>
      </c>
      <c r="B297">
        <v>455031688</v>
      </c>
      <c r="C297" t="s">
        <v>1399</v>
      </c>
      <c r="D297" s="9" t="s">
        <v>1400</v>
      </c>
      <c r="E297" t="s">
        <v>174</v>
      </c>
      <c r="G297" t="s">
        <v>53</v>
      </c>
      <c r="H297" t="s">
        <v>54</v>
      </c>
      <c r="I297" t="s">
        <v>36</v>
      </c>
      <c r="J297" t="s">
        <v>52</v>
      </c>
      <c r="K297" t="s">
        <v>29</v>
      </c>
      <c r="L297" t="s">
        <v>162</v>
      </c>
      <c r="M297" t="s">
        <v>1401</v>
      </c>
      <c r="N297" t="s">
        <v>176</v>
      </c>
      <c r="O297" t="s">
        <v>75</v>
      </c>
      <c r="P297" t="s">
        <v>1402</v>
      </c>
      <c r="Q297" t="s">
        <v>46</v>
      </c>
      <c r="R297" s="29" t="s">
        <v>1403</v>
      </c>
      <c r="S297">
        <v>32.86</v>
      </c>
      <c r="T297">
        <v>13971</v>
      </c>
      <c r="U297">
        <v>1919.88</v>
      </c>
      <c r="V297">
        <v>15890.880000000001</v>
      </c>
    </row>
    <row r="298" spans="1:22" x14ac:dyDescent="0.3">
      <c r="A298">
        <v>15741</v>
      </c>
      <c r="B298">
        <v>455030553</v>
      </c>
      <c r="C298" t="s">
        <v>1404</v>
      </c>
      <c r="D298" s="9" t="s">
        <v>1405</v>
      </c>
      <c r="E298" t="s">
        <v>174</v>
      </c>
      <c r="G298" t="s">
        <v>53</v>
      </c>
      <c r="H298" t="s">
        <v>54</v>
      </c>
      <c r="I298" t="s">
        <v>36</v>
      </c>
      <c r="J298" t="s">
        <v>52</v>
      </c>
      <c r="K298" t="s">
        <v>29</v>
      </c>
      <c r="L298" t="s">
        <v>55</v>
      </c>
      <c r="M298" t="s">
        <v>1406</v>
      </c>
      <c r="N298" t="s">
        <v>176</v>
      </c>
      <c r="O298" t="s">
        <v>75</v>
      </c>
      <c r="P298" t="s">
        <v>1407</v>
      </c>
      <c r="Q298" t="s">
        <v>67</v>
      </c>
      <c r="R298" s="29" t="s">
        <v>1408</v>
      </c>
      <c r="S298">
        <v>15.44</v>
      </c>
      <c r="T298">
        <v>12420</v>
      </c>
      <c r="U298">
        <v>959.94</v>
      </c>
      <c r="V298">
        <v>13379.94</v>
      </c>
    </row>
    <row r="299" spans="1:22" x14ac:dyDescent="0.3">
      <c r="A299">
        <v>15741</v>
      </c>
      <c r="B299">
        <v>455016539</v>
      </c>
      <c r="C299" t="s">
        <v>1409</v>
      </c>
      <c r="D299" s="9" t="s">
        <v>1410</v>
      </c>
      <c r="E299" t="s">
        <v>174</v>
      </c>
      <c r="G299" t="s">
        <v>53</v>
      </c>
      <c r="H299" t="s">
        <v>54</v>
      </c>
      <c r="I299" t="s">
        <v>36</v>
      </c>
      <c r="J299" t="s">
        <v>52</v>
      </c>
      <c r="K299" t="s">
        <v>29</v>
      </c>
      <c r="L299" t="s">
        <v>162</v>
      </c>
      <c r="M299" t="s">
        <v>1411</v>
      </c>
      <c r="N299" t="s">
        <v>176</v>
      </c>
      <c r="O299" t="s">
        <v>75</v>
      </c>
      <c r="P299" t="s">
        <v>1412</v>
      </c>
      <c r="Q299" t="s">
        <v>33</v>
      </c>
      <c r="R299" s="29" t="s">
        <v>1413</v>
      </c>
      <c r="S299">
        <v>49.1</v>
      </c>
      <c r="T299">
        <v>21999</v>
      </c>
      <c r="U299">
        <v>5699.88</v>
      </c>
      <c r="V299">
        <v>27698.880000000001</v>
      </c>
    </row>
    <row r="300" spans="1:22" x14ac:dyDescent="0.3">
      <c r="A300">
        <v>15741</v>
      </c>
      <c r="B300">
        <v>455016119</v>
      </c>
      <c r="C300" t="s">
        <v>1414</v>
      </c>
      <c r="D300" s="9" t="s">
        <v>1415</v>
      </c>
      <c r="E300" t="s">
        <v>174</v>
      </c>
      <c r="G300" t="s">
        <v>53</v>
      </c>
      <c r="H300" t="s">
        <v>54</v>
      </c>
      <c r="I300" t="s">
        <v>36</v>
      </c>
      <c r="J300" t="s">
        <v>52</v>
      </c>
      <c r="K300" t="s">
        <v>29</v>
      </c>
      <c r="L300" t="s">
        <v>55</v>
      </c>
      <c r="M300" t="s">
        <v>1416</v>
      </c>
      <c r="N300" t="s">
        <v>176</v>
      </c>
      <c r="O300" t="s">
        <v>75</v>
      </c>
      <c r="P300" t="s">
        <v>1417</v>
      </c>
      <c r="Q300" t="s">
        <v>87</v>
      </c>
      <c r="R300" s="29" t="s">
        <v>1418</v>
      </c>
      <c r="S300">
        <v>11.41</v>
      </c>
      <c r="T300">
        <v>10408</v>
      </c>
      <c r="U300">
        <v>899.94</v>
      </c>
      <c r="V300">
        <v>11307.94</v>
      </c>
    </row>
    <row r="301" spans="1:22" x14ac:dyDescent="0.3">
      <c r="A301">
        <v>15741</v>
      </c>
      <c r="B301">
        <v>455016043</v>
      </c>
      <c r="C301" t="s">
        <v>1419</v>
      </c>
      <c r="D301" s="9" t="s">
        <v>1420</v>
      </c>
      <c r="E301" t="s">
        <v>174</v>
      </c>
      <c r="G301" t="s">
        <v>53</v>
      </c>
      <c r="H301" t="s">
        <v>54</v>
      </c>
      <c r="I301" t="s">
        <v>36</v>
      </c>
      <c r="J301" t="s">
        <v>52</v>
      </c>
      <c r="K301" t="s">
        <v>29</v>
      </c>
      <c r="L301" t="s">
        <v>55</v>
      </c>
      <c r="M301" t="s">
        <v>1421</v>
      </c>
      <c r="N301" t="s">
        <v>176</v>
      </c>
      <c r="O301" t="s">
        <v>75</v>
      </c>
      <c r="P301" t="s">
        <v>1422</v>
      </c>
      <c r="Q301" t="s">
        <v>66</v>
      </c>
      <c r="R301" s="29" t="s">
        <v>1423</v>
      </c>
      <c r="S301">
        <v>15.02</v>
      </c>
      <c r="T301">
        <v>10408</v>
      </c>
      <c r="U301">
        <v>959.94</v>
      </c>
      <c r="V301">
        <v>11367.94</v>
      </c>
    </row>
    <row r="302" spans="1:22" x14ac:dyDescent="0.3">
      <c r="A302">
        <v>15741</v>
      </c>
      <c r="B302">
        <v>455015150</v>
      </c>
      <c r="C302" t="s">
        <v>1424</v>
      </c>
      <c r="D302" s="9" t="s">
        <v>1425</v>
      </c>
      <c r="E302" t="s">
        <v>174</v>
      </c>
      <c r="G302" t="s">
        <v>53</v>
      </c>
      <c r="H302" t="s">
        <v>54</v>
      </c>
      <c r="I302" t="s">
        <v>36</v>
      </c>
      <c r="J302" t="s">
        <v>52</v>
      </c>
      <c r="K302" t="s">
        <v>29</v>
      </c>
      <c r="L302" t="s">
        <v>55</v>
      </c>
      <c r="M302" t="s">
        <v>1426</v>
      </c>
      <c r="N302" t="s">
        <v>176</v>
      </c>
      <c r="O302" t="s">
        <v>75</v>
      </c>
      <c r="P302" t="s">
        <v>1427</v>
      </c>
      <c r="Q302" t="s">
        <v>98</v>
      </c>
      <c r="R302" s="29" t="s">
        <v>1428</v>
      </c>
      <c r="S302">
        <v>12.03</v>
      </c>
      <c r="T302">
        <v>10408</v>
      </c>
      <c r="U302">
        <v>899.94</v>
      </c>
      <c r="V302">
        <v>11307.94</v>
      </c>
    </row>
    <row r="303" spans="1:22" x14ac:dyDescent="0.3">
      <c r="A303">
        <v>15741</v>
      </c>
      <c r="B303">
        <v>455015002</v>
      </c>
      <c r="C303" t="s">
        <v>1429</v>
      </c>
      <c r="D303" s="9" t="s">
        <v>1430</v>
      </c>
      <c r="E303" t="s">
        <v>174</v>
      </c>
      <c r="G303" t="s">
        <v>53</v>
      </c>
      <c r="H303" t="s">
        <v>54</v>
      </c>
      <c r="I303" t="s">
        <v>36</v>
      </c>
      <c r="J303" t="s">
        <v>52</v>
      </c>
      <c r="K303" t="s">
        <v>29</v>
      </c>
      <c r="L303" t="s">
        <v>162</v>
      </c>
      <c r="M303" t="s">
        <v>1431</v>
      </c>
      <c r="N303" t="s">
        <v>176</v>
      </c>
      <c r="O303" t="s">
        <v>75</v>
      </c>
      <c r="P303" t="s">
        <v>1432</v>
      </c>
      <c r="Q303" t="s">
        <v>70</v>
      </c>
      <c r="R303" s="29" t="s">
        <v>1433</v>
      </c>
      <c r="S303">
        <v>51.47</v>
      </c>
      <c r="T303">
        <v>22818</v>
      </c>
      <c r="U303">
        <v>4139.9399999999996</v>
      </c>
      <c r="V303">
        <v>26957.94</v>
      </c>
    </row>
    <row r="304" spans="1:22" x14ac:dyDescent="0.3">
      <c r="A304">
        <v>15741</v>
      </c>
      <c r="B304">
        <v>455014908</v>
      </c>
      <c r="C304" t="s">
        <v>1434</v>
      </c>
      <c r="D304" s="9" t="s">
        <v>1435</v>
      </c>
      <c r="E304" t="s">
        <v>174</v>
      </c>
      <c r="G304" t="s">
        <v>53</v>
      </c>
      <c r="H304" t="s">
        <v>54</v>
      </c>
      <c r="I304" t="s">
        <v>36</v>
      </c>
      <c r="J304" t="s">
        <v>52</v>
      </c>
      <c r="K304" t="s">
        <v>29</v>
      </c>
      <c r="L304" t="s">
        <v>55</v>
      </c>
      <c r="M304" t="s">
        <v>1436</v>
      </c>
      <c r="N304" t="s">
        <v>176</v>
      </c>
      <c r="O304" t="s">
        <v>75</v>
      </c>
      <c r="P304" t="s">
        <v>1437</v>
      </c>
      <c r="Q304" t="s">
        <v>91</v>
      </c>
      <c r="R304" s="29" t="s">
        <v>1438</v>
      </c>
      <c r="S304">
        <v>16.59</v>
      </c>
      <c r="T304">
        <v>14047</v>
      </c>
      <c r="U304">
        <v>899.94</v>
      </c>
      <c r="V304">
        <v>14946.94</v>
      </c>
    </row>
    <row r="305" spans="1:22" x14ac:dyDescent="0.3">
      <c r="A305">
        <v>15741</v>
      </c>
      <c r="B305">
        <v>455014777</v>
      </c>
      <c r="C305" t="s">
        <v>1439</v>
      </c>
      <c r="D305" s="9" t="s">
        <v>1440</v>
      </c>
      <c r="E305" t="s">
        <v>174</v>
      </c>
      <c r="G305" t="s">
        <v>53</v>
      </c>
      <c r="H305" t="s">
        <v>54</v>
      </c>
      <c r="I305" t="s">
        <v>36</v>
      </c>
      <c r="J305" t="s">
        <v>52</v>
      </c>
      <c r="K305" t="s">
        <v>1249</v>
      </c>
      <c r="L305" t="s">
        <v>1250</v>
      </c>
      <c r="M305" t="s">
        <v>1441</v>
      </c>
      <c r="N305" t="s">
        <v>176</v>
      </c>
      <c r="O305" t="s">
        <v>75</v>
      </c>
      <c r="P305" t="s">
        <v>1442</v>
      </c>
      <c r="Q305" t="s">
        <v>74</v>
      </c>
      <c r="R305" s="29" t="s">
        <v>1443</v>
      </c>
      <c r="S305">
        <v>26.83</v>
      </c>
      <c r="T305">
        <v>11136</v>
      </c>
      <c r="U305">
        <v>1139.8800000000001</v>
      </c>
      <c r="V305">
        <v>12275.880000000001</v>
      </c>
    </row>
    <row r="306" spans="1:22" x14ac:dyDescent="0.3">
      <c r="A306">
        <v>15741</v>
      </c>
      <c r="B306">
        <v>455014713</v>
      </c>
      <c r="C306" t="s">
        <v>1444</v>
      </c>
      <c r="D306" s="9" t="s">
        <v>1445</v>
      </c>
      <c r="E306" t="s">
        <v>174</v>
      </c>
      <c r="G306" t="s">
        <v>53</v>
      </c>
      <c r="H306" t="s">
        <v>54</v>
      </c>
      <c r="I306" t="s">
        <v>36</v>
      </c>
      <c r="J306" t="s">
        <v>52</v>
      </c>
      <c r="K306" t="s">
        <v>29</v>
      </c>
      <c r="L306" t="s">
        <v>55</v>
      </c>
      <c r="M306" t="s">
        <v>1446</v>
      </c>
      <c r="N306" t="s">
        <v>176</v>
      </c>
      <c r="O306" t="s">
        <v>75</v>
      </c>
      <c r="P306" t="s">
        <v>1447</v>
      </c>
      <c r="Q306" t="s">
        <v>126</v>
      </c>
      <c r="R306" s="29" t="s">
        <v>1448</v>
      </c>
      <c r="S306">
        <v>46.65</v>
      </c>
      <c r="T306">
        <v>30608</v>
      </c>
      <c r="U306">
        <v>899.94</v>
      </c>
      <c r="V306">
        <v>31507.94</v>
      </c>
    </row>
    <row r="307" spans="1:22" x14ac:dyDescent="0.3">
      <c r="A307">
        <v>15741</v>
      </c>
      <c r="B307">
        <v>455014406</v>
      </c>
      <c r="C307" t="s">
        <v>1449</v>
      </c>
      <c r="D307" s="9" t="s">
        <v>1450</v>
      </c>
      <c r="E307" t="s">
        <v>174</v>
      </c>
      <c r="G307" t="s">
        <v>53</v>
      </c>
      <c r="H307" t="s">
        <v>54</v>
      </c>
      <c r="I307" t="s">
        <v>36</v>
      </c>
      <c r="J307" t="s">
        <v>52</v>
      </c>
      <c r="K307" t="s">
        <v>29</v>
      </c>
      <c r="L307" t="s">
        <v>55</v>
      </c>
      <c r="M307" t="s">
        <v>1451</v>
      </c>
      <c r="N307" t="s">
        <v>176</v>
      </c>
      <c r="O307" t="s">
        <v>75</v>
      </c>
      <c r="P307" t="s">
        <v>1452</v>
      </c>
      <c r="Q307" t="s">
        <v>30</v>
      </c>
      <c r="R307" s="29" t="s">
        <v>164</v>
      </c>
      <c r="S307">
        <v>9.09</v>
      </c>
      <c r="T307">
        <v>5465</v>
      </c>
      <c r="U307">
        <v>539.94000000000005</v>
      </c>
      <c r="V307">
        <v>6004.9400000000005</v>
      </c>
    </row>
    <row r="308" spans="1:22" x14ac:dyDescent="0.3">
      <c r="A308">
        <v>15741</v>
      </c>
      <c r="B308">
        <v>455014366</v>
      </c>
      <c r="C308" t="s">
        <v>1453</v>
      </c>
      <c r="D308" s="9" t="s">
        <v>1454</v>
      </c>
      <c r="E308" t="s">
        <v>174</v>
      </c>
      <c r="G308" t="s">
        <v>53</v>
      </c>
      <c r="H308" t="s">
        <v>54</v>
      </c>
      <c r="I308" t="s">
        <v>36</v>
      </c>
      <c r="J308" t="s">
        <v>52</v>
      </c>
      <c r="K308" t="s">
        <v>29</v>
      </c>
      <c r="L308" t="s">
        <v>55</v>
      </c>
      <c r="M308" t="s">
        <v>1455</v>
      </c>
      <c r="N308" t="s">
        <v>176</v>
      </c>
      <c r="O308" t="s">
        <v>75</v>
      </c>
      <c r="P308" t="s">
        <v>1456</v>
      </c>
      <c r="Q308" t="s">
        <v>77</v>
      </c>
      <c r="R308" s="29" t="s">
        <v>150</v>
      </c>
      <c r="S308">
        <v>15.3</v>
      </c>
      <c r="T308">
        <v>12360</v>
      </c>
      <c r="U308">
        <v>959.94</v>
      </c>
      <c r="V308">
        <v>13319.94</v>
      </c>
    </row>
    <row r="309" spans="1:22" x14ac:dyDescent="0.3">
      <c r="A309">
        <v>15741</v>
      </c>
      <c r="B309">
        <v>455013411</v>
      </c>
      <c r="C309" t="s">
        <v>1457</v>
      </c>
      <c r="D309" s="9" t="s">
        <v>1458</v>
      </c>
      <c r="E309" t="s">
        <v>174</v>
      </c>
      <c r="G309" t="s">
        <v>53</v>
      </c>
      <c r="H309" t="s">
        <v>54</v>
      </c>
      <c r="I309" t="s">
        <v>36</v>
      </c>
      <c r="J309" t="s">
        <v>52</v>
      </c>
      <c r="K309" t="s">
        <v>29</v>
      </c>
      <c r="L309" t="s">
        <v>55</v>
      </c>
      <c r="M309" t="s">
        <v>1459</v>
      </c>
      <c r="N309" t="s">
        <v>176</v>
      </c>
      <c r="O309" t="s">
        <v>75</v>
      </c>
      <c r="P309" t="s">
        <v>1460</v>
      </c>
      <c r="Q309" t="s">
        <v>46</v>
      </c>
      <c r="R309" s="29" t="s">
        <v>1461</v>
      </c>
      <c r="S309">
        <v>15.26</v>
      </c>
      <c r="T309">
        <v>5943</v>
      </c>
      <c r="U309">
        <v>1799.94</v>
      </c>
      <c r="V309">
        <v>7742.9400000000005</v>
      </c>
    </row>
    <row r="310" spans="1:22" x14ac:dyDescent="0.3">
      <c r="A310">
        <v>15741</v>
      </c>
      <c r="B310">
        <v>455013351</v>
      </c>
      <c r="C310" t="s">
        <v>1462</v>
      </c>
      <c r="D310" s="9" t="s">
        <v>1463</v>
      </c>
      <c r="E310" t="s">
        <v>174</v>
      </c>
      <c r="G310" t="s">
        <v>53</v>
      </c>
      <c r="H310" t="s">
        <v>54</v>
      </c>
      <c r="I310" t="s">
        <v>36</v>
      </c>
      <c r="J310" t="s">
        <v>52</v>
      </c>
      <c r="K310" t="s">
        <v>29</v>
      </c>
      <c r="L310" t="s">
        <v>55</v>
      </c>
      <c r="M310" t="s">
        <v>1464</v>
      </c>
      <c r="N310" t="s">
        <v>176</v>
      </c>
      <c r="O310" t="s">
        <v>75</v>
      </c>
      <c r="P310" t="s">
        <v>1465</v>
      </c>
      <c r="Q310" t="s">
        <v>49</v>
      </c>
      <c r="R310" s="29" t="s">
        <v>1466</v>
      </c>
      <c r="S310">
        <v>10.83</v>
      </c>
      <c r="T310">
        <v>5943</v>
      </c>
      <c r="U310">
        <v>899.94</v>
      </c>
      <c r="V310">
        <v>6842.9400000000005</v>
      </c>
    </row>
    <row r="311" spans="1:22" x14ac:dyDescent="0.3">
      <c r="A311">
        <v>15741</v>
      </c>
      <c r="B311">
        <v>455013294</v>
      </c>
      <c r="C311" t="s">
        <v>1467</v>
      </c>
      <c r="D311" s="9" t="s">
        <v>1468</v>
      </c>
      <c r="E311" t="s">
        <v>174</v>
      </c>
      <c r="G311" t="s">
        <v>53</v>
      </c>
      <c r="H311" t="s">
        <v>54</v>
      </c>
      <c r="I311" t="s">
        <v>36</v>
      </c>
      <c r="J311" t="s">
        <v>52</v>
      </c>
      <c r="K311" t="s">
        <v>29</v>
      </c>
      <c r="L311" t="s">
        <v>162</v>
      </c>
      <c r="M311" t="s">
        <v>1469</v>
      </c>
      <c r="N311" t="s">
        <v>176</v>
      </c>
      <c r="O311" t="s">
        <v>75</v>
      </c>
      <c r="P311" t="s">
        <v>1470</v>
      </c>
      <c r="Q311" t="s">
        <v>74</v>
      </c>
      <c r="R311" s="29" t="s">
        <v>1471</v>
      </c>
      <c r="S311">
        <v>30.72</v>
      </c>
      <c r="T311">
        <v>13026</v>
      </c>
      <c r="U311">
        <v>1919.88</v>
      </c>
      <c r="V311">
        <v>14945.880000000001</v>
      </c>
    </row>
    <row r="312" spans="1:22" x14ac:dyDescent="0.3">
      <c r="A312">
        <v>15741</v>
      </c>
      <c r="B312">
        <v>455013173</v>
      </c>
      <c r="C312" t="s">
        <v>1472</v>
      </c>
      <c r="D312" s="9" t="s">
        <v>1473</v>
      </c>
      <c r="E312" t="s">
        <v>174</v>
      </c>
      <c r="G312" t="s">
        <v>53</v>
      </c>
      <c r="H312" t="s">
        <v>54</v>
      </c>
      <c r="I312" t="s">
        <v>36</v>
      </c>
      <c r="J312" t="s">
        <v>52</v>
      </c>
      <c r="K312" t="s">
        <v>1249</v>
      </c>
      <c r="L312" t="s">
        <v>1250</v>
      </c>
      <c r="M312" t="s">
        <v>1474</v>
      </c>
      <c r="N312" t="s">
        <v>176</v>
      </c>
      <c r="O312" t="s">
        <v>75</v>
      </c>
      <c r="P312" t="s">
        <v>1475</v>
      </c>
      <c r="Q312" t="s">
        <v>100</v>
      </c>
      <c r="R312" s="29" t="s">
        <v>1476</v>
      </c>
      <c r="S312">
        <v>26.17</v>
      </c>
      <c r="T312">
        <v>18836</v>
      </c>
      <c r="U312">
        <v>1079.8800000000001</v>
      </c>
      <c r="V312">
        <v>19915.88</v>
      </c>
    </row>
    <row r="313" spans="1:22" x14ac:dyDescent="0.3">
      <c r="A313">
        <v>15741</v>
      </c>
      <c r="B313">
        <v>455011820</v>
      </c>
      <c r="C313" t="s">
        <v>1477</v>
      </c>
      <c r="D313" s="9" t="s">
        <v>1478</v>
      </c>
      <c r="E313" t="s">
        <v>174</v>
      </c>
      <c r="G313" t="s">
        <v>53</v>
      </c>
      <c r="H313" t="s">
        <v>54</v>
      </c>
      <c r="I313" t="s">
        <v>36</v>
      </c>
      <c r="J313" t="s">
        <v>52</v>
      </c>
      <c r="K313" t="s">
        <v>29</v>
      </c>
      <c r="L313" t="s">
        <v>55</v>
      </c>
      <c r="M313" t="s">
        <v>1479</v>
      </c>
      <c r="N313" t="s">
        <v>176</v>
      </c>
      <c r="O313" t="s">
        <v>75</v>
      </c>
      <c r="P313" t="s">
        <v>1480</v>
      </c>
      <c r="Q313" t="s">
        <v>77</v>
      </c>
      <c r="R313" s="29" t="s">
        <v>128</v>
      </c>
      <c r="S313">
        <v>11.05</v>
      </c>
      <c r="T313">
        <v>12360</v>
      </c>
      <c r="U313">
        <v>899.94</v>
      </c>
      <c r="V313">
        <v>13259.94</v>
      </c>
    </row>
    <row r="314" spans="1:22" x14ac:dyDescent="0.3">
      <c r="A314">
        <v>15741</v>
      </c>
      <c r="B314">
        <v>455011687</v>
      </c>
      <c r="C314" t="s">
        <v>1481</v>
      </c>
      <c r="D314" s="9" t="s">
        <v>1482</v>
      </c>
      <c r="E314" t="s">
        <v>174</v>
      </c>
      <c r="G314" t="s">
        <v>53</v>
      </c>
      <c r="H314" t="s">
        <v>54</v>
      </c>
      <c r="I314" t="s">
        <v>36</v>
      </c>
      <c r="J314" t="s">
        <v>52</v>
      </c>
      <c r="K314" t="s">
        <v>29</v>
      </c>
      <c r="L314" t="s">
        <v>55</v>
      </c>
      <c r="M314" t="s">
        <v>1483</v>
      </c>
      <c r="N314" t="s">
        <v>176</v>
      </c>
      <c r="O314" t="s">
        <v>75</v>
      </c>
      <c r="P314" t="s">
        <v>1484</v>
      </c>
      <c r="Q314" t="s">
        <v>82</v>
      </c>
      <c r="R314" s="29" t="s">
        <v>1485</v>
      </c>
      <c r="S314">
        <v>38.01</v>
      </c>
      <c r="T314">
        <v>16804</v>
      </c>
      <c r="U314">
        <v>899.94</v>
      </c>
      <c r="V314">
        <v>17703.939999999999</v>
      </c>
    </row>
    <row r="315" spans="1:22" x14ac:dyDescent="0.3">
      <c r="A315">
        <v>15741</v>
      </c>
      <c r="B315">
        <v>455011584</v>
      </c>
      <c r="C315" t="s">
        <v>1486</v>
      </c>
      <c r="D315" s="9" t="s">
        <v>1487</v>
      </c>
      <c r="E315" t="s">
        <v>174</v>
      </c>
      <c r="G315" t="s">
        <v>53</v>
      </c>
      <c r="H315" t="s">
        <v>54</v>
      </c>
      <c r="I315" t="s">
        <v>36</v>
      </c>
      <c r="J315" t="s">
        <v>52</v>
      </c>
      <c r="K315" t="s">
        <v>29</v>
      </c>
      <c r="L315" t="s">
        <v>55</v>
      </c>
      <c r="M315" t="s">
        <v>1488</v>
      </c>
      <c r="N315" t="s">
        <v>176</v>
      </c>
      <c r="O315" t="s">
        <v>75</v>
      </c>
      <c r="P315" t="s">
        <v>1489</v>
      </c>
      <c r="Q315" t="s">
        <v>45</v>
      </c>
      <c r="R315" s="29" t="s">
        <v>1490</v>
      </c>
      <c r="S315">
        <v>11.43</v>
      </c>
      <c r="T315">
        <v>5943</v>
      </c>
      <c r="U315">
        <v>899.94</v>
      </c>
      <c r="V315">
        <v>6842.9400000000005</v>
      </c>
    </row>
    <row r="316" spans="1:22" x14ac:dyDescent="0.3">
      <c r="A316">
        <v>15741</v>
      </c>
      <c r="B316">
        <v>455011546</v>
      </c>
      <c r="C316" t="s">
        <v>1491</v>
      </c>
      <c r="D316" s="9" t="s">
        <v>1492</v>
      </c>
      <c r="E316" t="s">
        <v>174</v>
      </c>
      <c r="G316" t="s">
        <v>53</v>
      </c>
      <c r="H316" t="s">
        <v>54</v>
      </c>
      <c r="I316" t="s">
        <v>36</v>
      </c>
      <c r="J316" t="s">
        <v>52</v>
      </c>
      <c r="K316" t="s">
        <v>29</v>
      </c>
      <c r="L316" t="s">
        <v>162</v>
      </c>
      <c r="M316" t="s">
        <v>1493</v>
      </c>
      <c r="N316" t="s">
        <v>176</v>
      </c>
      <c r="O316" t="s">
        <v>75</v>
      </c>
      <c r="P316" t="s">
        <v>1494</v>
      </c>
      <c r="Q316" t="s">
        <v>63</v>
      </c>
      <c r="R316" s="29" t="s">
        <v>129</v>
      </c>
      <c r="S316">
        <v>20.6</v>
      </c>
      <c r="T316">
        <v>21769</v>
      </c>
      <c r="U316">
        <v>959.88</v>
      </c>
      <c r="V316">
        <v>22728.880000000001</v>
      </c>
    </row>
    <row r="317" spans="1:22" x14ac:dyDescent="0.3">
      <c r="A317">
        <v>15741</v>
      </c>
      <c r="B317">
        <v>455011488</v>
      </c>
      <c r="C317" t="s">
        <v>1495</v>
      </c>
      <c r="D317" s="9" t="s">
        <v>1496</v>
      </c>
      <c r="E317" t="s">
        <v>174</v>
      </c>
      <c r="G317" t="s">
        <v>53</v>
      </c>
      <c r="H317" t="s">
        <v>54</v>
      </c>
      <c r="I317" t="s">
        <v>36</v>
      </c>
      <c r="J317" t="s">
        <v>52</v>
      </c>
      <c r="K317" t="s">
        <v>29</v>
      </c>
      <c r="L317" t="s">
        <v>55</v>
      </c>
      <c r="M317" t="s">
        <v>1497</v>
      </c>
      <c r="N317" t="s">
        <v>176</v>
      </c>
      <c r="O317" t="s">
        <v>75</v>
      </c>
      <c r="P317" t="s">
        <v>1498</v>
      </c>
      <c r="Q317" t="s">
        <v>93</v>
      </c>
      <c r="R317" s="29" t="s">
        <v>130</v>
      </c>
      <c r="S317">
        <v>20.38</v>
      </c>
      <c r="T317">
        <v>15903</v>
      </c>
      <c r="U317">
        <v>1619.94</v>
      </c>
      <c r="V317">
        <v>17522.939999999999</v>
      </c>
    </row>
    <row r="318" spans="1:22" x14ac:dyDescent="0.3">
      <c r="A318">
        <v>15741</v>
      </c>
      <c r="B318">
        <v>455011288</v>
      </c>
      <c r="C318" t="s">
        <v>1499</v>
      </c>
      <c r="D318" s="9" t="s">
        <v>1500</v>
      </c>
      <c r="E318" t="s">
        <v>174</v>
      </c>
      <c r="G318" t="s">
        <v>53</v>
      </c>
      <c r="H318" t="s">
        <v>54</v>
      </c>
      <c r="I318" t="s">
        <v>36</v>
      </c>
      <c r="J318" t="s">
        <v>52</v>
      </c>
      <c r="K318" t="s">
        <v>29</v>
      </c>
      <c r="L318" t="s">
        <v>55</v>
      </c>
      <c r="M318" t="s">
        <v>1501</v>
      </c>
      <c r="N318" t="s">
        <v>176</v>
      </c>
      <c r="O318" t="s">
        <v>75</v>
      </c>
      <c r="P318" t="s">
        <v>1502</v>
      </c>
      <c r="Q318" t="s">
        <v>48</v>
      </c>
      <c r="R318" s="29" t="s">
        <v>1503</v>
      </c>
      <c r="S318">
        <v>9.91</v>
      </c>
      <c r="T318">
        <v>5465</v>
      </c>
      <c r="U318">
        <v>0</v>
      </c>
      <c r="V318">
        <v>5465</v>
      </c>
    </row>
    <row r="319" spans="1:22" x14ac:dyDescent="0.3">
      <c r="A319">
        <v>15741</v>
      </c>
      <c r="B319">
        <v>455010977</v>
      </c>
      <c r="C319" t="s">
        <v>1504</v>
      </c>
      <c r="D319" s="9" t="s">
        <v>1505</v>
      </c>
      <c r="E319" t="s">
        <v>174</v>
      </c>
      <c r="G319" t="s">
        <v>53</v>
      </c>
      <c r="H319" t="s">
        <v>54</v>
      </c>
      <c r="I319" t="s">
        <v>36</v>
      </c>
      <c r="J319" t="s">
        <v>52</v>
      </c>
      <c r="K319" t="s">
        <v>29</v>
      </c>
      <c r="L319" t="s">
        <v>55</v>
      </c>
      <c r="M319" t="s">
        <v>1506</v>
      </c>
      <c r="N319" t="s">
        <v>176</v>
      </c>
      <c r="O319" t="s">
        <v>75</v>
      </c>
      <c r="P319" t="s">
        <v>1507</v>
      </c>
      <c r="Q319" t="s">
        <v>74</v>
      </c>
      <c r="R319" s="29" t="s">
        <v>57</v>
      </c>
      <c r="S319">
        <v>14.92</v>
      </c>
      <c r="T319">
        <v>5943</v>
      </c>
      <c r="U319">
        <v>959.94</v>
      </c>
      <c r="V319">
        <v>6902.9400000000005</v>
      </c>
    </row>
    <row r="320" spans="1:22" x14ac:dyDescent="0.3">
      <c r="A320">
        <v>15741</v>
      </c>
      <c r="B320">
        <v>455010777</v>
      </c>
      <c r="C320" t="s">
        <v>1508</v>
      </c>
      <c r="D320" s="9" t="s">
        <v>1509</v>
      </c>
      <c r="E320" t="s">
        <v>174</v>
      </c>
      <c r="G320" t="s">
        <v>53</v>
      </c>
      <c r="H320" t="s">
        <v>54</v>
      </c>
      <c r="I320" t="s">
        <v>36</v>
      </c>
      <c r="J320" t="s">
        <v>52</v>
      </c>
      <c r="K320" t="s">
        <v>29</v>
      </c>
      <c r="L320" t="s">
        <v>55</v>
      </c>
      <c r="M320" t="s">
        <v>1510</v>
      </c>
      <c r="N320" t="s">
        <v>176</v>
      </c>
      <c r="O320" t="s">
        <v>75</v>
      </c>
      <c r="P320" t="s">
        <v>1511</v>
      </c>
      <c r="Q320" t="s">
        <v>91</v>
      </c>
      <c r="R320" s="29" t="s">
        <v>173</v>
      </c>
      <c r="S320">
        <v>9.34</v>
      </c>
      <c r="T320">
        <v>11548</v>
      </c>
      <c r="U320">
        <v>539.94000000000005</v>
      </c>
      <c r="V320">
        <v>12087.94</v>
      </c>
    </row>
    <row r="321" spans="1:22" x14ac:dyDescent="0.3">
      <c r="A321">
        <v>15741</v>
      </c>
      <c r="B321">
        <v>454951723</v>
      </c>
      <c r="C321" t="s">
        <v>1512</v>
      </c>
      <c r="D321" s="9" t="s">
        <v>1513</v>
      </c>
      <c r="E321" t="s">
        <v>174</v>
      </c>
      <c r="G321" t="s">
        <v>53</v>
      </c>
      <c r="H321" t="s">
        <v>54</v>
      </c>
      <c r="I321" t="s">
        <v>36</v>
      </c>
      <c r="J321" t="s">
        <v>52</v>
      </c>
      <c r="K321" t="s">
        <v>29</v>
      </c>
      <c r="L321" t="s">
        <v>55</v>
      </c>
      <c r="M321" t="s">
        <v>1514</v>
      </c>
      <c r="N321" t="s">
        <v>176</v>
      </c>
      <c r="O321" t="s">
        <v>75</v>
      </c>
      <c r="P321" t="s">
        <v>1515</v>
      </c>
      <c r="Q321" t="s">
        <v>74</v>
      </c>
      <c r="R321" s="29" t="s">
        <v>1516</v>
      </c>
      <c r="S321">
        <v>20.87</v>
      </c>
      <c r="T321">
        <v>8303</v>
      </c>
      <c r="U321">
        <v>1619.94</v>
      </c>
      <c r="V321">
        <v>9922.94</v>
      </c>
    </row>
    <row r="322" spans="1:22" x14ac:dyDescent="0.3">
      <c r="A322">
        <v>15741</v>
      </c>
      <c r="B322">
        <v>454951661</v>
      </c>
      <c r="C322" t="s">
        <v>1517</v>
      </c>
      <c r="D322" s="9" t="s">
        <v>1518</v>
      </c>
      <c r="E322" t="s">
        <v>174</v>
      </c>
      <c r="G322" t="s">
        <v>53</v>
      </c>
      <c r="H322" t="s">
        <v>54</v>
      </c>
      <c r="I322" t="s">
        <v>36</v>
      </c>
      <c r="J322" t="s">
        <v>52</v>
      </c>
      <c r="K322" t="s">
        <v>29</v>
      </c>
      <c r="L322" t="s">
        <v>55</v>
      </c>
      <c r="M322" t="s">
        <v>1519</v>
      </c>
      <c r="N322" t="s">
        <v>176</v>
      </c>
      <c r="O322" t="s">
        <v>75</v>
      </c>
      <c r="P322" t="s">
        <v>1520</v>
      </c>
      <c r="Q322" t="s">
        <v>120</v>
      </c>
      <c r="R322" s="29" t="s">
        <v>1521</v>
      </c>
      <c r="S322">
        <v>7.46</v>
      </c>
      <c r="T322">
        <v>11856</v>
      </c>
      <c r="U322">
        <v>0</v>
      </c>
      <c r="V322">
        <v>11856</v>
      </c>
    </row>
    <row r="323" spans="1:22" x14ac:dyDescent="0.3">
      <c r="A323">
        <v>15741</v>
      </c>
      <c r="B323">
        <v>454951614</v>
      </c>
      <c r="C323" t="s">
        <v>1522</v>
      </c>
      <c r="D323" s="9" t="s">
        <v>1523</v>
      </c>
      <c r="E323" t="s">
        <v>174</v>
      </c>
      <c r="G323" t="s">
        <v>53</v>
      </c>
      <c r="H323" t="s">
        <v>54</v>
      </c>
      <c r="I323" t="s">
        <v>36</v>
      </c>
      <c r="J323" t="s">
        <v>52</v>
      </c>
      <c r="K323" t="s">
        <v>29</v>
      </c>
      <c r="L323" t="s">
        <v>55</v>
      </c>
      <c r="M323" t="s">
        <v>1524</v>
      </c>
      <c r="N323" t="s">
        <v>176</v>
      </c>
      <c r="O323" t="s">
        <v>75</v>
      </c>
      <c r="P323" t="s">
        <v>1525</v>
      </c>
      <c r="Q323" t="s">
        <v>87</v>
      </c>
      <c r="R323" s="29" t="s">
        <v>1526</v>
      </c>
      <c r="S323">
        <v>9.18</v>
      </c>
      <c r="T323">
        <v>9209</v>
      </c>
      <c r="U323">
        <v>539.94000000000005</v>
      </c>
      <c r="V323">
        <v>9748.94</v>
      </c>
    </row>
    <row r="324" spans="1:22" x14ac:dyDescent="0.3">
      <c r="A324">
        <v>15741</v>
      </c>
      <c r="B324">
        <v>454951556</v>
      </c>
      <c r="C324" t="s">
        <v>1527</v>
      </c>
      <c r="D324" s="9" t="s">
        <v>1528</v>
      </c>
      <c r="E324" t="s">
        <v>174</v>
      </c>
      <c r="G324" t="s">
        <v>53</v>
      </c>
      <c r="H324" t="s">
        <v>54</v>
      </c>
      <c r="I324" t="s">
        <v>36</v>
      </c>
      <c r="J324" t="s">
        <v>52</v>
      </c>
      <c r="K324" t="s">
        <v>29</v>
      </c>
      <c r="L324" t="s">
        <v>55</v>
      </c>
      <c r="M324" t="s">
        <v>1529</v>
      </c>
      <c r="N324" t="s">
        <v>176</v>
      </c>
      <c r="O324" t="s">
        <v>75</v>
      </c>
      <c r="P324" t="s">
        <v>1530</v>
      </c>
      <c r="Q324" t="s">
        <v>49</v>
      </c>
      <c r="R324" s="29" t="s">
        <v>1531</v>
      </c>
      <c r="S324">
        <v>63.8</v>
      </c>
      <c r="T324">
        <v>27724</v>
      </c>
      <c r="U324">
        <v>7199.94</v>
      </c>
      <c r="V324">
        <v>34923.94</v>
      </c>
    </row>
    <row r="325" spans="1:22" x14ac:dyDescent="0.3">
      <c r="A325">
        <v>15741</v>
      </c>
      <c r="B325">
        <v>454945395</v>
      </c>
      <c r="C325" t="s">
        <v>1532</v>
      </c>
      <c r="D325" s="9" t="s">
        <v>1533</v>
      </c>
      <c r="E325" t="s">
        <v>174</v>
      </c>
      <c r="G325" t="s">
        <v>53</v>
      </c>
      <c r="H325" t="s">
        <v>54</v>
      </c>
      <c r="I325" t="s">
        <v>36</v>
      </c>
      <c r="J325" t="s">
        <v>52</v>
      </c>
      <c r="K325" t="s">
        <v>29</v>
      </c>
      <c r="L325" t="s">
        <v>55</v>
      </c>
      <c r="M325" t="s">
        <v>1534</v>
      </c>
      <c r="N325" t="s">
        <v>176</v>
      </c>
      <c r="O325" t="s">
        <v>75</v>
      </c>
      <c r="P325" t="s">
        <v>1535</v>
      </c>
      <c r="Q325" t="s">
        <v>46</v>
      </c>
      <c r="R325" s="29" t="s">
        <v>1536</v>
      </c>
      <c r="S325">
        <v>21.01</v>
      </c>
      <c r="T325">
        <v>8777</v>
      </c>
      <c r="U325">
        <v>1619.94</v>
      </c>
      <c r="V325">
        <v>10396.94</v>
      </c>
    </row>
    <row r="326" spans="1:22" x14ac:dyDescent="0.3">
      <c r="A326">
        <v>15741</v>
      </c>
      <c r="B326">
        <v>454945325</v>
      </c>
      <c r="C326" t="s">
        <v>1537</v>
      </c>
      <c r="D326" s="9" t="s">
        <v>1538</v>
      </c>
      <c r="E326" t="s">
        <v>174</v>
      </c>
      <c r="G326" t="s">
        <v>53</v>
      </c>
      <c r="H326" t="s">
        <v>54</v>
      </c>
      <c r="I326" t="s">
        <v>36</v>
      </c>
      <c r="J326" t="s">
        <v>52</v>
      </c>
      <c r="K326" t="s">
        <v>29</v>
      </c>
      <c r="L326" t="s">
        <v>55</v>
      </c>
      <c r="M326" t="s">
        <v>1539</v>
      </c>
      <c r="N326" t="s">
        <v>176</v>
      </c>
      <c r="O326" t="s">
        <v>75</v>
      </c>
      <c r="P326" t="s">
        <v>1540</v>
      </c>
      <c r="Q326" t="s">
        <v>67</v>
      </c>
      <c r="R326" s="29" t="s">
        <v>1541</v>
      </c>
      <c r="S326">
        <v>224.4</v>
      </c>
      <c r="T326">
        <v>144597</v>
      </c>
      <c r="U326">
        <v>13199.94</v>
      </c>
      <c r="V326">
        <v>157796.94</v>
      </c>
    </row>
    <row r="327" spans="1:22" x14ac:dyDescent="0.3">
      <c r="A327">
        <v>15741</v>
      </c>
      <c r="B327">
        <v>454945263</v>
      </c>
      <c r="C327" t="s">
        <v>1542</v>
      </c>
      <c r="D327" s="9" t="s">
        <v>1543</v>
      </c>
      <c r="E327" t="s">
        <v>174</v>
      </c>
      <c r="G327" t="s">
        <v>53</v>
      </c>
      <c r="H327" t="s">
        <v>54</v>
      </c>
      <c r="I327" t="s">
        <v>36</v>
      </c>
      <c r="J327" t="s">
        <v>52</v>
      </c>
      <c r="K327" t="s">
        <v>29</v>
      </c>
      <c r="L327" t="s">
        <v>55</v>
      </c>
      <c r="M327" t="s">
        <v>1544</v>
      </c>
      <c r="N327" t="s">
        <v>176</v>
      </c>
      <c r="O327" t="s">
        <v>75</v>
      </c>
      <c r="P327" t="s">
        <v>1545</v>
      </c>
      <c r="Q327" t="s">
        <v>63</v>
      </c>
      <c r="R327" s="29" t="s">
        <v>1546</v>
      </c>
      <c r="S327">
        <v>9.17</v>
      </c>
      <c r="T327">
        <v>13058</v>
      </c>
      <c r="U327">
        <v>539.94000000000005</v>
      </c>
      <c r="V327">
        <v>13597.94</v>
      </c>
    </row>
    <row r="328" spans="1:22" x14ac:dyDescent="0.3">
      <c r="A328">
        <v>15741</v>
      </c>
      <c r="B328">
        <v>454945213</v>
      </c>
      <c r="C328" t="s">
        <v>1547</v>
      </c>
      <c r="D328" s="9" t="s">
        <v>1548</v>
      </c>
      <c r="E328" t="s">
        <v>174</v>
      </c>
      <c r="G328" t="s">
        <v>53</v>
      </c>
      <c r="H328" t="s">
        <v>54</v>
      </c>
      <c r="I328" t="s">
        <v>36</v>
      </c>
      <c r="J328" t="s">
        <v>52</v>
      </c>
      <c r="K328" t="s">
        <v>29</v>
      </c>
      <c r="L328" t="s">
        <v>55</v>
      </c>
      <c r="M328" t="s">
        <v>1549</v>
      </c>
      <c r="N328" t="s">
        <v>176</v>
      </c>
      <c r="O328" t="s">
        <v>75</v>
      </c>
      <c r="P328" t="s">
        <v>1550</v>
      </c>
      <c r="Q328" t="s">
        <v>33</v>
      </c>
      <c r="R328" s="29" t="s">
        <v>1551</v>
      </c>
      <c r="S328">
        <v>10.5</v>
      </c>
      <c r="T328">
        <v>5943</v>
      </c>
      <c r="U328">
        <v>1283.94</v>
      </c>
      <c r="V328">
        <v>7226.9400000000005</v>
      </c>
    </row>
    <row r="329" spans="1:22" x14ac:dyDescent="0.3">
      <c r="A329">
        <v>15741</v>
      </c>
      <c r="B329">
        <v>454944887</v>
      </c>
      <c r="C329" t="s">
        <v>1552</v>
      </c>
      <c r="D329" s="9" t="s">
        <v>1553</v>
      </c>
      <c r="E329" t="s">
        <v>174</v>
      </c>
      <c r="G329" t="s">
        <v>53</v>
      </c>
      <c r="H329" t="s">
        <v>54</v>
      </c>
      <c r="I329" t="s">
        <v>36</v>
      </c>
      <c r="J329" t="s">
        <v>52</v>
      </c>
      <c r="K329" t="s">
        <v>29</v>
      </c>
      <c r="L329" t="s">
        <v>55</v>
      </c>
      <c r="M329" t="s">
        <v>1554</v>
      </c>
      <c r="N329" t="s">
        <v>176</v>
      </c>
      <c r="O329" t="s">
        <v>75</v>
      </c>
      <c r="P329" t="s">
        <v>1555</v>
      </c>
      <c r="Q329" t="s">
        <v>115</v>
      </c>
      <c r="R329" s="29" t="s">
        <v>1556</v>
      </c>
      <c r="S329">
        <v>17.32</v>
      </c>
      <c r="T329">
        <v>14841</v>
      </c>
      <c r="U329">
        <v>959.94</v>
      </c>
      <c r="V329">
        <v>15800.94</v>
      </c>
    </row>
    <row r="330" spans="1:22" x14ac:dyDescent="0.3">
      <c r="A330">
        <v>15741</v>
      </c>
      <c r="B330">
        <v>454944793</v>
      </c>
      <c r="C330" t="s">
        <v>1557</v>
      </c>
      <c r="D330" s="9" t="s">
        <v>1558</v>
      </c>
      <c r="E330" t="s">
        <v>174</v>
      </c>
      <c r="G330" t="s">
        <v>53</v>
      </c>
      <c r="H330" t="s">
        <v>54</v>
      </c>
      <c r="I330" t="s">
        <v>36</v>
      </c>
      <c r="J330" t="s">
        <v>52</v>
      </c>
      <c r="K330" t="s">
        <v>29</v>
      </c>
      <c r="L330" t="s">
        <v>55</v>
      </c>
      <c r="M330" t="s">
        <v>1559</v>
      </c>
      <c r="N330" t="s">
        <v>176</v>
      </c>
      <c r="O330" t="s">
        <v>75</v>
      </c>
      <c r="P330" t="s">
        <v>1560</v>
      </c>
      <c r="Q330" t="s">
        <v>103</v>
      </c>
      <c r="R330" s="29" t="s">
        <v>1561</v>
      </c>
      <c r="S330">
        <v>16.5</v>
      </c>
      <c r="T330">
        <v>12817</v>
      </c>
      <c r="U330">
        <v>899.94</v>
      </c>
      <c r="V330">
        <v>13716.94</v>
      </c>
    </row>
    <row r="331" spans="1:22" x14ac:dyDescent="0.3">
      <c r="A331">
        <v>15741</v>
      </c>
      <c r="B331">
        <v>454610295</v>
      </c>
      <c r="C331" t="s">
        <v>1562</v>
      </c>
      <c r="D331" s="9" t="s">
        <v>1563</v>
      </c>
      <c r="E331" t="s">
        <v>174</v>
      </c>
      <c r="G331" t="s">
        <v>53</v>
      </c>
      <c r="H331" t="s">
        <v>54</v>
      </c>
      <c r="I331" t="s">
        <v>36</v>
      </c>
      <c r="J331" t="s">
        <v>52</v>
      </c>
      <c r="K331" t="s">
        <v>29</v>
      </c>
      <c r="L331" t="s">
        <v>55</v>
      </c>
      <c r="M331" t="s">
        <v>1564</v>
      </c>
      <c r="N331" t="s">
        <v>176</v>
      </c>
      <c r="O331" t="s">
        <v>75</v>
      </c>
      <c r="P331" t="s">
        <v>1565</v>
      </c>
      <c r="Q331" t="s">
        <v>46</v>
      </c>
      <c r="R331" s="29" t="s">
        <v>123</v>
      </c>
      <c r="S331">
        <v>6.99</v>
      </c>
      <c r="T331">
        <v>5465</v>
      </c>
      <c r="U331">
        <v>0</v>
      </c>
      <c r="V331">
        <v>5465</v>
      </c>
    </row>
    <row r="332" spans="1:22" x14ac:dyDescent="0.3">
      <c r="A332">
        <v>15741</v>
      </c>
      <c r="B332">
        <v>454920858</v>
      </c>
      <c r="C332" t="s">
        <v>1566</v>
      </c>
      <c r="D332" s="9" t="s">
        <v>1567</v>
      </c>
      <c r="E332" t="s">
        <v>174</v>
      </c>
      <c r="G332" t="s">
        <v>53</v>
      </c>
      <c r="H332" t="s">
        <v>54</v>
      </c>
      <c r="I332" t="s">
        <v>36</v>
      </c>
      <c r="J332" t="s">
        <v>52</v>
      </c>
      <c r="K332" t="s">
        <v>29</v>
      </c>
      <c r="L332" t="s">
        <v>55</v>
      </c>
      <c r="M332" t="s">
        <v>1568</v>
      </c>
      <c r="N332" t="s">
        <v>176</v>
      </c>
      <c r="O332" t="s">
        <v>75</v>
      </c>
      <c r="P332" t="s">
        <v>1569</v>
      </c>
      <c r="Q332" t="s">
        <v>81</v>
      </c>
      <c r="R332" s="29" t="s">
        <v>1570</v>
      </c>
      <c r="S332">
        <v>16.760000000000002</v>
      </c>
      <c r="T332">
        <v>13111</v>
      </c>
      <c r="U332">
        <v>899.94</v>
      </c>
      <c r="V332">
        <v>14010.94</v>
      </c>
    </row>
    <row r="333" spans="1:22" x14ac:dyDescent="0.3">
      <c r="A333">
        <v>15741</v>
      </c>
      <c r="B333">
        <v>454915106</v>
      </c>
      <c r="C333" t="s">
        <v>1571</v>
      </c>
      <c r="D333" s="9" t="s">
        <v>1572</v>
      </c>
      <c r="E333" t="s">
        <v>174</v>
      </c>
      <c r="G333" t="s">
        <v>53</v>
      </c>
      <c r="H333" t="s">
        <v>54</v>
      </c>
      <c r="I333" t="s">
        <v>36</v>
      </c>
      <c r="J333" t="s">
        <v>52</v>
      </c>
      <c r="K333" t="s">
        <v>29</v>
      </c>
      <c r="L333" t="s">
        <v>55</v>
      </c>
      <c r="M333" t="s">
        <v>1573</v>
      </c>
      <c r="N333" t="s">
        <v>176</v>
      </c>
      <c r="O333" t="s">
        <v>75</v>
      </c>
      <c r="P333" t="s">
        <v>1574</v>
      </c>
      <c r="Q333" t="s">
        <v>147</v>
      </c>
      <c r="R333" s="29" t="s">
        <v>1575</v>
      </c>
      <c r="S333">
        <v>9.31</v>
      </c>
      <c r="T333">
        <v>10173</v>
      </c>
      <c r="U333">
        <v>539.94000000000005</v>
      </c>
      <c r="V333">
        <v>10712.94</v>
      </c>
    </row>
    <row r="334" spans="1:22" x14ac:dyDescent="0.3">
      <c r="A334">
        <v>15741</v>
      </c>
      <c r="B334">
        <v>454913343</v>
      </c>
      <c r="C334" t="s">
        <v>1576</v>
      </c>
      <c r="D334" s="9" t="s">
        <v>1577</v>
      </c>
      <c r="E334" t="s">
        <v>174</v>
      </c>
      <c r="G334" t="s">
        <v>53</v>
      </c>
      <c r="H334" t="s">
        <v>54</v>
      </c>
      <c r="I334" t="s">
        <v>36</v>
      </c>
      <c r="J334" t="s">
        <v>52</v>
      </c>
      <c r="K334" t="s">
        <v>29</v>
      </c>
      <c r="L334" t="s">
        <v>55</v>
      </c>
      <c r="M334" t="s">
        <v>1578</v>
      </c>
      <c r="N334" t="s">
        <v>176</v>
      </c>
      <c r="O334" t="s">
        <v>75</v>
      </c>
      <c r="P334" t="s">
        <v>1579</v>
      </c>
      <c r="Q334" t="s">
        <v>46</v>
      </c>
      <c r="R334" s="29" t="s">
        <v>1580</v>
      </c>
      <c r="S334">
        <v>48.65</v>
      </c>
      <c r="T334">
        <v>21527</v>
      </c>
      <c r="U334">
        <v>1109.94</v>
      </c>
      <c r="V334">
        <v>22636.94</v>
      </c>
    </row>
    <row r="335" spans="1:22" x14ac:dyDescent="0.3">
      <c r="A335">
        <v>15741</v>
      </c>
      <c r="B335">
        <v>454897000</v>
      </c>
      <c r="C335" t="s">
        <v>1581</v>
      </c>
      <c r="D335" s="9" t="s">
        <v>1582</v>
      </c>
      <c r="E335" t="s">
        <v>174</v>
      </c>
      <c r="G335" t="s">
        <v>53</v>
      </c>
      <c r="H335" t="s">
        <v>54</v>
      </c>
      <c r="I335" t="s">
        <v>36</v>
      </c>
      <c r="J335" t="s">
        <v>52</v>
      </c>
      <c r="K335" t="s">
        <v>29</v>
      </c>
      <c r="L335" t="s">
        <v>55</v>
      </c>
      <c r="M335" t="s">
        <v>1583</v>
      </c>
      <c r="N335" t="s">
        <v>176</v>
      </c>
      <c r="O335" t="s">
        <v>75</v>
      </c>
      <c r="P335" t="s">
        <v>1584</v>
      </c>
      <c r="Q335" t="s">
        <v>33</v>
      </c>
      <c r="R335" s="29" t="s">
        <v>1585</v>
      </c>
      <c r="S335">
        <v>11.41</v>
      </c>
      <c r="T335">
        <v>5943</v>
      </c>
      <c r="U335">
        <v>779.94</v>
      </c>
      <c r="V335">
        <v>6722.9400000000005</v>
      </c>
    </row>
    <row r="336" spans="1:22" x14ac:dyDescent="0.3">
      <c r="A336">
        <v>15741</v>
      </c>
      <c r="B336">
        <v>454910496</v>
      </c>
      <c r="C336" t="s">
        <v>1586</v>
      </c>
      <c r="D336" s="9" t="s">
        <v>1587</v>
      </c>
      <c r="E336" t="s">
        <v>174</v>
      </c>
      <c r="G336" t="s">
        <v>53</v>
      </c>
      <c r="H336" t="s">
        <v>54</v>
      </c>
      <c r="I336" t="s">
        <v>36</v>
      </c>
      <c r="J336" t="s">
        <v>52</v>
      </c>
      <c r="K336" t="s">
        <v>29</v>
      </c>
      <c r="L336" t="s">
        <v>55</v>
      </c>
      <c r="M336" t="s">
        <v>1588</v>
      </c>
      <c r="N336" t="s">
        <v>176</v>
      </c>
      <c r="O336" t="s">
        <v>75</v>
      </c>
      <c r="P336" t="s">
        <v>1589</v>
      </c>
      <c r="Q336" t="s">
        <v>89</v>
      </c>
      <c r="R336" s="29" t="s">
        <v>1590</v>
      </c>
      <c r="S336">
        <v>15.1</v>
      </c>
      <c r="T336">
        <v>11761</v>
      </c>
      <c r="U336">
        <v>839.94</v>
      </c>
      <c r="V336">
        <v>12600.94</v>
      </c>
    </row>
    <row r="337" spans="1:22" x14ac:dyDescent="0.3">
      <c r="A337">
        <v>15741</v>
      </c>
      <c r="B337">
        <v>454910467</v>
      </c>
      <c r="C337" t="s">
        <v>1591</v>
      </c>
      <c r="D337" s="9" t="s">
        <v>1592</v>
      </c>
      <c r="E337" t="s">
        <v>174</v>
      </c>
      <c r="G337" t="s">
        <v>53</v>
      </c>
      <c r="H337" t="s">
        <v>54</v>
      </c>
      <c r="I337" t="s">
        <v>36</v>
      </c>
      <c r="J337" t="s">
        <v>52</v>
      </c>
      <c r="K337" t="s">
        <v>29</v>
      </c>
      <c r="L337" t="s">
        <v>55</v>
      </c>
      <c r="M337" t="s">
        <v>1593</v>
      </c>
      <c r="N337" t="s">
        <v>176</v>
      </c>
      <c r="O337" t="s">
        <v>75</v>
      </c>
      <c r="P337" t="s">
        <v>1594</v>
      </c>
      <c r="Q337" t="s">
        <v>66</v>
      </c>
      <c r="R337" s="29" t="s">
        <v>1595</v>
      </c>
      <c r="S337">
        <v>15.29</v>
      </c>
      <c r="T337">
        <v>10408</v>
      </c>
      <c r="U337">
        <v>839.94</v>
      </c>
      <c r="V337">
        <v>11247.94</v>
      </c>
    </row>
    <row r="338" spans="1:22" x14ac:dyDescent="0.3">
      <c r="A338">
        <v>15741</v>
      </c>
      <c r="B338">
        <v>454910435</v>
      </c>
      <c r="C338" t="s">
        <v>1596</v>
      </c>
      <c r="D338" s="9" t="s">
        <v>1597</v>
      </c>
      <c r="E338" t="s">
        <v>174</v>
      </c>
      <c r="G338" t="s">
        <v>53</v>
      </c>
      <c r="H338" t="s">
        <v>54</v>
      </c>
      <c r="I338" t="s">
        <v>36</v>
      </c>
      <c r="J338" t="s">
        <v>52</v>
      </c>
      <c r="K338" t="s">
        <v>29</v>
      </c>
      <c r="L338" t="s">
        <v>55</v>
      </c>
      <c r="M338" t="s">
        <v>1598</v>
      </c>
      <c r="N338" t="s">
        <v>176</v>
      </c>
      <c r="O338" t="s">
        <v>75</v>
      </c>
      <c r="P338" t="s">
        <v>1599</v>
      </c>
      <c r="Q338" t="s">
        <v>33</v>
      </c>
      <c r="R338" s="29" t="s">
        <v>165</v>
      </c>
      <c r="S338">
        <v>15.29</v>
      </c>
      <c r="T338">
        <v>5943</v>
      </c>
      <c r="U338">
        <v>839.94</v>
      </c>
      <c r="V338">
        <v>6782.9400000000005</v>
      </c>
    </row>
    <row r="339" spans="1:22" x14ac:dyDescent="0.3">
      <c r="A339">
        <v>15741</v>
      </c>
      <c r="B339">
        <v>454910453</v>
      </c>
      <c r="C339" t="s">
        <v>1600</v>
      </c>
      <c r="D339" s="9" t="s">
        <v>1601</v>
      </c>
      <c r="E339" t="s">
        <v>174</v>
      </c>
      <c r="G339" t="s">
        <v>53</v>
      </c>
      <c r="H339" t="s">
        <v>54</v>
      </c>
      <c r="I339" t="s">
        <v>36</v>
      </c>
      <c r="J339" t="s">
        <v>52</v>
      </c>
      <c r="K339" t="s">
        <v>29</v>
      </c>
      <c r="L339" t="s">
        <v>162</v>
      </c>
      <c r="M339" t="s">
        <v>1602</v>
      </c>
      <c r="N339" t="s">
        <v>176</v>
      </c>
      <c r="O339" t="s">
        <v>75</v>
      </c>
      <c r="P339" t="s">
        <v>1603</v>
      </c>
      <c r="Q339" t="s">
        <v>87</v>
      </c>
      <c r="R339" s="29" t="s">
        <v>1595</v>
      </c>
      <c r="S339">
        <v>28.34</v>
      </c>
      <c r="T339">
        <v>17944</v>
      </c>
      <c r="U339">
        <v>1559.88</v>
      </c>
      <c r="V339">
        <v>19503.88</v>
      </c>
    </row>
    <row r="340" spans="1:22" x14ac:dyDescent="0.3">
      <c r="A340">
        <v>15741</v>
      </c>
      <c r="B340">
        <v>454910004</v>
      </c>
      <c r="C340" t="s">
        <v>1604</v>
      </c>
      <c r="D340" s="9" t="s">
        <v>1605</v>
      </c>
      <c r="E340" t="s">
        <v>174</v>
      </c>
      <c r="G340" t="s">
        <v>53</v>
      </c>
      <c r="H340" t="s">
        <v>54</v>
      </c>
      <c r="I340" t="s">
        <v>36</v>
      </c>
      <c r="J340" t="s">
        <v>52</v>
      </c>
      <c r="K340" t="s">
        <v>29</v>
      </c>
      <c r="L340" t="s">
        <v>55</v>
      </c>
      <c r="M340" t="s">
        <v>1606</v>
      </c>
      <c r="N340" t="s">
        <v>176</v>
      </c>
      <c r="O340" t="s">
        <v>75</v>
      </c>
      <c r="P340" t="s">
        <v>1607</v>
      </c>
      <c r="Q340" t="s">
        <v>94</v>
      </c>
      <c r="R340" s="29" t="s">
        <v>1608</v>
      </c>
      <c r="S340">
        <v>15.66</v>
      </c>
      <c r="T340">
        <v>5943</v>
      </c>
      <c r="U340">
        <v>839.94</v>
      </c>
      <c r="V340">
        <v>6782.9400000000005</v>
      </c>
    </row>
    <row r="341" spans="1:22" x14ac:dyDescent="0.3">
      <c r="A341">
        <v>15741</v>
      </c>
      <c r="B341">
        <v>454909966</v>
      </c>
      <c r="C341" t="s">
        <v>1609</v>
      </c>
      <c r="D341" s="9" t="s">
        <v>1610</v>
      </c>
      <c r="E341" t="s">
        <v>174</v>
      </c>
      <c r="G341" t="s">
        <v>53</v>
      </c>
      <c r="H341" t="s">
        <v>54</v>
      </c>
      <c r="I341" t="s">
        <v>36</v>
      </c>
      <c r="J341" t="s">
        <v>52</v>
      </c>
      <c r="K341" t="s">
        <v>29</v>
      </c>
      <c r="L341" t="s">
        <v>55</v>
      </c>
      <c r="M341" t="s">
        <v>1611</v>
      </c>
      <c r="N341" t="s">
        <v>176</v>
      </c>
      <c r="O341" t="s">
        <v>75</v>
      </c>
      <c r="P341" t="s">
        <v>1612</v>
      </c>
      <c r="Q341" t="s">
        <v>143</v>
      </c>
      <c r="R341" s="29" t="s">
        <v>1613</v>
      </c>
      <c r="S341">
        <v>11.05</v>
      </c>
      <c r="T341">
        <v>15325</v>
      </c>
      <c r="U341">
        <v>779.94</v>
      </c>
      <c r="V341">
        <v>16104.94</v>
      </c>
    </row>
    <row r="342" spans="1:22" x14ac:dyDescent="0.3">
      <c r="A342">
        <v>15741</v>
      </c>
      <c r="B342">
        <v>454909946</v>
      </c>
      <c r="C342" t="s">
        <v>1614</v>
      </c>
      <c r="D342" s="9" t="s">
        <v>1615</v>
      </c>
      <c r="E342" t="s">
        <v>174</v>
      </c>
      <c r="G342" t="s">
        <v>53</v>
      </c>
      <c r="H342" t="s">
        <v>54</v>
      </c>
      <c r="I342" t="s">
        <v>36</v>
      </c>
      <c r="J342" t="s">
        <v>52</v>
      </c>
      <c r="K342" t="s">
        <v>29</v>
      </c>
      <c r="L342" t="s">
        <v>55</v>
      </c>
      <c r="M342" t="s">
        <v>1616</v>
      </c>
      <c r="N342" t="s">
        <v>176</v>
      </c>
      <c r="O342" t="s">
        <v>75</v>
      </c>
      <c r="P342" t="s">
        <v>1617</v>
      </c>
      <c r="Q342" t="s">
        <v>133</v>
      </c>
      <c r="R342" s="29" t="s">
        <v>1613</v>
      </c>
      <c r="S342">
        <v>11.62</v>
      </c>
      <c r="T342">
        <v>5943</v>
      </c>
      <c r="U342">
        <v>779.94</v>
      </c>
      <c r="V342">
        <v>6722.9400000000005</v>
      </c>
    </row>
    <row r="343" spans="1:22" x14ac:dyDescent="0.3">
      <c r="A343">
        <v>15741</v>
      </c>
      <c r="B343">
        <v>454909908</v>
      </c>
      <c r="C343" t="s">
        <v>1618</v>
      </c>
      <c r="D343" s="9" t="s">
        <v>1619</v>
      </c>
      <c r="E343" t="s">
        <v>174</v>
      </c>
      <c r="G343" t="s">
        <v>53</v>
      </c>
      <c r="H343" t="s">
        <v>54</v>
      </c>
      <c r="I343" t="s">
        <v>36</v>
      </c>
      <c r="J343" t="s">
        <v>52</v>
      </c>
      <c r="K343" t="s">
        <v>29</v>
      </c>
      <c r="L343" t="s">
        <v>55</v>
      </c>
      <c r="M343" t="s">
        <v>1620</v>
      </c>
      <c r="N343" t="s">
        <v>176</v>
      </c>
      <c r="O343" t="s">
        <v>75</v>
      </c>
      <c r="P343" t="s">
        <v>1621</v>
      </c>
      <c r="Q343" t="s">
        <v>48</v>
      </c>
      <c r="R343" s="29" t="s">
        <v>1622</v>
      </c>
      <c r="S343">
        <v>15.17</v>
      </c>
      <c r="T343">
        <v>5943</v>
      </c>
      <c r="U343">
        <v>839.94</v>
      </c>
      <c r="V343">
        <v>6782.9400000000005</v>
      </c>
    </row>
    <row r="344" spans="1:22" x14ac:dyDescent="0.3">
      <c r="A344">
        <v>15741</v>
      </c>
      <c r="B344">
        <v>454909907</v>
      </c>
      <c r="C344" t="s">
        <v>1623</v>
      </c>
      <c r="D344" s="9" t="s">
        <v>1624</v>
      </c>
      <c r="E344" t="s">
        <v>174</v>
      </c>
      <c r="G344" t="s">
        <v>53</v>
      </c>
      <c r="H344" t="s">
        <v>54</v>
      </c>
      <c r="I344" t="s">
        <v>36</v>
      </c>
      <c r="J344" t="s">
        <v>52</v>
      </c>
      <c r="K344" t="s">
        <v>29</v>
      </c>
      <c r="L344" t="s">
        <v>55</v>
      </c>
      <c r="M344" t="s">
        <v>1625</v>
      </c>
      <c r="N344" t="s">
        <v>176</v>
      </c>
      <c r="O344" t="s">
        <v>75</v>
      </c>
      <c r="P344" t="s">
        <v>1626</v>
      </c>
      <c r="Q344" t="s">
        <v>31</v>
      </c>
      <c r="R344" s="29" t="s">
        <v>1622</v>
      </c>
      <c r="S344">
        <v>11.37</v>
      </c>
      <c r="T344">
        <v>5943</v>
      </c>
      <c r="U344">
        <v>779.94</v>
      </c>
      <c r="V344">
        <v>6722.9400000000005</v>
      </c>
    </row>
    <row r="345" spans="1:22" x14ac:dyDescent="0.3">
      <c r="A345">
        <v>15741</v>
      </c>
      <c r="B345">
        <v>454909896</v>
      </c>
      <c r="C345" t="s">
        <v>1627</v>
      </c>
      <c r="D345" s="9" t="s">
        <v>1628</v>
      </c>
      <c r="E345" t="s">
        <v>174</v>
      </c>
      <c r="G345" t="s">
        <v>53</v>
      </c>
      <c r="H345" t="s">
        <v>54</v>
      </c>
      <c r="I345" t="s">
        <v>36</v>
      </c>
      <c r="J345" t="s">
        <v>52</v>
      </c>
      <c r="K345" t="s">
        <v>29</v>
      </c>
      <c r="L345" t="s">
        <v>55</v>
      </c>
      <c r="M345" t="s">
        <v>1629</v>
      </c>
      <c r="N345" t="s">
        <v>176</v>
      </c>
      <c r="O345" t="s">
        <v>75</v>
      </c>
      <c r="P345" t="s">
        <v>1630</v>
      </c>
      <c r="Q345" t="s">
        <v>66</v>
      </c>
      <c r="R345" s="29" t="s">
        <v>1622</v>
      </c>
      <c r="S345">
        <v>15.53</v>
      </c>
      <c r="T345">
        <v>10408</v>
      </c>
      <c r="U345">
        <v>839.94</v>
      </c>
      <c r="V345">
        <v>11247.94</v>
      </c>
    </row>
    <row r="346" spans="1:22" x14ac:dyDescent="0.3">
      <c r="A346">
        <v>15741</v>
      </c>
      <c r="B346">
        <v>454909881</v>
      </c>
      <c r="C346" t="s">
        <v>1631</v>
      </c>
      <c r="D346" s="9" t="s">
        <v>1632</v>
      </c>
      <c r="E346" t="s">
        <v>174</v>
      </c>
      <c r="G346" t="s">
        <v>53</v>
      </c>
      <c r="H346" t="s">
        <v>54</v>
      </c>
      <c r="I346" t="s">
        <v>36</v>
      </c>
      <c r="J346" t="s">
        <v>52</v>
      </c>
      <c r="K346" t="s">
        <v>29</v>
      </c>
      <c r="L346" t="s">
        <v>55</v>
      </c>
      <c r="M346" t="s">
        <v>1633</v>
      </c>
      <c r="N346" t="s">
        <v>176</v>
      </c>
      <c r="O346" t="s">
        <v>75</v>
      </c>
      <c r="P346" t="s">
        <v>1634</v>
      </c>
      <c r="Q346" t="s">
        <v>145</v>
      </c>
      <c r="R346" s="29" t="s">
        <v>1622</v>
      </c>
      <c r="S346">
        <v>14.99</v>
      </c>
      <c r="T346">
        <v>11161</v>
      </c>
      <c r="U346">
        <v>839.94</v>
      </c>
      <c r="V346">
        <v>12000.94</v>
      </c>
    </row>
    <row r="347" spans="1:22" x14ac:dyDescent="0.3">
      <c r="A347">
        <v>15741</v>
      </c>
      <c r="B347">
        <v>454909862</v>
      </c>
      <c r="C347" t="s">
        <v>1635</v>
      </c>
      <c r="D347" s="9" t="s">
        <v>1636</v>
      </c>
      <c r="E347" t="s">
        <v>174</v>
      </c>
      <c r="G347" t="s">
        <v>53</v>
      </c>
      <c r="H347" t="s">
        <v>54</v>
      </c>
      <c r="I347" t="s">
        <v>36</v>
      </c>
      <c r="J347" t="s">
        <v>134</v>
      </c>
      <c r="K347" t="s">
        <v>29</v>
      </c>
      <c r="L347" t="s">
        <v>55</v>
      </c>
      <c r="M347" t="s">
        <v>1637</v>
      </c>
      <c r="N347" t="s">
        <v>176</v>
      </c>
      <c r="O347" t="s">
        <v>75</v>
      </c>
      <c r="P347" t="s">
        <v>1638</v>
      </c>
      <c r="Q347" t="s">
        <v>74</v>
      </c>
      <c r="R347" s="29" t="s">
        <v>131</v>
      </c>
      <c r="S347">
        <v>11.31</v>
      </c>
      <c r="T347">
        <v>6030</v>
      </c>
      <c r="U347">
        <v>779.94</v>
      </c>
      <c r="V347">
        <v>6809.9400000000005</v>
      </c>
    </row>
    <row r="348" spans="1:22" x14ac:dyDescent="0.3">
      <c r="A348">
        <v>15741</v>
      </c>
      <c r="B348">
        <v>454909848</v>
      </c>
      <c r="C348" t="s">
        <v>1639</v>
      </c>
      <c r="D348" s="9" t="s">
        <v>1640</v>
      </c>
      <c r="E348" t="s">
        <v>174</v>
      </c>
      <c r="G348" t="s">
        <v>53</v>
      </c>
      <c r="H348" t="s">
        <v>54</v>
      </c>
      <c r="I348" t="s">
        <v>36</v>
      </c>
      <c r="J348" t="s">
        <v>52</v>
      </c>
      <c r="K348" t="s">
        <v>29</v>
      </c>
      <c r="L348" t="s">
        <v>55</v>
      </c>
      <c r="M348" t="s">
        <v>1641</v>
      </c>
      <c r="N348" t="s">
        <v>176</v>
      </c>
      <c r="O348" t="s">
        <v>75</v>
      </c>
      <c r="P348" t="s">
        <v>1642</v>
      </c>
      <c r="Q348" t="s">
        <v>115</v>
      </c>
      <c r="R348" s="29" t="s">
        <v>131</v>
      </c>
      <c r="S348">
        <v>11.44</v>
      </c>
      <c r="T348">
        <v>13253</v>
      </c>
      <c r="U348">
        <v>779.94</v>
      </c>
      <c r="V348">
        <v>14032.94</v>
      </c>
    </row>
    <row r="349" spans="1:22" x14ac:dyDescent="0.3">
      <c r="A349">
        <v>15741</v>
      </c>
      <c r="B349">
        <v>454909765</v>
      </c>
      <c r="C349" t="s">
        <v>1643</v>
      </c>
      <c r="D349" s="9" t="s">
        <v>1644</v>
      </c>
      <c r="E349" t="s">
        <v>174</v>
      </c>
      <c r="G349" t="s">
        <v>53</v>
      </c>
      <c r="H349" t="s">
        <v>54</v>
      </c>
      <c r="I349" t="s">
        <v>36</v>
      </c>
      <c r="J349" t="s">
        <v>52</v>
      </c>
      <c r="K349" t="s">
        <v>29</v>
      </c>
      <c r="L349" t="s">
        <v>55</v>
      </c>
      <c r="M349" t="s">
        <v>1645</v>
      </c>
      <c r="N349" t="s">
        <v>176</v>
      </c>
      <c r="O349" t="s">
        <v>75</v>
      </c>
      <c r="P349" t="s">
        <v>1646</v>
      </c>
      <c r="Q349" t="s">
        <v>64</v>
      </c>
      <c r="R349" s="29" t="s">
        <v>132</v>
      </c>
      <c r="S349">
        <v>11.28</v>
      </c>
      <c r="T349">
        <v>10408</v>
      </c>
      <c r="U349">
        <v>779.94</v>
      </c>
      <c r="V349">
        <v>11187.94</v>
      </c>
    </row>
    <row r="350" spans="1:22" x14ac:dyDescent="0.3">
      <c r="A350">
        <v>15741</v>
      </c>
      <c r="B350">
        <v>454909721</v>
      </c>
      <c r="C350" t="s">
        <v>1647</v>
      </c>
      <c r="D350" s="9" t="s">
        <v>1648</v>
      </c>
      <c r="E350" t="s">
        <v>174</v>
      </c>
      <c r="G350" t="s">
        <v>53</v>
      </c>
      <c r="H350" t="s">
        <v>54</v>
      </c>
      <c r="I350" t="s">
        <v>36</v>
      </c>
      <c r="J350" t="s">
        <v>52</v>
      </c>
      <c r="K350" t="s">
        <v>29</v>
      </c>
      <c r="L350" t="s">
        <v>55</v>
      </c>
      <c r="M350" t="s">
        <v>1649</v>
      </c>
      <c r="N350" t="s">
        <v>176</v>
      </c>
      <c r="O350" t="s">
        <v>75</v>
      </c>
      <c r="P350" t="s">
        <v>1650</v>
      </c>
      <c r="Q350" t="s">
        <v>120</v>
      </c>
      <c r="R350" s="29" t="s">
        <v>1651</v>
      </c>
      <c r="S350">
        <v>11.54</v>
      </c>
      <c r="T350">
        <v>13529</v>
      </c>
      <c r="U350">
        <v>779.94</v>
      </c>
      <c r="V350">
        <v>14308.94</v>
      </c>
    </row>
    <row r="351" spans="1:22" x14ac:dyDescent="0.3">
      <c r="A351">
        <v>15741</v>
      </c>
      <c r="B351">
        <v>454892358</v>
      </c>
      <c r="C351" t="s">
        <v>1652</v>
      </c>
      <c r="D351" s="9" t="s">
        <v>1653</v>
      </c>
      <c r="E351" t="s">
        <v>174</v>
      </c>
      <c r="G351" t="s">
        <v>53</v>
      </c>
      <c r="H351" t="s">
        <v>54</v>
      </c>
      <c r="I351" t="s">
        <v>36</v>
      </c>
      <c r="J351" t="s">
        <v>52</v>
      </c>
      <c r="K351" t="s">
        <v>29</v>
      </c>
      <c r="L351" t="s">
        <v>55</v>
      </c>
      <c r="M351" t="s">
        <v>1654</v>
      </c>
      <c r="N351" t="s">
        <v>176</v>
      </c>
      <c r="O351" t="s">
        <v>75</v>
      </c>
      <c r="P351" t="s">
        <v>1655</v>
      </c>
      <c r="Q351" t="s">
        <v>66</v>
      </c>
      <c r="R351" s="29" t="s">
        <v>1656</v>
      </c>
      <c r="S351">
        <v>11.15</v>
      </c>
      <c r="T351">
        <v>10408</v>
      </c>
      <c r="U351">
        <v>899.94</v>
      </c>
      <c r="V351">
        <v>11307.94</v>
      </c>
    </row>
    <row r="352" spans="1:22" x14ac:dyDescent="0.3">
      <c r="A352">
        <v>15741</v>
      </c>
      <c r="B352">
        <v>454586325</v>
      </c>
      <c r="C352" t="s">
        <v>1657</v>
      </c>
      <c r="D352" s="9" t="s">
        <v>1658</v>
      </c>
      <c r="E352" t="s">
        <v>174</v>
      </c>
      <c r="G352" t="s">
        <v>53</v>
      </c>
      <c r="H352" t="s">
        <v>54</v>
      </c>
      <c r="I352" t="s">
        <v>36</v>
      </c>
      <c r="J352" t="s">
        <v>52</v>
      </c>
      <c r="K352" t="s">
        <v>29</v>
      </c>
      <c r="L352" t="s">
        <v>55</v>
      </c>
      <c r="M352" t="s">
        <v>1659</v>
      </c>
      <c r="N352" t="s">
        <v>176</v>
      </c>
      <c r="O352" t="s">
        <v>75</v>
      </c>
      <c r="P352" t="s">
        <v>1660</v>
      </c>
      <c r="Q352" t="s">
        <v>74</v>
      </c>
      <c r="R352" s="29" t="s">
        <v>171</v>
      </c>
      <c r="S352">
        <v>10.96</v>
      </c>
      <c r="T352">
        <v>5943</v>
      </c>
      <c r="U352">
        <v>839.94</v>
      </c>
      <c r="V352">
        <v>6782.9400000000005</v>
      </c>
    </row>
    <row r="353" spans="1:22" x14ac:dyDescent="0.3">
      <c r="A353">
        <v>15741</v>
      </c>
      <c r="B353">
        <v>454909633</v>
      </c>
      <c r="C353" t="s">
        <v>1661</v>
      </c>
      <c r="D353" s="9" t="s">
        <v>1662</v>
      </c>
      <c r="E353" t="s">
        <v>174</v>
      </c>
      <c r="G353" t="s">
        <v>53</v>
      </c>
      <c r="H353" t="s">
        <v>54</v>
      </c>
      <c r="I353" t="s">
        <v>36</v>
      </c>
      <c r="J353" t="s">
        <v>52</v>
      </c>
      <c r="K353" t="s">
        <v>29</v>
      </c>
      <c r="L353" t="s">
        <v>55</v>
      </c>
      <c r="M353" t="s">
        <v>1663</v>
      </c>
      <c r="N353" t="s">
        <v>176</v>
      </c>
      <c r="O353" t="s">
        <v>75</v>
      </c>
      <c r="P353" t="s">
        <v>1664</v>
      </c>
      <c r="Q353" t="s">
        <v>82</v>
      </c>
      <c r="R353" s="29" t="s">
        <v>1665</v>
      </c>
      <c r="S353">
        <v>9.7799999999999994</v>
      </c>
      <c r="T353">
        <v>5465</v>
      </c>
      <c r="U353">
        <v>539.94000000000005</v>
      </c>
      <c r="V353">
        <v>6004.9400000000005</v>
      </c>
    </row>
    <row r="354" spans="1:22" x14ac:dyDescent="0.3">
      <c r="A354">
        <v>15741</v>
      </c>
      <c r="B354">
        <v>454909599</v>
      </c>
      <c r="C354" t="s">
        <v>1666</v>
      </c>
      <c r="D354" s="9" t="s">
        <v>1667</v>
      </c>
      <c r="E354" t="s">
        <v>174</v>
      </c>
      <c r="G354" t="s">
        <v>53</v>
      </c>
      <c r="H354" t="s">
        <v>54</v>
      </c>
      <c r="I354" t="s">
        <v>36</v>
      </c>
      <c r="J354" t="s">
        <v>52</v>
      </c>
      <c r="K354" t="s">
        <v>29</v>
      </c>
      <c r="L354" t="s">
        <v>55</v>
      </c>
      <c r="M354" t="s">
        <v>1668</v>
      </c>
      <c r="N354" t="s">
        <v>176</v>
      </c>
      <c r="O354" t="s">
        <v>75</v>
      </c>
      <c r="P354" t="s">
        <v>1669</v>
      </c>
      <c r="Q354" t="s">
        <v>70</v>
      </c>
      <c r="R354" s="29" t="s">
        <v>1670</v>
      </c>
      <c r="S354">
        <v>9.57</v>
      </c>
      <c r="T354">
        <v>5465</v>
      </c>
      <c r="U354">
        <v>539.94000000000005</v>
      </c>
      <c r="V354">
        <v>6004.9400000000005</v>
      </c>
    </row>
    <row r="355" spans="1:22" x14ac:dyDescent="0.3">
      <c r="A355">
        <v>15741</v>
      </c>
      <c r="B355">
        <v>454892502</v>
      </c>
      <c r="C355" t="s">
        <v>1671</v>
      </c>
      <c r="D355" s="9" t="s">
        <v>1672</v>
      </c>
      <c r="E355" t="s">
        <v>174</v>
      </c>
      <c r="G355" t="s">
        <v>53</v>
      </c>
      <c r="H355" t="s">
        <v>54</v>
      </c>
      <c r="I355" t="s">
        <v>36</v>
      </c>
      <c r="J355" t="s">
        <v>52</v>
      </c>
      <c r="K355" t="s">
        <v>29</v>
      </c>
      <c r="L355" t="s">
        <v>55</v>
      </c>
      <c r="M355" t="s">
        <v>1673</v>
      </c>
      <c r="N355" t="s">
        <v>176</v>
      </c>
      <c r="O355" t="s">
        <v>75</v>
      </c>
      <c r="P355" t="s">
        <v>1674</v>
      </c>
      <c r="Q355" t="s">
        <v>91</v>
      </c>
      <c r="R355" s="29" t="s">
        <v>1675</v>
      </c>
      <c r="S355">
        <v>20.95</v>
      </c>
      <c r="T355">
        <v>17221</v>
      </c>
      <c r="U355">
        <v>1619.94</v>
      </c>
      <c r="V355">
        <v>18840.939999999999</v>
      </c>
    </row>
    <row r="356" spans="1:22" x14ac:dyDescent="0.3">
      <c r="A356">
        <v>15741</v>
      </c>
      <c r="B356">
        <v>454892485</v>
      </c>
      <c r="C356" t="s">
        <v>1676</v>
      </c>
      <c r="D356" s="9" t="s">
        <v>1677</v>
      </c>
      <c r="E356" t="s">
        <v>174</v>
      </c>
      <c r="G356" t="s">
        <v>53</v>
      </c>
      <c r="H356" t="s">
        <v>54</v>
      </c>
      <c r="I356" t="s">
        <v>36</v>
      </c>
      <c r="J356" t="s">
        <v>52</v>
      </c>
      <c r="K356" t="s">
        <v>29</v>
      </c>
      <c r="L356" t="s">
        <v>55</v>
      </c>
      <c r="M356" t="s">
        <v>1678</v>
      </c>
      <c r="N356" t="s">
        <v>176</v>
      </c>
      <c r="O356" t="s">
        <v>75</v>
      </c>
      <c r="P356" t="s">
        <v>1679</v>
      </c>
      <c r="Q356" t="s">
        <v>69</v>
      </c>
      <c r="R356" s="29" t="s">
        <v>1675</v>
      </c>
      <c r="S356">
        <v>82.57</v>
      </c>
      <c r="T356">
        <v>35494</v>
      </c>
      <c r="U356">
        <v>1019.94</v>
      </c>
      <c r="V356">
        <v>36513.94</v>
      </c>
    </row>
    <row r="357" spans="1:22" x14ac:dyDescent="0.3">
      <c r="A357">
        <v>15741</v>
      </c>
      <c r="B357">
        <v>454892367</v>
      </c>
      <c r="C357" t="s">
        <v>1680</v>
      </c>
      <c r="D357" s="9" t="s">
        <v>1681</v>
      </c>
      <c r="E357" t="s">
        <v>174</v>
      </c>
      <c r="G357" t="s">
        <v>53</v>
      </c>
      <c r="H357" t="s">
        <v>54</v>
      </c>
      <c r="I357" t="s">
        <v>36</v>
      </c>
      <c r="J357" t="s">
        <v>134</v>
      </c>
      <c r="K357" t="s">
        <v>29</v>
      </c>
      <c r="L357" t="s">
        <v>55</v>
      </c>
      <c r="M357" t="s">
        <v>1682</v>
      </c>
      <c r="N357" t="s">
        <v>176</v>
      </c>
      <c r="O357" t="s">
        <v>75</v>
      </c>
      <c r="P357" t="s">
        <v>1683</v>
      </c>
      <c r="Q357" t="s">
        <v>153</v>
      </c>
      <c r="R357" s="29" t="s">
        <v>1684</v>
      </c>
      <c r="S357">
        <v>20.55</v>
      </c>
      <c r="T357">
        <v>9615</v>
      </c>
      <c r="U357">
        <v>1619.94</v>
      </c>
      <c r="V357">
        <v>11234.94</v>
      </c>
    </row>
    <row r="358" spans="1:22" x14ac:dyDescent="0.3">
      <c r="A358">
        <v>15741</v>
      </c>
      <c r="B358">
        <v>454892288</v>
      </c>
      <c r="C358" t="s">
        <v>1685</v>
      </c>
      <c r="D358" s="9" t="s">
        <v>1686</v>
      </c>
      <c r="E358" t="s">
        <v>174</v>
      </c>
      <c r="G358" t="s">
        <v>53</v>
      </c>
      <c r="H358" t="s">
        <v>54</v>
      </c>
      <c r="I358" t="s">
        <v>36</v>
      </c>
      <c r="J358" t="s">
        <v>52</v>
      </c>
      <c r="K358" t="s">
        <v>29</v>
      </c>
      <c r="L358" t="s">
        <v>55</v>
      </c>
      <c r="M358" t="s">
        <v>1687</v>
      </c>
      <c r="N358" t="s">
        <v>176</v>
      </c>
      <c r="O358" t="s">
        <v>75</v>
      </c>
      <c r="P358" t="s">
        <v>1688</v>
      </c>
      <c r="Q358" t="s">
        <v>63</v>
      </c>
      <c r="R358" s="29" t="s">
        <v>1689</v>
      </c>
      <c r="S358">
        <v>9.01</v>
      </c>
      <c r="T358">
        <v>13058</v>
      </c>
      <c r="U358">
        <v>539.94000000000005</v>
      </c>
      <c r="V358">
        <v>13597.94</v>
      </c>
    </row>
    <row r="359" spans="1:22" x14ac:dyDescent="0.3">
      <c r="A359">
        <v>15741</v>
      </c>
      <c r="B359">
        <v>454891536</v>
      </c>
      <c r="C359" t="s">
        <v>1690</v>
      </c>
      <c r="D359" s="9" t="s">
        <v>1691</v>
      </c>
      <c r="E359" t="s">
        <v>174</v>
      </c>
      <c r="G359" t="s">
        <v>53</v>
      </c>
      <c r="H359" t="s">
        <v>54</v>
      </c>
      <c r="I359" t="s">
        <v>36</v>
      </c>
      <c r="J359" t="s">
        <v>134</v>
      </c>
      <c r="K359" t="s">
        <v>29</v>
      </c>
      <c r="L359" t="s">
        <v>55</v>
      </c>
      <c r="M359" t="s">
        <v>1692</v>
      </c>
      <c r="N359" t="s">
        <v>176</v>
      </c>
      <c r="O359" t="s">
        <v>75</v>
      </c>
      <c r="P359" t="s">
        <v>1693</v>
      </c>
      <c r="Q359" t="s">
        <v>133</v>
      </c>
      <c r="R359" s="29" t="s">
        <v>158</v>
      </c>
      <c r="S359">
        <v>11.85</v>
      </c>
      <c r="T359">
        <v>6030</v>
      </c>
      <c r="U359">
        <v>599.94000000000005</v>
      </c>
      <c r="V359">
        <v>6629.9400000000005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2026-06-10T15:01:53Z</dcterms:modified>
</cp:coreProperties>
</file>