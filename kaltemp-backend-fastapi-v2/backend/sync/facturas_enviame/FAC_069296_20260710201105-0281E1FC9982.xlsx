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B4F9A6CA-B509-4176-B63C-B1D3A66738D4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Detalle!$A$1:$Y$557722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2" l="1"/>
  <c r="D17" i="2"/>
  <c r="D15" i="2"/>
  <c r="E18" i="2"/>
  <c r="D18" i="2"/>
  <c r="E16" i="2"/>
  <c r="D16" i="2"/>
  <c r="E11" i="2"/>
  <c r="D11" i="2"/>
  <c r="E15" i="2"/>
  <c r="E14" i="2"/>
  <c r="D14" i="2"/>
  <c r="E13" i="2"/>
  <c r="D13" i="2"/>
  <c r="E12" i="2"/>
  <c r="D12" i="2"/>
  <c r="E10" i="2"/>
  <c r="D10" i="2"/>
  <c r="E9" i="2"/>
  <c r="D9" i="2"/>
  <c r="E8" i="2"/>
  <c r="D8" i="2"/>
  <c r="E7" i="2"/>
  <c r="D7" i="2"/>
  <c r="E6" i="2"/>
  <c r="D6" i="2"/>
  <c r="E5" i="2"/>
  <c r="D5" i="2"/>
  <c r="E19" i="2" l="1"/>
  <c r="D2" i="2"/>
  <c r="E21" i="2" l="1"/>
  <c r="E22" i="2" s="1"/>
</calcChain>
</file>

<file path=xl/sharedStrings.xml><?xml version="1.0" encoding="utf-8"?>
<sst xmlns="http://schemas.openxmlformats.org/spreadsheetml/2006/main" count="16528" uniqueCount="5792">
  <si>
    <t>IVA</t>
  </si>
  <si>
    <t>Total</t>
  </si>
  <si>
    <t>Envíos</t>
  </si>
  <si>
    <t>Facturación: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</si>
  <si>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</si>
  <si>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</si>
  <si>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</si>
  <si>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</si>
  <si>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</si>
  <si>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</si>
  <si>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</si>
  <si>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</si>
  <si>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</si>
  <si>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</si>
  <si>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</si>
  <si>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</si>
  <si>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</si>
  <si>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</si>
  <si>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</si>
  <si>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company_id</t>
  </si>
  <si>
    <t>precio</t>
  </si>
  <si>
    <t>total</t>
  </si>
  <si>
    <t>contract_type</t>
  </si>
  <si>
    <t>peso informado por carrier</t>
  </si>
  <si>
    <t>mkp</t>
  </si>
  <si>
    <t>carrier_service_name</t>
  </si>
  <si>
    <t>seguro</t>
  </si>
  <si>
    <t>Entregado</t>
  </si>
  <si>
    <t>Servicio Enviame Connect</t>
  </si>
  <si>
    <t>Servicio Enviame Connect Plus</t>
  </si>
  <si>
    <t>Servicio Enviame Distribucion</t>
  </si>
  <si>
    <t>Servicio Enviame Enviatrack</t>
  </si>
  <si>
    <t>Servicio Enviame Flex</t>
  </si>
  <si>
    <t>Servicio Enviame Marketcenter</t>
  </si>
  <si>
    <t>Servicio Enviame por Pagar</t>
  </si>
  <si>
    <t>Servicio Enviame Retiros</t>
  </si>
  <si>
    <t>Servicio Enviame Soporte Tecnico</t>
  </si>
  <si>
    <t>En Reparto</t>
  </si>
  <si>
    <t>Servicio</t>
  </si>
  <si>
    <t>Servicio Enviame Notificaciones</t>
  </si>
  <si>
    <t>Servicio Enviame Adicional</t>
  </si>
  <si>
    <t>Servicio Enviame Marketplace</t>
  </si>
  <si>
    <t xml:space="preserve">Servicio Enviame Logistica Inversa </t>
  </si>
  <si>
    <t>Las Condes</t>
  </si>
  <si>
    <t>Ñuñoa</t>
  </si>
  <si>
    <t>Providencia</t>
  </si>
  <si>
    <t>La Reina</t>
  </si>
  <si>
    <t>Vitacura</t>
  </si>
  <si>
    <t>La Florida</t>
  </si>
  <si>
    <t>Colina</t>
  </si>
  <si>
    <t>Santiago</t>
  </si>
  <si>
    <t>Lo Barnechea</t>
  </si>
  <si>
    <t>Maipú</t>
  </si>
  <si>
    <t>STARKEN</t>
  </si>
  <si>
    <t>SKN</t>
  </si>
  <si>
    <t>Normal</t>
  </si>
  <si>
    <t>Antofagasta</t>
  </si>
  <si>
    <t>Viña del Mar</t>
  </si>
  <si>
    <t>Concón</t>
  </si>
  <si>
    <t>Talca</t>
  </si>
  <si>
    <t>EN REPARTO</t>
  </si>
  <si>
    <t>Quilpué</t>
  </si>
  <si>
    <t>BLUEXPRESS</t>
  </si>
  <si>
    <t>BLX</t>
  </si>
  <si>
    <t>Express</t>
  </si>
  <si>
    <t>ENTREGADO</t>
  </si>
  <si>
    <t>Quilicura</t>
  </si>
  <si>
    <t>Rancagua</t>
  </si>
  <si>
    <t>San Miguel</t>
  </si>
  <si>
    <t>Conchalí</t>
  </si>
  <si>
    <t>Pedro Aguirre Cerda</t>
  </si>
  <si>
    <t>San Bernardo</t>
  </si>
  <si>
    <t>Los Ángeles</t>
  </si>
  <si>
    <t>Quinta Normal</t>
  </si>
  <si>
    <t>2026-06-04 12:15</t>
  </si>
  <si>
    <t>Recoleta</t>
  </si>
  <si>
    <t>2026-06-03 13:31</t>
  </si>
  <si>
    <t>2026-06-03 10:18</t>
  </si>
  <si>
    <t>Huechuraba</t>
  </si>
  <si>
    <t>SameDay</t>
  </si>
  <si>
    <t>La Pintana</t>
  </si>
  <si>
    <t>Peñalolén</t>
  </si>
  <si>
    <t>Lo Prado</t>
  </si>
  <si>
    <t>Pudahuel</t>
  </si>
  <si>
    <t>2026-06-11 09:58</t>
  </si>
  <si>
    <t>2026-06-02 09:33</t>
  </si>
  <si>
    <t>Macul</t>
  </si>
  <si>
    <t>Estación Central</t>
  </si>
  <si>
    <t>Puerto Montt</t>
  </si>
  <si>
    <t>Peñaflor</t>
  </si>
  <si>
    <t>Coquimbo</t>
  </si>
  <si>
    <t>2026-06-17 12:48</t>
  </si>
  <si>
    <t>Copiapó</t>
  </si>
  <si>
    <t>Valparaíso</t>
  </si>
  <si>
    <t>Puerto Varas</t>
  </si>
  <si>
    <t>Talagante</t>
  </si>
  <si>
    <t>Calera de Tango</t>
  </si>
  <si>
    <t>San Pedro de la Paz</t>
  </si>
  <si>
    <t>Chillán</t>
  </si>
  <si>
    <t>2026-06-02 09:49</t>
  </si>
  <si>
    <t>La Granja</t>
  </si>
  <si>
    <t>La Serena</t>
  </si>
  <si>
    <t>Puente Alto</t>
  </si>
  <si>
    <t>Villarrica</t>
  </si>
  <si>
    <t>Lampa</t>
  </si>
  <si>
    <t>Concepción</t>
  </si>
  <si>
    <t>Buin</t>
  </si>
  <si>
    <t>San Fernando</t>
  </si>
  <si>
    <t>Valdivia</t>
  </si>
  <si>
    <t>Temuco</t>
  </si>
  <si>
    <t>2026-06-23 17:27</t>
  </si>
  <si>
    <t>Machalí</t>
  </si>
  <si>
    <t>Cañete</t>
  </si>
  <si>
    <t>2026-06-22 10:07</t>
  </si>
  <si>
    <t>San Antonio</t>
  </si>
  <si>
    <t>2026-06-22 10:00</t>
  </si>
  <si>
    <t>Tomé</t>
  </si>
  <si>
    <t>Quillota</t>
  </si>
  <si>
    <t>Calama</t>
  </si>
  <si>
    <t>Limache</t>
  </si>
  <si>
    <t>Osorno</t>
  </si>
  <si>
    <t>Loncoche</t>
  </si>
  <si>
    <t>El Quisco</t>
  </si>
  <si>
    <t>2026-06-12 11:03</t>
  </si>
  <si>
    <t>La Cruz</t>
  </si>
  <si>
    <t>2026-06-08 11:10</t>
  </si>
  <si>
    <t>2026-06-05 16:02</t>
  </si>
  <si>
    <t>2026-06-05 15:52</t>
  </si>
  <si>
    <t>Angol</t>
  </si>
  <si>
    <t>2026-06-04 17:20</t>
  </si>
  <si>
    <t>Linares</t>
  </si>
  <si>
    <t>2026-06-05 10:55</t>
  </si>
  <si>
    <t>Devolucion entregada</t>
  </si>
  <si>
    <t>Melipilla</t>
  </si>
  <si>
    <t>2026-06-02 10:44</t>
  </si>
  <si>
    <t>Rengo</t>
  </si>
  <si>
    <t>Panguipulli</t>
  </si>
  <si>
    <t>2026-06-01 11:14</t>
  </si>
  <si>
    <t>Victoria</t>
  </si>
  <si>
    <t>2026-06-23 12:16</t>
  </si>
  <si>
    <t>Villa Alemana</t>
  </si>
  <si>
    <t>La Ligua</t>
  </si>
  <si>
    <t>El Bosque</t>
  </si>
  <si>
    <t>San Joaquín</t>
  </si>
  <si>
    <t>La Cisterna</t>
  </si>
  <si>
    <t>2026-06-05 16:26</t>
  </si>
  <si>
    <t>2026-06-05 11:16</t>
  </si>
  <si>
    <t>Calera</t>
  </si>
  <si>
    <t>Renca</t>
  </si>
  <si>
    <t>2026-06-01 17:38</t>
  </si>
  <si>
    <t>San Ramón</t>
  </si>
  <si>
    <t>Iquique</t>
  </si>
  <si>
    <t>Coyhaique</t>
  </si>
  <si>
    <t>Quellón</t>
  </si>
  <si>
    <t>2026-06-05 10:09</t>
  </si>
  <si>
    <t>2026-06-05 11:33</t>
  </si>
  <si>
    <t>Vallenar</t>
  </si>
  <si>
    <t>2026-06-02 13:14</t>
  </si>
  <si>
    <t>Independencia</t>
  </si>
  <si>
    <t>Servicio Enviame Modelo Cross Dock</t>
  </si>
  <si>
    <t>2026-06-24 11:52</t>
  </si>
  <si>
    <t>Padre Hurtado</t>
  </si>
  <si>
    <t>2026-06-05 11:27</t>
  </si>
  <si>
    <t>2026-06-04 12:33</t>
  </si>
  <si>
    <t>2026-06-02 10:40</t>
  </si>
  <si>
    <t>Manuel Sanchez</t>
  </si>
  <si>
    <t>Talcahuano</t>
  </si>
  <si>
    <t>Maria Ortega</t>
  </si>
  <si>
    <t>Curicó</t>
  </si>
  <si>
    <t>2026-06-04 12:28</t>
  </si>
  <si>
    <t>2026-06-05 13:39</t>
  </si>
  <si>
    <t>2026-06-04 12:42</t>
  </si>
  <si>
    <t>2026-06-04 12:32</t>
  </si>
  <si>
    <t>Futrono</t>
  </si>
  <si>
    <t>2026-06-01 11:09</t>
  </si>
  <si>
    <t>Coronel</t>
  </si>
  <si>
    <t>Rinconada</t>
  </si>
  <si>
    <t>2026-06-02 10:42</t>
  </si>
  <si>
    <t>Maule</t>
  </si>
  <si>
    <t>Placilla</t>
  </si>
  <si>
    <t>Papudo</t>
  </si>
  <si>
    <t>Puchuncaví</t>
  </si>
  <si>
    <t>2026-06-12 13:54</t>
  </si>
  <si>
    <t>2026-06-01 17:27</t>
  </si>
  <si>
    <t>En tránsito</t>
  </si>
  <si>
    <t>2026-06-05 14:46</t>
  </si>
  <si>
    <t>2026-06-04 16:56</t>
  </si>
  <si>
    <t>Cerrillos</t>
  </si>
  <si>
    <t>Lo Espejo</t>
  </si>
  <si>
    <t>Santo Domingo</t>
  </si>
  <si>
    <t>Chiguayante</t>
  </si>
  <si>
    <t>Pucón</t>
  </si>
  <si>
    <t>2026-06-04 16:58</t>
  </si>
  <si>
    <t>2026-06-01 10:34</t>
  </si>
  <si>
    <t>2026-06-02 09:29</t>
  </si>
  <si>
    <t>2026-06-01 10:29</t>
  </si>
  <si>
    <t>Entrega parcial</t>
  </si>
  <si>
    <t>ENTREGA PARCIAL</t>
  </si>
  <si>
    <t>Disponible para retiro</t>
  </si>
  <si>
    <t>PENDIENTE ENTREGA</t>
  </si>
  <si>
    <t>San Felipe</t>
  </si>
  <si>
    <t>Quintero</t>
  </si>
  <si>
    <t>Graneros</t>
  </si>
  <si>
    <t>Chillán Viejo</t>
  </si>
  <si>
    <t>Av. O'Higgins 672, Chillán, Ñuble, Chile</t>
  </si>
  <si>
    <t>Los Andes</t>
  </si>
  <si>
    <t>Laja</t>
  </si>
  <si>
    <t>Antonio Varas 609</t>
  </si>
  <si>
    <t>Cerro Navia</t>
  </si>
  <si>
    <t>2026-06-22 10:06</t>
  </si>
  <si>
    <t>2026-06-02 10:14</t>
  </si>
  <si>
    <t>2026-06-01 10:16</t>
  </si>
  <si>
    <t>Mostazal</t>
  </si>
  <si>
    <t>Isla de Maipo</t>
  </si>
  <si>
    <t>Rauco</t>
  </si>
  <si>
    <t>Pinchazo de evento</t>
  </si>
  <si>
    <t>2026-06-22 10:04</t>
  </si>
  <si>
    <t>ENTREGADO. Entregados: 1 de 2</t>
  </si>
  <si>
    <t>Manuela Cañas 2850</t>
  </si>
  <si>
    <t>En planta destino</t>
  </si>
  <si>
    <t>2026-05-25 10:08</t>
  </si>
  <si>
    <t>Jorge Washington 300</t>
  </si>
  <si>
    <t>Veronica Rojas</t>
  </si>
  <si>
    <t>2026-06-05 11:11</t>
  </si>
  <si>
    <t>2026-06-05 16:20</t>
  </si>
  <si>
    <t>2026-06-05 10:48</t>
  </si>
  <si>
    <t>2026-06-01 09:15</t>
  </si>
  <si>
    <t>2026-06-01 09:14</t>
  </si>
  <si>
    <t>2026-06-24 09:46</t>
  </si>
  <si>
    <t>2026-06-23 09:42</t>
  </si>
  <si>
    <t>2026-06-22 14:05</t>
  </si>
  <si>
    <t>2026-06-18 10:49</t>
  </si>
  <si>
    <t>2026-05-26 10:55</t>
  </si>
  <si>
    <t>Los Sauces</t>
  </si>
  <si>
    <t>Retirado por courier</t>
  </si>
  <si>
    <t>2026-06-23 12:15</t>
  </si>
  <si>
    <t>2026-06-23 12:14</t>
  </si>
  <si>
    <t>Cristian Gonzalez</t>
  </si>
  <si>
    <t>2026-06-05 16:58</t>
  </si>
  <si>
    <t>2026-06-04 10:29</t>
  </si>
  <si>
    <t>2026-06-03 13:18</t>
  </si>
  <si>
    <t>2026-06-02 12:42</t>
  </si>
  <si>
    <t>2026-06-02 10:52</t>
  </si>
  <si>
    <t>2026-06-02 09:46</t>
  </si>
  <si>
    <t>Daniela Jimenez</t>
  </si>
  <si>
    <t>2026-06-01 17:07</t>
  </si>
  <si>
    <t>2026-06-01 16:57</t>
  </si>
  <si>
    <t>2026-06-01 16:56</t>
  </si>
  <si>
    <t>2026-06-01 16:49</t>
  </si>
  <si>
    <t>2026-06-01 10:17</t>
  </si>
  <si>
    <t>2026-06-01 09:38</t>
  </si>
  <si>
    <t>2026-06-01 08:30</t>
  </si>
  <si>
    <t>Constanza Carvajal</t>
  </si>
  <si>
    <t>La Unión</t>
  </si>
  <si>
    <t>Zapallar</t>
  </si>
  <si>
    <t>2026-05-26 17:52</t>
  </si>
  <si>
    <t>Pichilemu</t>
  </si>
  <si>
    <t>Salamanca</t>
  </si>
  <si>
    <t>2026-06-01 11:29</t>
  </si>
  <si>
    <t>Daniela Fuentealba</t>
  </si>
  <si>
    <t>2026-06-12 13:53</t>
  </si>
  <si>
    <t>2026-06-10 15:49</t>
  </si>
  <si>
    <t>Curacautín</t>
  </si>
  <si>
    <t>Teodoro Schmidt</t>
  </si>
  <si>
    <t>2026-06-03 13:02</t>
  </si>
  <si>
    <t>JOSE DIAZ</t>
  </si>
  <si>
    <t>2026-06-03 10:05</t>
  </si>
  <si>
    <t>Romeral</t>
  </si>
  <si>
    <t>Francisca Correa</t>
  </si>
  <si>
    <t>Parral</t>
  </si>
  <si>
    <t>2026-06-03 13:11</t>
  </si>
  <si>
    <t>2026-06-05 16:25</t>
  </si>
  <si>
    <t>2026-06-23 17:26</t>
  </si>
  <si>
    <t>2026-06-24 09:48</t>
  </si>
  <si>
    <t>DEVOLUCION ENTREGADA</t>
  </si>
  <si>
    <t>2026-06-10 10:58</t>
  </si>
  <si>
    <t>2026-06-05 15:55</t>
  </si>
  <si>
    <t>2026-06-05 11:10</t>
  </si>
  <si>
    <t>2026-06-03 13:59</t>
  </si>
  <si>
    <t>2026-06-08 09:44</t>
  </si>
  <si>
    <t>2026-06-04 17:01</t>
  </si>
  <si>
    <t>2026-06-04 14:53</t>
  </si>
  <si>
    <t>2026-06-02 10:30</t>
  </si>
  <si>
    <t>2026-06-02 09:48</t>
  </si>
  <si>
    <t>2026-06-02 09:38</t>
  </si>
  <si>
    <t>2026-06-03 15:14</t>
  </si>
  <si>
    <t>2026-06-03 13:33</t>
  </si>
  <si>
    <t>2026-06-02 18:39</t>
  </si>
  <si>
    <t>2026-06-01 16:46</t>
  </si>
  <si>
    <t>2026-06-01 16:42</t>
  </si>
  <si>
    <t>2026-06-01 12:25</t>
  </si>
  <si>
    <t>2026-06-01 11:42</t>
  </si>
  <si>
    <t>2026-06-01 10:36</t>
  </si>
  <si>
    <t>2026-06-01 10:13</t>
  </si>
  <si>
    <t>2026-06-01 09:08</t>
  </si>
  <si>
    <t>2026-05-25 12:13</t>
  </si>
  <si>
    <t>2026-05-27 13:43</t>
  </si>
  <si>
    <t>2026-05-25 13:59</t>
  </si>
  <si>
    <t>ENTREGADO. Entregados: 1 de 3</t>
  </si>
  <si>
    <t>ENTREGADO. Entregados: 2 de 3</t>
  </si>
  <si>
    <t>ENTREGADO. Entregados: 1 de 4</t>
  </si>
  <si>
    <t>ENTREGADO. Entregados: 1 de 6</t>
  </si>
  <si>
    <t>Constitución</t>
  </si>
  <si>
    <t>2026-06-05 10:45</t>
  </si>
  <si>
    <t>2026-06-04 12:49</t>
  </si>
  <si>
    <t>ENTREGADO. Entregados: 2 de 4</t>
  </si>
  <si>
    <t>2026-06-09 10:09</t>
  </si>
  <si>
    <t>ENTREGADO. Entregados: 3 de 4</t>
  </si>
  <si>
    <t>Licantén</t>
  </si>
  <si>
    <t>2026-06-03 14:00</t>
  </si>
  <si>
    <t>2026-06-03 13:13</t>
  </si>
  <si>
    <t>Aysén</t>
  </si>
  <si>
    <t>Olmué</t>
  </si>
  <si>
    <t>2026-06-05 16:29</t>
  </si>
  <si>
    <t>2026-06-05 15:31</t>
  </si>
  <si>
    <t>2026-06-04 16:48</t>
  </si>
  <si>
    <t>Pichidegua</t>
  </si>
  <si>
    <t>2026-06-02 17:15</t>
  </si>
  <si>
    <t>2026-05-25 12:52</t>
  </si>
  <si>
    <t>2026-06-03 22:43</t>
  </si>
  <si>
    <t>2026-06-03 15:15</t>
  </si>
  <si>
    <t>2026-06-03 14:06</t>
  </si>
  <si>
    <t>2026-06-03 13:55</t>
  </si>
  <si>
    <t>2026-06-03 13:41</t>
  </si>
  <si>
    <t>2026-06-03 13:20</t>
  </si>
  <si>
    <t>2026-06-03 13:12</t>
  </si>
  <si>
    <t>2026-05-25 13:55</t>
  </si>
  <si>
    <t>2026-06-01 16:59</t>
  </si>
  <si>
    <t>2026-06-17 12:46</t>
  </si>
  <si>
    <t>2026-05-27 14:04</t>
  </si>
  <si>
    <t>2026-06-17 12:50</t>
  </si>
  <si>
    <t>2026-06-16 09:27</t>
  </si>
  <si>
    <t>2026-06-04 09:48</t>
  </si>
  <si>
    <t>2026-06-03 09:33</t>
  </si>
  <si>
    <t>2026-06-03 09:32</t>
  </si>
  <si>
    <t>2026-06-02 10:38</t>
  </si>
  <si>
    <t>2026-06-02 09:51</t>
  </si>
  <si>
    <t>2026-06-02 09:41</t>
  </si>
  <si>
    <t>2026-06-02 09:40</t>
  </si>
  <si>
    <t>2026-06-01 09:54</t>
  </si>
  <si>
    <t>Pelluhue</t>
  </si>
  <si>
    <t>2026-06-05 11:14</t>
  </si>
  <si>
    <t>2026-06-04 12:23</t>
  </si>
  <si>
    <t>2026-06-04 12:26</t>
  </si>
  <si>
    <t>2026-06-01 11:20</t>
  </si>
  <si>
    <t>2026-05-25 12:06</t>
  </si>
  <si>
    <t>2026-06-23 10:40</t>
  </si>
  <si>
    <t>2026-06-11 10:48</t>
  </si>
  <si>
    <t>2026-06-05 16:54</t>
  </si>
  <si>
    <t>2026-06-04 17:06</t>
  </si>
  <si>
    <t>2026-06-09 10:21</t>
  </si>
  <si>
    <t>2026-06-05 11:12</t>
  </si>
  <si>
    <t>2026-06-04 12:25</t>
  </si>
  <si>
    <t>Ana Gonzalez</t>
  </si>
  <si>
    <t>2026-06-08 11:16</t>
  </si>
  <si>
    <t>2026-06-08 11:26</t>
  </si>
  <si>
    <t>2026-06-05 11:13</t>
  </si>
  <si>
    <t>2026-06-03 13:54</t>
  </si>
  <si>
    <t>Juan Garnham</t>
  </si>
  <si>
    <t>2026-06-01 16:51</t>
  </si>
  <si>
    <t>2026-05-25 12:05</t>
  </si>
  <si>
    <t>2026-05-26 11:18</t>
  </si>
  <si>
    <t>Coltauco</t>
  </si>
  <si>
    <t>2026-06-01 17:28</t>
  </si>
  <si>
    <t>2026-06-05 10:59</t>
  </si>
  <si>
    <t>2026-05-27 15:25</t>
  </si>
  <si>
    <t>2026-06-16 09:22</t>
  </si>
  <si>
    <t>2026-06-16 09:58</t>
  </si>
  <si>
    <t>2026-06-04 12:17</t>
  </si>
  <si>
    <t>2026-05-26 11:16</t>
  </si>
  <si>
    <t>2026-05-26 11:13</t>
  </si>
  <si>
    <t>Claudia Ortiz</t>
  </si>
  <si>
    <t>2026-06-22 10:03</t>
  </si>
  <si>
    <t>2026-06-22 10:02</t>
  </si>
  <si>
    <t>2026-06-19 11:09</t>
  </si>
  <si>
    <t>2026-06-17 12:44</t>
  </si>
  <si>
    <t>2026-06-05 11:07</t>
  </si>
  <si>
    <t>2026-06-22 10:05</t>
  </si>
  <si>
    <t>Peumo</t>
  </si>
  <si>
    <t>2026-06-17 12:45</t>
  </si>
  <si>
    <t>2026-06-12 09:34</t>
  </si>
  <si>
    <t>2026-06-05 10:02</t>
  </si>
  <si>
    <t>2026-06-04 12:44</t>
  </si>
  <si>
    <t>2026-06-04 12:11</t>
  </si>
  <si>
    <t>En planta de origen</t>
  </si>
  <si>
    <t>2026-06-02 10:35</t>
  </si>
  <si>
    <t>Lota</t>
  </si>
  <si>
    <t>Chépica</t>
  </si>
  <si>
    <t>Llanquihue</t>
  </si>
  <si>
    <t>Nicole Flores</t>
  </si>
  <si>
    <t>Carlos Diaz</t>
  </si>
  <si>
    <t>2026-06-12 12:10</t>
  </si>
  <si>
    <t>2026-06-05 11:18</t>
  </si>
  <si>
    <t>2026-06-04 12:06</t>
  </si>
  <si>
    <t>Luis Muñoz</t>
  </si>
  <si>
    <t>2026-06-23 12:13</t>
  </si>
  <si>
    <t>2026-06-12 09:36</t>
  </si>
  <si>
    <t>2026-06-10 15:23</t>
  </si>
  <si>
    <t>Alejandro Jara</t>
  </si>
  <si>
    <t>2026-06-05 16:27</t>
  </si>
  <si>
    <t>2026-06-05 16:17</t>
  </si>
  <si>
    <t>2026-06-05 12:25</t>
  </si>
  <si>
    <t>2026-06-05 11:06</t>
  </si>
  <si>
    <t>2026-06-05 10:32</t>
  </si>
  <si>
    <t>2026-06-04 22:02</t>
  </si>
  <si>
    <t>2026-06-04 12:41</t>
  </si>
  <si>
    <t>2026-06-04 12:30</t>
  </si>
  <si>
    <t>2026-06-04 09:55</t>
  </si>
  <si>
    <t>2026-06-04 09:21</t>
  </si>
  <si>
    <t>Héctor González</t>
  </si>
  <si>
    <t>2026-06-03 14:01</t>
  </si>
  <si>
    <t>2026-06-03 13:56</t>
  </si>
  <si>
    <t>2026-06-03 13:45</t>
  </si>
  <si>
    <t>2026-06-03 13:35</t>
  </si>
  <si>
    <t>2026-06-03 10:29</t>
  </si>
  <si>
    <t>2026-06-03 10:23</t>
  </si>
  <si>
    <t>2026-06-03 10:21</t>
  </si>
  <si>
    <t>2026-06-03 10:19</t>
  </si>
  <si>
    <t>2026-06-03 10:13</t>
  </si>
  <si>
    <t>2026-06-01 17:12</t>
  </si>
  <si>
    <t>2026-06-01 16:54</t>
  </si>
  <si>
    <t>2026-06-01 14:47</t>
  </si>
  <si>
    <t>2026-06-01 10:06</t>
  </si>
  <si>
    <t>Villa Alegre</t>
  </si>
  <si>
    <t>San Esteban</t>
  </si>
  <si>
    <t>Gorbea</t>
  </si>
  <si>
    <t>Litueche</t>
  </si>
  <si>
    <t>2026-05-27 14:05</t>
  </si>
  <si>
    <t>2026-05-27 14:00</t>
  </si>
  <si>
    <t>2026-05-25 14:07</t>
  </si>
  <si>
    <t>2026-05-25 14:10</t>
  </si>
  <si>
    <t>2026-05-25 12:51</t>
  </si>
  <si>
    <t>2026-06-23 12:20</t>
  </si>
  <si>
    <t>2026-06-18 09:22</t>
  </si>
  <si>
    <t>2026-06-05 15:49</t>
  </si>
  <si>
    <t>Fernando Gonzalez</t>
  </si>
  <si>
    <t>2026-06-23 09:43</t>
  </si>
  <si>
    <t>2026-06-18 12:48</t>
  </si>
  <si>
    <t>2026-06-17 10:42</t>
  </si>
  <si>
    <t>2026-06-02 10:48</t>
  </si>
  <si>
    <t>2026-06-04 14:45</t>
  </si>
  <si>
    <t>2026-06-04 14:41</t>
  </si>
  <si>
    <t>2026-06-24 09:51</t>
  </si>
  <si>
    <t>2026-06-24 09:53</t>
  </si>
  <si>
    <t>2026-06-24 09:49</t>
  </si>
  <si>
    <t>2026-06-18 09:49</t>
  </si>
  <si>
    <t>2026-06-16 09:26</t>
  </si>
  <si>
    <t>2026-06-05 11:23</t>
  </si>
  <si>
    <t>2026-06-03 10:26</t>
  </si>
  <si>
    <t>2026-06-03 10:07</t>
  </si>
  <si>
    <t>2026-06-02 10:17</t>
  </si>
  <si>
    <t>2026-05-25 12:10</t>
  </si>
  <si>
    <t>2026-06-10 15:34</t>
  </si>
  <si>
    <t>jorge sanhueza</t>
  </si>
  <si>
    <t>Matías Sandoval</t>
  </si>
  <si>
    <t>2026-06-12 15:16</t>
  </si>
  <si>
    <t>2026-06-08 11:12</t>
  </si>
  <si>
    <t>2026-06-01 16:44</t>
  </si>
  <si>
    <t>2026-06-23 12:18</t>
  </si>
  <si>
    <t>2026-06-23 17:28</t>
  </si>
  <si>
    <t>2026-06-22 14:04</t>
  </si>
  <si>
    <t>2026-06-22 13:00</t>
  </si>
  <si>
    <t>2026-06-16 09:24</t>
  </si>
  <si>
    <t>2026-06-16 09:54</t>
  </si>
  <si>
    <t>2026-06-16 09:18</t>
  </si>
  <si>
    <t>2026-06-16 09:20</t>
  </si>
  <si>
    <t>2026-06-16 09:21</t>
  </si>
  <si>
    <t>2026-06-16 12:24</t>
  </si>
  <si>
    <t>2026-06-15 09:56</t>
  </si>
  <si>
    <t>Ana Fuentes</t>
  </si>
  <si>
    <t>2026-06-15 17:30</t>
  </si>
  <si>
    <t>2026-06-12 13:59</t>
  </si>
  <si>
    <t>2026-06-12 15:04</t>
  </si>
  <si>
    <t>2026-06-11 09:57</t>
  </si>
  <si>
    <t>2026-06-10 15:24</t>
  </si>
  <si>
    <t>2026-06-10 10:42</t>
  </si>
  <si>
    <t>Francisca Mora</t>
  </si>
  <si>
    <t>2026-06-09 10:22</t>
  </si>
  <si>
    <t>2026-06-09 10:28</t>
  </si>
  <si>
    <t>Thiare Campos</t>
  </si>
  <si>
    <t>2026-06-08 13:04</t>
  </si>
  <si>
    <t>2026-06-08 11:06</t>
  </si>
  <si>
    <t>2026-06-08 11:04</t>
  </si>
  <si>
    <t>Alex Eylerts</t>
  </si>
  <si>
    <t>Camino San Antonio 255</t>
  </si>
  <si>
    <t>2026-06-05 16:12</t>
  </si>
  <si>
    <t>2026-06-05 17:04</t>
  </si>
  <si>
    <t>2026-06-05 10:12</t>
  </si>
  <si>
    <t>2026-06-04 12:04</t>
  </si>
  <si>
    <t>2026-06-03 13:16</t>
  </si>
  <si>
    <t>2026-06-01 15:57</t>
  </si>
  <si>
    <t>2026-06-01 17:16</t>
  </si>
  <si>
    <t>2026-06-01 17:09</t>
  </si>
  <si>
    <t>2026-06-01 17:17</t>
  </si>
  <si>
    <t>2026-06-01 17:11</t>
  </si>
  <si>
    <t>2026-06-01 09:52</t>
  </si>
  <si>
    <t>2026-06-01 09:53</t>
  </si>
  <si>
    <t>2026-06-03 10:27</t>
  </si>
  <si>
    <t>Marcelo Soto</t>
  </si>
  <si>
    <t>José Zapata</t>
  </si>
  <si>
    <t>2026-06-01 10:32</t>
  </si>
  <si>
    <t>2026-05-25 11:59</t>
  </si>
  <si>
    <t>2026-06-03 10:00</t>
  </si>
  <si>
    <t>2026-05-27 09:13</t>
  </si>
  <si>
    <t>2026-06-04 16:54</t>
  </si>
  <si>
    <t>2026-06-04 12:22</t>
  </si>
  <si>
    <t>2026-06-05 17:02</t>
  </si>
  <si>
    <t>2026-06-04 16:47</t>
  </si>
  <si>
    <t>2026-05-25 12:28</t>
  </si>
  <si>
    <t>2026-05-25 12:19</t>
  </si>
  <si>
    <t>2026-06-22 09:59</t>
  </si>
  <si>
    <t>2026-06-08 09:39</t>
  </si>
  <si>
    <t>2026-06-05 15:59</t>
  </si>
  <si>
    <t>2026-06-05 11:35</t>
  </si>
  <si>
    <t>2026-06-02 09:56</t>
  </si>
  <si>
    <t>2026-05-25 12:21</t>
  </si>
  <si>
    <t>INGRESO CAMION</t>
  </si>
  <si>
    <t>2026-06-05 11:31</t>
  </si>
  <si>
    <t>2026-06-05 16:36</t>
  </si>
  <si>
    <t>2026-06-09 13:09</t>
  </si>
  <si>
    <t>2026-06-08 11:07</t>
  </si>
  <si>
    <t>2026-06-04 12:37</t>
  </si>
  <si>
    <t>2026-06-04 12:08</t>
  </si>
  <si>
    <t>2026-06-04 12:03</t>
  </si>
  <si>
    <t>2026-06-04 11:58</t>
  </si>
  <si>
    <t>2026-06-03 13:27</t>
  </si>
  <si>
    <t>2026-06-01 17:30</t>
  </si>
  <si>
    <t>2026-06-01 17:24</t>
  </si>
  <si>
    <t>2026-05-28 09:37</t>
  </si>
  <si>
    <t>2026-05-27 13:28</t>
  </si>
  <si>
    <t>2026-06-10 15:37</t>
  </si>
  <si>
    <t>2026-06-05 10:50</t>
  </si>
  <si>
    <t>2026-06-02 10:46</t>
  </si>
  <si>
    <t>2026-06-02 10:20</t>
  </si>
  <si>
    <t>2026-06-04 10:27</t>
  </si>
  <si>
    <t>Camila Alvarez</t>
  </si>
  <si>
    <t>2026-06-04 14:46</t>
  </si>
  <si>
    <t>2026-06-24 11:50</t>
  </si>
  <si>
    <t>2026-06-18 10:56</t>
  </si>
  <si>
    <t>2026-06-12 13:15</t>
  </si>
  <si>
    <t>2026-06-08 11:09</t>
  </si>
  <si>
    <t>2026-06-04 11:56</t>
  </si>
  <si>
    <t>2026-06-01 16:53</t>
  </si>
  <si>
    <t>2026-06-01 10:10</t>
  </si>
  <si>
    <t>2026-06-01 11:39</t>
  </si>
  <si>
    <t>2026-05-28 10:19</t>
  </si>
  <si>
    <t>2026-05-26 11:15</t>
  </si>
  <si>
    <t>2026-05-25 11:49</t>
  </si>
  <si>
    <t>2026-05-25 11:54</t>
  </si>
  <si>
    <t>2026-05-25 11:58</t>
  </si>
  <si>
    <t>Katherine Calderón</t>
  </si>
  <si>
    <t>Daniel Diaz</t>
  </si>
  <si>
    <t>2026-06-09 14:16</t>
  </si>
  <si>
    <t>2026-06-03 13:42</t>
  </si>
  <si>
    <t>Andrea Fernandez</t>
  </si>
  <si>
    <t>2026-06-05 11:09</t>
  </si>
  <si>
    <t>2026-06-05 11:29</t>
  </si>
  <si>
    <t>2026-06-12 14:00</t>
  </si>
  <si>
    <t>NOMBRE RETIRA: CONSERJERIA . . RUT RETIRA: 26501063-6</t>
  </si>
  <si>
    <t>2026-06-10 15:25</t>
  </si>
  <si>
    <t>2026-06-04 12:12</t>
  </si>
  <si>
    <t>2026-05-25 13:05</t>
  </si>
  <si>
    <t>2026-05-25 12:37</t>
  </si>
  <si>
    <t>2026-05-28 09:40</t>
  </si>
  <si>
    <t>Arturo Prat 833</t>
  </si>
  <si>
    <t>2026-06-04 12:47</t>
  </si>
  <si>
    <t>2026-06-05 13:33</t>
  </si>
  <si>
    <t>2026-06-04 12:43</t>
  </si>
  <si>
    <t>2026-06-08 11:14</t>
  </si>
  <si>
    <t>2026-06-19 09:29</t>
  </si>
  <si>
    <t>2026-06-22 10:09</t>
  </si>
  <si>
    <t>2026-06-17 12:58</t>
  </si>
  <si>
    <t>2026-06-15 17:27</t>
  </si>
  <si>
    <t>2026-06-04 17:02</t>
  </si>
  <si>
    <t>2026-06-03 13:38</t>
  </si>
  <si>
    <t>2026-06-02 09:31</t>
  </si>
  <si>
    <t>39816</t>
  </si>
  <si>
    <t>2026-05-27 14:08</t>
  </si>
  <si>
    <t>2026-05-27 14:11</t>
  </si>
  <si>
    <t>39906</t>
  </si>
  <si>
    <t>40097</t>
  </si>
  <si>
    <t>40074</t>
  </si>
  <si>
    <t>39832</t>
  </si>
  <si>
    <t>39775</t>
  </si>
  <si>
    <t>2026-06-12 09:37</t>
  </si>
  <si>
    <t>2026-06-05 11:21</t>
  </si>
  <si>
    <t>2026-06-05 11:24</t>
  </si>
  <si>
    <t>2026-06-04 11:55</t>
  </si>
  <si>
    <t>2026-05-26 11:01</t>
  </si>
  <si>
    <t>2026-05-25 13:01</t>
  </si>
  <si>
    <t>Claudia Silva</t>
  </si>
  <si>
    <t>2026-06-04 12:20</t>
  </si>
  <si>
    <t>2026-06-03 13:19</t>
  </si>
  <si>
    <t>2026-06-05 15:40</t>
  </si>
  <si>
    <t>2026-05-25 12:49</t>
  </si>
  <si>
    <t>2026-06-18 10:54</t>
  </si>
  <si>
    <t>Gonzalo Carrasco</t>
  </si>
  <si>
    <t>2026-06-16 09:25</t>
  </si>
  <si>
    <t>2026-06-05 15:57</t>
  </si>
  <si>
    <t>2026-06-08 11:05</t>
  </si>
  <si>
    <t>2026-06-04 17:23</t>
  </si>
  <si>
    <t>2026-06-04 17:13</t>
  </si>
  <si>
    <t>2026-06-03 15:13</t>
  </si>
  <si>
    <t>2026-06-03 13:48</t>
  </si>
  <si>
    <t>2026-06-01 17:34</t>
  </si>
  <si>
    <t>2026-06-03 10:28</t>
  </si>
  <si>
    <t>2026-06-01 17:31</t>
  </si>
  <si>
    <t>2026-05-29 09:27</t>
  </si>
  <si>
    <t>2026-05-27 14:29</t>
  </si>
  <si>
    <t>2026-05-27 13:19</t>
  </si>
  <si>
    <t>2026-05-25 12:24</t>
  </si>
  <si>
    <t>2026-06-12 15:07</t>
  </si>
  <si>
    <t>2026-06-02 09:42</t>
  </si>
  <si>
    <t>2026-05-27 13:23</t>
  </si>
  <si>
    <t>2026-05-28 09:39</t>
  </si>
  <si>
    <t>2026-06-16 09:19</t>
  </si>
  <si>
    <t>Juan Herrera</t>
  </si>
  <si>
    <t>2026-06-05 16:08</t>
  </si>
  <si>
    <t>Marcela Contreras</t>
  </si>
  <si>
    <t>2026-06-04 12:01</t>
  </si>
  <si>
    <t>MANIFESTADO DESDE AGENCIA</t>
  </si>
  <si>
    <t>2026-06-03 10:31</t>
  </si>
  <si>
    <t>Fernanda López</t>
  </si>
  <si>
    <t>2026-06-03 13:25</t>
  </si>
  <si>
    <t>2026-06-05 10:39</t>
  </si>
  <si>
    <t>Andrea Hernández</t>
  </si>
  <si>
    <t>Macarena Diaz</t>
  </si>
  <si>
    <t>Javiera Zúñiga</t>
  </si>
  <si>
    <t>2026-06-05 14:54</t>
  </si>
  <si>
    <t>2026-05-25 10:10</t>
  </si>
  <si>
    <t>2026-06-12 13:58</t>
  </si>
  <si>
    <t>2026-06-02 10:55</t>
  </si>
  <si>
    <t>2026-06-10 15:19</t>
  </si>
  <si>
    <t>2026-06-01 11:24</t>
  </si>
  <si>
    <t>2026-06-12 15:02</t>
  </si>
  <si>
    <t>2026-06-05 16:03</t>
  </si>
  <si>
    <t>2026-06-05 15:47</t>
  </si>
  <si>
    <t>2026-06-03 10:02</t>
  </si>
  <si>
    <t>2026-06-03 13:03</t>
  </si>
  <si>
    <t>2026-05-25 12:48</t>
  </si>
  <si>
    <t>2026-06-03 13:50</t>
  </si>
  <si>
    <t>56450</t>
  </si>
  <si>
    <t>39665</t>
  </si>
  <si>
    <t>272510410</t>
  </si>
  <si>
    <t>Kaltemp</t>
  </si>
  <si>
    <t>Ivo Roman Luza</t>
  </si>
  <si>
    <t>Av. Américo Vespucio 400</t>
  </si>
  <si>
    <t>Av Alessandri 1513, casa 54 cond Alto San Esteban, san Esteban</t>
  </si>
  <si>
    <t>2026-06-04 16:20</t>
  </si>
  <si>
    <t>55756</t>
  </si>
  <si>
    <t>272156576</t>
  </si>
  <si>
    <t>Raciel Medina</t>
  </si>
  <si>
    <t>Alonso de Ercilla, 7688, Floor Casa H</t>
  </si>
  <si>
    <t>56679</t>
  </si>
  <si>
    <t>272834220</t>
  </si>
  <si>
    <t>NOMBRE RETIRA: RUBEN SALINAA . RUT RETIRA: 7614607-1</t>
  </si>
  <si>
    <t>Ruben Salinas Lopez</t>
  </si>
  <si>
    <t>Rene Quitral 0700</t>
  </si>
  <si>
    <t>56672</t>
  </si>
  <si>
    <t>272834145</t>
  </si>
  <si>
    <t>NOMBRE RETIRA: ROSA CORREA . RUT RETIRA: 20188220-6</t>
  </si>
  <si>
    <t>Ximena Bacarreza Rodriguez</t>
  </si>
  <si>
    <t>Senegal Norte, 2522</t>
  </si>
  <si>
    <t>56716</t>
  </si>
  <si>
    <t>272898597</t>
  </si>
  <si>
    <t>NOMBRE RETIRA: ERICK ACEVEDO . RUT RETIRA: 19032467-2</t>
  </si>
  <si>
    <t>Eduardo Campos</t>
  </si>
  <si>
    <t>Camino Real 120 PDI, SAN FRANCISCO DE MOSTAZAL</t>
  </si>
  <si>
    <t>2026-06-24 11:49</t>
  </si>
  <si>
    <t>56710</t>
  </si>
  <si>
    <t>272861739</t>
  </si>
  <si>
    <t>NOMBRE RETIRA: CARLOTA HONZALES U RUT RETIRA: 7694932-8</t>
  </si>
  <si>
    <t>Francisca Flores</t>
  </si>
  <si>
    <t>Jose Bordes 6549</t>
  </si>
  <si>
    <t>2026-06-23 17:30</t>
  </si>
  <si>
    <t>56707</t>
  </si>
  <si>
    <t>272861665</t>
  </si>
  <si>
    <t>NOMBRE RETIRA: CLAUDIA ACEVEDO . RUT RETIRA: 20347999-9</t>
  </si>
  <si>
    <t>Claudia Acevedo Campos</t>
  </si>
  <si>
    <t>San Francisco 2217 local 461 entrar por Bio Bio 839</t>
  </si>
  <si>
    <t>56705</t>
  </si>
  <si>
    <t>272861643</t>
  </si>
  <si>
    <t>NOMBRE RETIRA: MARIA ROJAS AAA RUT RETIRA: 7774196-8</t>
  </si>
  <si>
    <t>IGNACIO CONCHA</t>
  </si>
  <si>
    <t>Victoria 664 Entregar a Inés Aravena</t>
  </si>
  <si>
    <t>56701</t>
  </si>
  <si>
    <t>272861510</t>
  </si>
  <si>
    <t>NOMBRE RETIRA: CAROLINA CUNA A RUT RETIRA: 13667112-K</t>
  </si>
  <si>
    <t>Carolina Acuna</t>
  </si>
  <si>
    <t>Nuestra Señora de Genoveva 9585 Entre Enrique Olivares y Santa Valentina</t>
  </si>
  <si>
    <t>2026-06-23 17:24</t>
  </si>
  <si>
    <t>56719</t>
  </si>
  <si>
    <t>272898617</t>
  </si>
  <si>
    <t>NOMBRE RETIRA: RODRIGO V D RUT RETIRA: 11421733-6</t>
  </si>
  <si>
    <t>RODRIGO ANTONIO VELASQUEZ</t>
  </si>
  <si>
    <t>parque de la hacienda 6359</t>
  </si>
  <si>
    <t>2026-06-24 11:54</t>
  </si>
  <si>
    <t>56723</t>
  </si>
  <si>
    <t>272898649</t>
  </si>
  <si>
    <t>Maria Cecilia Donoso</t>
  </si>
  <si>
    <t>Locarno 4252</t>
  </si>
  <si>
    <t>2026-06-24 11:55</t>
  </si>
  <si>
    <t>56704</t>
  </si>
  <si>
    <t>272861624</t>
  </si>
  <si>
    <t>NOMBRE RETIRA: ALBIER . . RUT RETIRA: 22154314-9</t>
  </si>
  <si>
    <t>Sebastian Bravo</t>
  </si>
  <si>
    <t>Av Luis Thayer Ojeda 1525 1302 Dejar en conserjeria</t>
  </si>
  <si>
    <t>56699</t>
  </si>
  <si>
    <t>272861463</t>
  </si>
  <si>
    <t>NOMBRE RETIRA: OSCAR ORTIZ L RUT RETIRA: 7179932-8</t>
  </si>
  <si>
    <t>Exequiel Fernandez 2180 Casa L</t>
  </si>
  <si>
    <t>2026-06-23 17:23</t>
  </si>
  <si>
    <t>56709</t>
  </si>
  <si>
    <t>272861707</t>
  </si>
  <si>
    <t>NOMBRE RETIRA: JULIO . . RUT RETIRA: 22154314-9</t>
  </si>
  <si>
    <t>GONZALO RENATO ARELLANO PARKER</t>
  </si>
  <si>
    <t>Hernando de Aguirre 1191 702 A</t>
  </si>
  <si>
    <t>2026-06-23 17:29</t>
  </si>
  <si>
    <t>56706</t>
  </si>
  <si>
    <t>272861677</t>
  </si>
  <si>
    <t>NOMBRE RETIRA: MARCO LOPEZ J RUT RETIRA: 5398936-5</t>
  </si>
  <si>
    <t>MARCO ANTONIO LOPEZ DERPICH</t>
  </si>
  <si>
    <t>LOS ARADOS 7611 CASA</t>
  </si>
  <si>
    <t>56682</t>
  </si>
  <si>
    <t>272834250</t>
  </si>
  <si>
    <t>NOMBRE RETIRA: ALICIA FERNANDEZ . RUT RETIRA: 10002598-1</t>
  </si>
  <si>
    <t>Ilia Fernandez</t>
  </si>
  <si>
    <t>Olegario lazo 345</t>
  </si>
  <si>
    <t>2026-06-23 12:22</t>
  </si>
  <si>
    <t>56721</t>
  </si>
  <si>
    <t>272898627</t>
  </si>
  <si>
    <t>NOMBRE RETIRA: ELSA RECIBE A RUT RETIRA: 19780007-0</t>
  </si>
  <si>
    <t>Javier Sarquis</t>
  </si>
  <si>
    <t>Avenida Presidente Riesco 6665</t>
  </si>
  <si>
    <t>2026-06-24 11:51</t>
  </si>
  <si>
    <t>56675</t>
  </si>
  <si>
    <t>272834163</t>
  </si>
  <si>
    <t>NOMBRE RETIRA: MARCELO SOTO M RUT RETIRA: 13237408-2</t>
  </si>
  <si>
    <t>los acacios 1350</t>
  </si>
  <si>
    <t>56673</t>
  </si>
  <si>
    <t>272834123</t>
  </si>
  <si>
    <t>NOMBRE RETIRA: LUIS ESCAMILLA . RUT RETIRA: 21758273-3</t>
  </si>
  <si>
    <t>cynthia valdivia</t>
  </si>
  <si>
    <t>General flores 30 depto 1106</t>
  </si>
  <si>
    <t>56720</t>
  </si>
  <si>
    <t>272898637</t>
  </si>
  <si>
    <t>NOMBRE RETIRA: ALFREDO RUBIO . RUT RETIRA: 20596540-8</t>
  </si>
  <si>
    <t>Claudio morales</t>
  </si>
  <si>
    <t>san Diego 516 814 Esquina con santa isabel</t>
  </si>
  <si>
    <t>2026-06-24 11:56</t>
  </si>
  <si>
    <t>56680</t>
  </si>
  <si>
    <t>272834235</t>
  </si>
  <si>
    <t>NOMBRE RETIRA: GRISEL RIVERO . RUT RETIRA: 53334062-8</t>
  </si>
  <si>
    <t>consultora norte semiarido limitada</t>
  </si>
  <si>
    <t>alcalde pedro alarcon 851 depto 208</t>
  </si>
  <si>
    <t>56677</t>
  </si>
  <si>
    <t>272834189</t>
  </si>
  <si>
    <t>NOMBRE RETIRA: LUIS RIVERA A RUT RETIRA: 53333491-1</t>
  </si>
  <si>
    <t>Paola Garin</t>
  </si>
  <si>
    <t>coventry 690 depto 31</t>
  </si>
  <si>
    <t>2026-06-23 12:17</t>
  </si>
  <si>
    <t>56700</t>
  </si>
  <si>
    <t>272861501</t>
  </si>
  <si>
    <t>NOMBRE RETIRA: RICARDO RUVILAR M RUT RETIRA: 16618926-8</t>
  </si>
  <si>
    <t>Ricardo Rubilar</t>
  </si>
  <si>
    <t>Puerto Saavedra 237 237 Casa</t>
  </si>
  <si>
    <t>56722</t>
  </si>
  <si>
    <t>272898645</t>
  </si>
  <si>
    <t>NOMBRE RETIRA: CLAUDIA APOLO A RUT RETIRA: 19378127-6</t>
  </si>
  <si>
    <t>Claudia Donoso</t>
  </si>
  <si>
    <t>Echeñique 4877</t>
  </si>
  <si>
    <t>2026-06-24 11:53</t>
  </si>
  <si>
    <t>20718</t>
  </si>
  <si>
    <t>271680177</t>
  </si>
  <si>
    <t>NOMBRE RETIRA: MANUEL RIFFO . RUT RETIRA: 12087518-3</t>
  </si>
  <si>
    <t>Manuel Bello</t>
  </si>
  <si>
    <t>calle los onas 368 buen retiro</t>
  </si>
  <si>
    <t>2026-06-04 16:43</t>
  </si>
  <si>
    <t>56674</t>
  </si>
  <si>
    <t>272834155</t>
  </si>
  <si>
    <t>NOMBRE RETIRA: LUIS CONSERJE M RUT RETIRA: 65204666-5</t>
  </si>
  <si>
    <t>Gabriel Silva Page</t>
  </si>
  <si>
    <t>Avenida Pedro de Valdivia 2847 depto 602</t>
  </si>
  <si>
    <t>56724</t>
  </si>
  <si>
    <t>272898660</t>
  </si>
  <si>
    <t>NOMBRE RETIRA: MARCO ALGUETA T RUT RETIRA: 56006390-3</t>
  </si>
  <si>
    <t>Marco Elgueta</t>
  </si>
  <si>
    <t>Juan XXIII 6135 Dpto 904-A</t>
  </si>
  <si>
    <t>2026-06-24 11:57</t>
  </si>
  <si>
    <t>56676</t>
  </si>
  <si>
    <t>272834184</t>
  </si>
  <si>
    <t>NOMBRE RETIRA: GIOVANI CALDERON L RUT RETIRA: 11421733-6</t>
  </si>
  <si>
    <t>Giovanis Calderon</t>
  </si>
  <si>
    <t>Quilin 4985 depto E53 Rotonda Quilin</t>
  </si>
  <si>
    <t>56708</t>
  </si>
  <si>
    <t>272861695</t>
  </si>
  <si>
    <t>NOMBRE RETIRA: CRISTIAN . . RUT RETIRA: 56016210-3</t>
  </si>
  <si>
    <t>Maria Angelica MUNOZ MERINO</t>
  </si>
  <si>
    <t>Compañía de Jesús 1716 204 Por favor coordinar fecha de envío</t>
  </si>
  <si>
    <t>56718</t>
  </si>
  <si>
    <t>272898606</t>
  </si>
  <si>
    <t>NOMBRE RETIRA: EROS ORTUZ . RUT RETIRA: 19547783-3</t>
  </si>
  <si>
    <t>eros ortiz</t>
  </si>
  <si>
    <t>mineros de chile 170</t>
  </si>
  <si>
    <t>56703</t>
  </si>
  <si>
    <t>272861590</t>
  </si>
  <si>
    <t>NOMBRE RETIRA: ROSANA CONSERJE A RUT RETIRA: 96691680-K</t>
  </si>
  <si>
    <t>Gonzalo Larrain</t>
  </si>
  <si>
    <t>Apoquindo 3500 Piso 3 Apoquindo 3500</t>
  </si>
  <si>
    <t>2026-06-23 17:25</t>
  </si>
  <si>
    <t>56717</t>
  </si>
  <si>
    <t>272898602</t>
  </si>
  <si>
    <t>NOMBRE RETIRA: YUNNE ACOSTA . RUT RETIRA: 14489122-8</t>
  </si>
  <si>
    <t>Fabian Castro</t>
  </si>
  <si>
    <t>Argomedo 65 Depto 1408A</t>
  </si>
  <si>
    <t>56681</t>
  </si>
  <si>
    <t>272834253</t>
  </si>
  <si>
    <t>NOMBRE RETIRA: PABLO SILVA . RUT RETIRA: 10946283-7</t>
  </si>
  <si>
    <t>Pablo Silva Uribe</t>
  </si>
  <si>
    <t>Madame Adriana Bolland 86</t>
  </si>
  <si>
    <t>2026-06-23 12:21</t>
  </si>
  <si>
    <t>56702</t>
  </si>
  <si>
    <t>272861557</t>
  </si>
  <si>
    <t>NOMBRE RETIRA: MARIA CARDENAS MUNOS RUT RETIRA: 7341579-9</t>
  </si>
  <si>
    <t>Segundo Fredes Nawrath</t>
  </si>
  <si>
    <t>Aeropuerto rodelillo 3179 Casa</t>
  </si>
  <si>
    <t>21024</t>
  </si>
  <si>
    <t>272826352</t>
  </si>
  <si>
    <t>NOMBRE RETIRA: MANUEL DIAZ . RUT RETIRA: 53326191-4</t>
  </si>
  <si>
    <t>Magaly Cayunao</t>
  </si>
  <si>
    <t>Phillipi 771. Depto 103</t>
  </si>
  <si>
    <t>56278</t>
  </si>
  <si>
    <t>272632881</t>
  </si>
  <si>
    <t>NOMBRE RETIRA: FELIPE CONTRERAS C RUT RETIRA: 9379243-2</t>
  </si>
  <si>
    <t>Felipe Contreras Sanzana</t>
  </si>
  <si>
    <t>Las Hormigas, 1104</t>
  </si>
  <si>
    <t>20967</t>
  </si>
  <si>
    <t>272631653</t>
  </si>
  <si>
    <t>PISCINAS ACUARIO SpA</t>
  </si>
  <si>
    <t>Villa rossina parcela 16 sitio 7 santa Inés</t>
  </si>
  <si>
    <t>20669</t>
  </si>
  <si>
    <t>272419519</t>
  </si>
  <si>
    <t>Víctor Hugo Castro</t>
  </si>
  <si>
    <t>Anfion Munoz 657</t>
  </si>
  <si>
    <t>56582</t>
  </si>
  <si>
    <t>272568437</t>
  </si>
  <si>
    <t>NOMBRE RETIRA: ALSIVIADO OVIEDO N RUT RETIRA: 53336514-0</t>
  </si>
  <si>
    <t>Gonzalo Inzunza</t>
  </si>
  <si>
    <t>Exequiel Fernández 90 depto 207 Suecia pasado Irarrazabal</t>
  </si>
  <si>
    <t>2026-06-18 10:52</t>
  </si>
  <si>
    <t>56587</t>
  </si>
  <si>
    <t>272568476</t>
  </si>
  <si>
    <t>NOMBRE RETIRA: LUIS ESPINOZA . RUT RETIRA: 20596540-8</t>
  </si>
  <si>
    <t>Miguel Izaguirre</t>
  </si>
  <si>
    <t>Lira 245 depto 424</t>
  </si>
  <si>
    <t>2026-06-18 10:58</t>
  </si>
  <si>
    <t>56586</t>
  </si>
  <si>
    <t>272568461</t>
  </si>
  <si>
    <t>2026-06-18 10:57</t>
  </si>
  <si>
    <t>56275</t>
  </si>
  <si>
    <t>272099812</t>
  </si>
  <si>
    <t>NOMBRE RETIRA: IVAM CIFUEBTES . RUT RETIRA: 14137510-5</t>
  </si>
  <si>
    <t>Ivan Cifuentes</t>
  </si>
  <si>
    <t>Sur 4, 1240</t>
  </si>
  <si>
    <t>56493</t>
  </si>
  <si>
    <t>272514814</t>
  </si>
  <si>
    <t>NOMBRE RETIRA: ISABEL L L RUT RETIRA: 9132810-0</t>
  </si>
  <si>
    <t>Carina Medina</t>
  </si>
  <si>
    <t>JOSE ZAPIOLA 8707 CASA F</t>
  </si>
  <si>
    <t>56508</t>
  </si>
  <si>
    <t>272514720</t>
  </si>
  <si>
    <t>NOMBRE RETIRA: ELSA A A RUT RETIRA: 19522269-K</t>
  </si>
  <si>
    <t>Elsa Georgina Leiro</t>
  </si>
  <si>
    <t>Principe de Gales 7150</t>
  </si>
  <si>
    <t>2026-06-17 12:55</t>
  </si>
  <si>
    <t>56495</t>
  </si>
  <si>
    <t>272514807</t>
  </si>
  <si>
    <t>NOMBRE RETIRA: CLAUDIA ACEVEDO I RUT RETIRA: 20347999-9</t>
  </si>
  <si>
    <t>Patricia Campos Campos</t>
  </si>
  <si>
    <t>San Francisco 2217 461 interior mercado</t>
  </si>
  <si>
    <t>2026-06-17 12:47</t>
  </si>
  <si>
    <t>56584</t>
  </si>
  <si>
    <t>272568439</t>
  </si>
  <si>
    <t>NOMBRE RETIRA: DAVID TORO . RUT RETIRA: 53321796-6</t>
  </si>
  <si>
    <t>RODRIGO MUNOZ</t>
  </si>
  <si>
    <t>FRANCISCO DE VILLAGRA 127 depto 1009</t>
  </si>
  <si>
    <t>272577681</t>
  </si>
  <si>
    <t>NOMBRE RETIRA: FRANCISCA JAVIERA GA RUT RETIRA: 20187403-3</t>
  </si>
  <si>
    <t>FRANCISCA JAVIERA GARRIDO</t>
  </si>
  <si>
    <t>Senegal Oriente 7571</t>
  </si>
  <si>
    <t>56492</t>
  </si>
  <si>
    <t>272514799</t>
  </si>
  <si>
    <t>NOMBRE RETIRA: EVELYN CABA . RUT RETIRA: 13829722-5</t>
  </si>
  <si>
    <t>EVELYN20BEATRIZ CABALLERO20CANAS</t>
  </si>
  <si>
    <t>jose miguel carrera interior 1340 depto 104</t>
  </si>
  <si>
    <t>56585</t>
  </si>
  <si>
    <t>272568459</t>
  </si>
  <si>
    <t>NOMBRE RETIRA: CECILIA BRINGAD U RUT RETIRA: 6979198-0</t>
  </si>
  <si>
    <t>Franz Gebauer Bringas</t>
  </si>
  <si>
    <t>Los Corcolenes 6939</t>
  </si>
  <si>
    <t>20951</t>
  </si>
  <si>
    <t>272501068</t>
  </si>
  <si>
    <t>NOMBRE RETIRA: BEMJAMIN TOLOSA . RUT RETIRA: 21563385-3</t>
  </si>
  <si>
    <t>Carmen vivian cisternas barria</t>
  </si>
  <si>
    <t>los Ángeles 2420 región de la araucania, cuidad temuco</t>
  </si>
  <si>
    <t>2026-06-17 10:50</t>
  </si>
  <si>
    <t>19021</t>
  </si>
  <si>
    <t>271908121</t>
  </si>
  <si>
    <t>NOMBRE RETIRA: ANGELICA MAMANI . RUT RETIRA: 28379114-9</t>
  </si>
  <si>
    <t>Carlos Calahuana</t>
  </si>
  <si>
    <t>Avenida Grecia 3452, Avenida grecia 3452</t>
  </si>
  <si>
    <t>2026-06-08 09:09</t>
  </si>
  <si>
    <t>56491</t>
  </si>
  <si>
    <t>272514850</t>
  </si>
  <si>
    <t>NOMBRE RETIRA: LEOMEL CHEUQUE O RUT RETIRA: 12454390-8</t>
  </si>
  <si>
    <t>Ivonne Sepulveda</t>
  </si>
  <si>
    <t>camino del paisaje 6750 casa 13 condominio el Santuario</t>
  </si>
  <si>
    <t>2026-06-17 12:43</t>
  </si>
  <si>
    <t>56494</t>
  </si>
  <si>
    <t>272514804</t>
  </si>
  <si>
    <t>NOMBRE RETIRA: LOPEZ LOPEZ A RUT RETIRA: 21173317-9</t>
  </si>
  <si>
    <t>SANTIAGO CARDENAS LOPEZ</t>
  </si>
  <si>
    <t>PUCARA 4140</t>
  </si>
  <si>
    <t>56504</t>
  </si>
  <si>
    <t>272514743</t>
  </si>
  <si>
    <t>NOMBRE RETIRA: ISABEL JFKFN RECIBE RUT RETIRA: 26537094-2</t>
  </si>
  <si>
    <t>Maximo Leclerc</t>
  </si>
  <si>
    <t>valenzuela puelma 7785 casa C</t>
  </si>
  <si>
    <t>2026-06-17 12:53</t>
  </si>
  <si>
    <t>20948</t>
  </si>
  <si>
    <t>272501112</t>
  </si>
  <si>
    <t>NOMBRE RETIRA: LORENA TORRES .. RUT RETIRA: 14744064-2</t>
  </si>
  <si>
    <t>Lorena torres</t>
  </si>
  <si>
    <t>La cosecha 1030 las brisas de Chicureo</t>
  </si>
  <si>
    <t>56502</t>
  </si>
  <si>
    <t>272514772</t>
  </si>
  <si>
    <t>NOMBRE RETIRA: DOROTHY ROMIREZ Z RUT RETIRA: 13258505-9</t>
  </si>
  <si>
    <t>Dorothy Ramirez</t>
  </si>
  <si>
    <t>Urzúa 2545 B Entregar en el negocio</t>
  </si>
  <si>
    <t>2026-06-17 12:52</t>
  </si>
  <si>
    <t>56497</t>
  </si>
  <si>
    <t>272514811</t>
  </si>
  <si>
    <t>NOMBRE RETIRA: LIZZIE BAEZ BAEZ RUT RETIRA: 12909974-7</t>
  </si>
  <si>
    <t>LIZZIE BAEZ</t>
  </si>
  <si>
    <t>CORELLI 104 DEPTO 27 VILLA NAVIDAD</t>
  </si>
  <si>
    <t>56499</t>
  </si>
  <si>
    <t>272514778</t>
  </si>
  <si>
    <t>NOMBRE RETIRA: A TRUJILLO . RUT RETIRA: 53313413-0</t>
  </si>
  <si>
    <t>Julia Mella Andrade</t>
  </si>
  <si>
    <t>Avenida Carrascal 6254 depto 312 Dejar en conserjería</t>
  </si>
  <si>
    <t>2026-06-17 12:49</t>
  </si>
  <si>
    <t>56496</t>
  </si>
  <si>
    <t>272514828</t>
  </si>
  <si>
    <t>NOMBRE RETIRA: MARIA RETAMAL . RUT RETIRA: 10393693-4</t>
  </si>
  <si>
    <t>Maria Ines Retamal Campos</t>
  </si>
  <si>
    <t>Salar de Carcote 18458 Ciudad Satélite</t>
  </si>
  <si>
    <t>56500</t>
  </si>
  <si>
    <t>272514776</t>
  </si>
  <si>
    <t>NOMBRE RETIRA: JORGE OMAR H RUT RETIRA: 18725135-4</t>
  </si>
  <si>
    <t>JORGE OMAR ALE YARAD</t>
  </si>
  <si>
    <t>Cam. del Algarrobo 1470</t>
  </si>
  <si>
    <t>56506</t>
  </si>
  <si>
    <t>272514734</t>
  </si>
  <si>
    <t>NOMBRE RETIRA: MAGALY MARTINEZ M RUT RETIRA: 18978088-5</t>
  </si>
  <si>
    <t>Magaly Martinez Marambio</t>
  </si>
  <si>
    <t>56507</t>
  </si>
  <si>
    <t>272514718</t>
  </si>
  <si>
    <t>NOMBRE RETIRA: SARA NORAMBUENS N RUT RETIRA: 9906444-7</t>
  </si>
  <si>
    <t>Osvaldo Cancino Aravena</t>
  </si>
  <si>
    <t>Salvador Dalí 7545 Condominio el solar3 portal Dalí</t>
  </si>
  <si>
    <t>56509</t>
  </si>
  <si>
    <t>272514713</t>
  </si>
  <si>
    <t>NOMBRE RETIRA: FELIX CARMONA . RUT RETIRA: 20596674-9</t>
  </si>
  <si>
    <t>Felix Carmona Cascante</t>
  </si>
  <si>
    <t>Balmaceda 644 depto 114 Entre Urmeneta y Eyzaguirre</t>
  </si>
  <si>
    <t>2026-06-17 13:00</t>
  </si>
  <si>
    <t>56498</t>
  </si>
  <si>
    <t>272514836</t>
  </si>
  <si>
    <t>NOMBRE RETIRA: LUIS PEREZ A RUT RETIRA: 11405775-4</t>
  </si>
  <si>
    <t>LUIS PEREZ</t>
  </si>
  <si>
    <t>TOCONEY 295</t>
  </si>
  <si>
    <t>56501</t>
  </si>
  <si>
    <t>272514771</t>
  </si>
  <si>
    <t>NOMBRE RETIRA: JAIME MARAMBIO . RUT RETIRA: 56065750-1</t>
  </si>
  <si>
    <t>LUIS RICARDO VILLEGAS</t>
  </si>
  <si>
    <t>Diagonal Oriente 5438</t>
  </si>
  <si>
    <t>2026-06-17 12:51</t>
  </si>
  <si>
    <t>18317</t>
  </si>
  <si>
    <t>2290332240</t>
  </si>
  <si>
    <t>Constanza Alvarez Rojo</t>
  </si>
  <si>
    <t>Rotonda principal 37 chuchiñi</t>
  </si>
  <si>
    <t>2026-05-18 16:38</t>
  </si>
  <si>
    <t>20952</t>
  </si>
  <si>
    <t>272501129</t>
  </si>
  <si>
    <t>NOMBRE RETIRA: JUAN GONZALEZ G G RUT RETIRA: 53320188-1</t>
  </si>
  <si>
    <t>OMAR OJEDA</t>
  </si>
  <si>
    <t>Avenida san Carlos 01863 casa 2, condominio jardines de san Carlos</t>
  </si>
  <si>
    <t>2026-06-17 10:52</t>
  </si>
  <si>
    <t>56505</t>
  </si>
  <si>
    <t>272514737</t>
  </si>
  <si>
    <t>NOMBRE RETIRA: ORLANDO GONZALES MUNOZ RUT RETIRA: 81201000-K</t>
  </si>
  <si>
    <t>Orlando Gonzalez munoz</t>
  </si>
  <si>
    <t>Pasaje Chipana 0444 Floor Casa</t>
  </si>
  <si>
    <t>2026-06-17 12:54</t>
  </si>
  <si>
    <t>56503</t>
  </si>
  <si>
    <t>272514754</t>
  </si>
  <si>
    <t>NOMBRE RETIRA: MARIA JIMENEZ K RUT RETIRA: 10707050-8</t>
  </si>
  <si>
    <t>Maria Daisy Jimenez Morales</t>
  </si>
  <si>
    <t>PJE timonel aranguiz 057</t>
  </si>
  <si>
    <t>56510</t>
  </si>
  <si>
    <t>272514694</t>
  </si>
  <si>
    <t>NOMBRE RETIRA: ANEJANDRA ABENDANO . RUT RETIRA: 65196794-5</t>
  </si>
  <si>
    <t>Oscar Maureira</t>
  </si>
  <si>
    <t>Arturo Merino Benitez 50 depto 67</t>
  </si>
  <si>
    <t>56449</t>
  </si>
  <si>
    <t>272386234</t>
  </si>
  <si>
    <t>NOMBRE RETIRA: IGNAXIO JOSE J RUT RETIRA: 18056167-6</t>
  </si>
  <si>
    <t>Ignacio Jose Sapiain Martinez</t>
  </si>
  <si>
    <t>Soberania, 1240</t>
  </si>
  <si>
    <t>56448</t>
  </si>
  <si>
    <t>272386206</t>
  </si>
  <si>
    <t>NOMBRE RETIRA: CLVIXTOR VILLAGAS G RUT RETIRA: 18056167-6</t>
  </si>
  <si>
    <t>Victor Villegas</t>
  </si>
  <si>
    <t>56444</t>
  </si>
  <si>
    <t>272386157</t>
  </si>
  <si>
    <t>NOMBRE RETIRA: CRIISTIAN VENAVIDES H RUT RETIRA: 18725135-4</t>
  </si>
  <si>
    <t>Yolkan Parra Nava</t>
  </si>
  <si>
    <t>Avenida Francisco Bilbao, 6262, Floor 1</t>
  </si>
  <si>
    <t>2026-06-15 17:23</t>
  </si>
  <si>
    <t>servicio16062026</t>
  </si>
  <si>
    <t>272444236</t>
  </si>
  <si>
    <t>NOMBRE RETIRA: KAREN FAESCH . RUT RETIRA: 10056691-5</t>
  </si>
  <si>
    <t>Karen Faesch</t>
  </si>
  <si>
    <t>Asturias 670</t>
  </si>
  <si>
    <t>2026-06-16 13:38</t>
  </si>
  <si>
    <t>56447</t>
  </si>
  <si>
    <t>272386198</t>
  </si>
  <si>
    <t>NOMBRE RETIRA: ROBERTO MARTINEZ A RUT RETIRA: 76483698-7</t>
  </si>
  <si>
    <t>BEATRIZ CHANDIA</t>
  </si>
  <si>
    <t>AV. LAS CONDES, 6815</t>
  </si>
  <si>
    <t>2026-06-15 17:26</t>
  </si>
  <si>
    <t>56361</t>
  </si>
  <si>
    <t>272229540</t>
  </si>
  <si>
    <t>NOMBRE RETIRA: INES ESCOBAR GG RUT RETIRA: 28420467-0</t>
  </si>
  <si>
    <t>claudia corbella</t>
  </si>
  <si>
    <t>Camino Fray Montalva, 521</t>
  </si>
  <si>
    <t>2026-06-12 13:47</t>
  </si>
  <si>
    <t>272386252</t>
  </si>
  <si>
    <t>NOMBRE RETIRA: GIGERMO AYILA . RUT RETIRA: 14348088-7</t>
  </si>
  <si>
    <t>Amilcar Pino</t>
  </si>
  <si>
    <t>Av Maritima, 950, Floor 84B</t>
  </si>
  <si>
    <t>2026-06-15 17:28</t>
  </si>
  <si>
    <t>56451</t>
  </si>
  <si>
    <t>272386260</t>
  </si>
  <si>
    <t>NOMBRE RETIRA: CATALINA RIELOF M RUT RETIRA: 13690303-9</t>
  </si>
  <si>
    <t>Rodrigo Jorquera</t>
  </si>
  <si>
    <t>Cumelen Bajo, 8928</t>
  </si>
  <si>
    <t>2026-06-15 17:29</t>
  </si>
  <si>
    <t>56452</t>
  </si>
  <si>
    <t>272386264</t>
  </si>
  <si>
    <t>NOMBRE RETIRA: CLAUDIA C C RUT RETIRA: 18223460-5</t>
  </si>
  <si>
    <t>Camino Fray Montalva 521</t>
  </si>
  <si>
    <t>40582</t>
  </si>
  <si>
    <t>272419525</t>
  </si>
  <si>
    <t>NOMBRE RETIRA: TAMARA GONZALES A RUT RETIRA: 53333310-9</t>
  </si>
  <si>
    <t>Tamara González</t>
  </si>
  <si>
    <t>Alcalde Pedro Alarcón #900 dpto 1004</t>
  </si>
  <si>
    <t>56445</t>
  </si>
  <si>
    <t>272386177</t>
  </si>
  <si>
    <t>los acacios, 1350</t>
  </si>
  <si>
    <t>2026-06-15 17:24</t>
  </si>
  <si>
    <t>56446</t>
  </si>
  <si>
    <t>272386195</t>
  </si>
  <si>
    <t>NOMBRE RETIRA: JOSE NILO CONSERJE RUT RETIRA: 65121250-2</t>
  </si>
  <si>
    <t>antonia urarte</t>
  </si>
  <si>
    <t>Huérfanos, 1555,  dpto 1609</t>
  </si>
  <si>
    <t>20940</t>
  </si>
  <si>
    <t>272419529</t>
  </si>
  <si>
    <t>NOMBRE RETIRA: YANY MUNDACA . RUT RETIRA: 17657301-5</t>
  </si>
  <si>
    <t>Yany Mondaca</t>
  </si>
  <si>
    <t>Condominio marbella, casa b14, comuna de Puchuncaví</t>
  </si>
  <si>
    <t>2026-06-16 09:59</t>
  </si>
  <si>
    <t>20943</t>
  </si>
  <si>
    <t>272419560</t>
  </si>
  <si>
    <t>NOMBRE RETIRA: VICENTE SUBELA K RUT RETIRA: 56057510-6</t>
  </si>
  <si>
    <t>Catalina Amenabar</t>
  </si>
  <si>
    <t>Alonso de Córdova 2681, departamento 203, VITACURA</t>
  </si>
  <si>
    <t>2026-06-16 10:03</t>
  </si>
  <si>
    <t>56370</t>
  </si>
  <si>
    <t>272229626</t>
  </si>
  <si>
    <t>NOMBRE RETIRA: JUAN CORNEJO TIA RUT RETIRA: 20857925-8</t>
  </si>
  <si>
    <t>juan cornejo</t>
  </si>
  <si>
    <t>los limoneros, 3782</t>
  </si>
  <si>
    <t>2026-06-12 13:56</t>
  </si>
  <si>
    <t>56371</t>
  </si>
  <si>
    <t>272229631</t>
  </si>
  <si>
    <t>NOMBRE RETIRA: PAULINA PIREIRE M RUT RETIRA: 18838258-4</t>
  </si>
  <si>
    <t>Maria Paulina Pineiro Manzano</t>
  </si>
  <si>
    <t>HERNANDO DE MAGALLANES, 1042, DEPTO 2204,</t>
  </si>
  <si>
    <t>2026-06-12 13:57</t>
  </si>
  <si>
    <t>56369</t>
  </si>
  <si>
    <t>272229621</t>
  </si>
  <si>
    <t>NOMBRE RETIRA: DEIVI ANTONIO MEDINA RUT RETIRA: 53301247-7</t>
  </si>
  <si>
    <t>HERNANDO DE MAGALLANES, 1042, depto 2204,</t>
  </si>
  <si>
    <t>56392</t>
  </si>
  <si>
    <t>272236052</t>
  </si>
  <si>
    <t>NOMBRE RETIRA: ISABEL ROJAS . RUT RETIRA: 79560270-4</t>
  </si>
  <si>
    <t>FABELEC LIMITADA</t>
  </si>
  <si>
    <t>RICARDO MATTE PEREZ 430</t>
  </si>
  <si>
    <t>2026-06-12 15:14</t>
  </si>
  <si>
    <t>56393</t>
  </si>
  <si>
    <t>272236037</t>
  </si>
  <si>
    <t>NOMBRE RETIRA: LEONARDO NAVARRO U RUT RETIRA: 14195639-6</t>
  </si>
  <si>
    <t>Leonardo Navarro Farias</t>
  </si>
  <si>
    <t>PJE SANTA CECILIA 3643</t>
  </si>
  <si>
    <t>56391</t>
  </si>
  <si>
    <t>272236033</t>
  </si>
  <si>
    <t>NOMBRE RETIRA: EVA .. . RUT RETIRA: 5333162-9</t>
  </si>
  <si>
    <t>Luis Alberto Droguett Cabrera</t>
  </si>
  <si>
    <t>Pasaje Los Cerezos 876</t>
  </si>
  <si>
    <t>56387</t>
  </si>
  <si>
    <t>272235964</t>
  </si>
  <si>
    <t>NOMBRE RETIRA: RICARDO VALDEVENITO M RUT RETIRA: 20199674-0</t>
  </si>
  <si>
    <t>FERNANDO MIGUEL DELGADO</t>
  </si>
  <si>
    <t>Los Sauces 8112 CASA D</t>
  </si>
  <si>
    <t>2026-06-12 15:10</t>
  </si>
  <si>
    <t>56384</t>
  </si>
  <si>
    <t>272235953</t>
  </si>
  <si>
    <t>NOMBRE RETIRA: ERIKA FIGUEROA . RUT RETIRA: 15469921-K</t>
  </si>
  <si>
    <t>Erika Figueroa Silva</t>
  </si>
  <si>
    <t>Calle Tres 498</t>
  </si>
  <si>
    <t>2026-06-12 15:08</t>
  </si>
  <si>
    <t>56381</t>
  </si>
  <si>
    <t>272235922</t>
  </si>
  <si>
    <t>NOMBRE RETIRA: CRISTIA GOZALES . RUT RETIRA: 22154314-9</t>
  </si>
  <si>
    <t>Jorge Diaz</t>
  </si>
  <si>
    <t>Avenida Libertador Bernardo O ́Higgins 268 DPTO 124</t>
  </si>
  <si>
    <t>56388</t>
  </si>
  <si>
    <t>272235968</t>
  </si>
  <si>
    <t>NOMBRE RETIRA: BEATRIZ PERALTA J RUT RETIRA: 19584917-K</t>
  </si>
  <si>
    <t>Natalia Medina</t>
  </si>
  <si>
    <t>Brisas del Maipo 0446 DEPTO 504 A</t>
  </si>
  <si>
    <t>2026-06-12 15:11</t>
  </si>
  <si>
    <t>56389</t>
  </si>
  <si>
    <t>272236003</t>
  </si>
  <si>
    <t>NOMBRE RETIRA: GONZALO GUZMAN K RUT RETIRA: 13428786-1</t>
  </si>
  <si>
    <t>Gonzalo Guzman Hernandez</t>
  </si>
  <si>
    <t>Av. EL REMANSO DE CHICUREO 436 CASA 111 LA COSECHA</t>
  </si>
  <si>
    <t>2026-06-12 15:12</t>
  </si>
  <si>
    <t>56385</t>
  </si>
  <si>
    <t>272235956</t>
  </si>
  <si>
    <t>NOMBRE RETIRA: JORGE GARRIDO M RUT RETIRA: 2633774-7</t>
  </si>
  <si>
    <t>Jorge Garrido Negri</t>
  </si>
  <si>
    <t>Nuestra Señora del Rosario 411</t>
  </si>
  <si>
    <t>2026-06-12 15:09</t>
  </si>
  <si>
    <t>56379</t>
  </si>
  <si>
    <t>272236456</t>
  </si>
  <si>
    <t>NOMBRE RETIRA: MARCELA BUSTOS H RUT RETIRA: 18725135-4</t>
  </si>
  <si>
    <t>Marcela Bustos</t>
  </si>
  <si>
    <t>Evaristo Lillo, 178, Floor Of 22,</t>
  </si>
  <si>
    <t>56374</t>
  </si>
  <si>
    <t>272229649</t>
  </si>
  <si>
    <t>NOMBRE RETIRA: CAROLINA PARRA . . RUT RETIRA: 53315696-7</t>
  </si>
  <si>
    <t>richard carrasco</t>
  </si>
  <si>
    <t>San Fernando 1477 DEPTO 58-3</t>
  </si>
  <si>
    <t>56367</t>
  </si>
  <si>
    <t>272229590</t>
  </si>
  <si>
    <t>NOMBRE RETIRA: LORRNA AVILA B RUT RETIRA: 20857925-8</t>
  </si>
  <si>
    <t>LORENA ESTER AVILA</t>
  </si>
  <si>
    <t>Marsella, 169</t>
  </si>
  <si>
    <t>56368</t>
  </si>
  <si>
    <t>272229617</t>
  </si>
  <si>
    <t>NOMBRE RETIRA: JAQUELIN DON OSO J RUT RETIRA: 9804513-9</t>
  </si>
  <si>
    <t>Jacqueline Donoso Contreras</t>
  </si>
  <si>
    <t>Angel Guarello, 1717</t>
  </si>
  <si>
    <t>56366</t>
  </si>
  <si>
    <t>272229581</t>
  </si>
  <si>
    <t>NOMBRE RETIRA: TOMAS . . RUT RETIRA: 21782006-5</t>
  </si>
  <si>
    <t>TOMAS FERNANDEZ</t>
  </si>
  <si>
    <t>SANTA JULIA, 77</t>
  </si>
  <si>
    <t>2026-06-12 13:52</t>
  </si>
  <si>
    <t>56380</t>
  </si>
  <si>
    <t>272235906</t>
  </si>
  <si>
    <t>NOMBRE RETIRA: ORIETA GONZALEZ H RUT RETIRA: 11550483-5</t>
  </si>
  <si>
    <t>Juan Rodrigo Gonzalez Villanueva</t>
  </si>
  <si>
    <t>Calle G 1120 depto 33</t>
  </si>
  <si>
    <t>56382</t>
  </si>
  <si>
    <t>272235928</t>
  </si>
  <si>
    <t>NOMBRE RETIRA: MARIO BALDERRANO . RUT RETIRA: 56020560-0</t>
  </si>
  <si>
    <t>Claudio Ignacio Gonzalez</t>
  </si>
  <si>
    <t>VITACURA 3149 DP 22</t>
  </si>
  <si>
    <t>56363</t>
  </si>
  <si>
    <t>272229569</t>
  </si>
  <si>
    <t>NOMBRE RETIRA: GABRIEL TAPIA A RUT RETIRA: 53320479-1</t>
  </si>
  <si>
    <t>willy giese</t>
  </si>
  <si>
    <t>san ignacio, 325, Floor 12d</t>
  </si>
  <si>
    <t>2026-06-12 13:48</t>
  </si>
  <si>
    <t>56364</t>
  </si>
  <si>
    <t>272229574</t>
  </si>
  <si>
    <t>NOMBRE RETIRA: GONZALO ROBERTSON . RUT RETIRA: 56087500-2</t>
  </si>
  <si>
    <t>Gonzalo Robertson Alfaro</t>
  </si>
  <si>
    <t>Avenida Ricardo Cummming, 1350,  Depto 1105</t>
  </si>
  <si>
    <t>2026-06-12 13:50</t>
  </si>
  <si>
    <t>56383</t>
  </si>
  <si>
    <t>272235952</t>
  </si>
  <si>
    <t>NOMBRE RETIRA: MARIO MUNOZ M RUT RETIRA: 17734119-3</t>
  </si>
  <si>
    <t>MARIO MUNOZ</t>
  </si>
  <si>
    <t>av los libertadores 7337 DEPTO29</t>
  </si>
  <si>
    <t>56373</t>
  </si>
  <si>
    <t>272229644</t>
  </si>
  <si>
    <t>NOMBRE RETIRA: EDGARDO FUENTES . RUT RETIRA: 20200311-7</t>
  </si>
  <si>
    <t>Jose Garcia Dominguez</t>
  </si>
  <si>
    <t>La Pastora 181 DEPTO 71</t>
  </si>
  <si>
    <t>56390</t>
  </si>
  <si>
    <t>272236032</t>
  </si>
  <si>
    <t>NOMBRE RETIRA: BRUNO DONOSO CONSERJE RUT RETIRA: 53307143-0</t>
  </si>
  <si>
    <t>ELLEN CANTO</t>
  </si>
  <si>
    <t>Teatinos 690 depto 406</t>
  </si>
  <si>
    <t>2026-06-12 15:13</t>
  </si>
  <si>
    <t>56372</t>
  </si>
  <si>
    <t>272229641</t>
  </si>
  <si>
    <t>NOMBRE RETIRA: PARQUE SALESIANO H L RUT RETIRA: 15602928-9</t>
  </si>
  <si>
    <t>Jazmin Arias Melgarejo</t>
  </si>
  <si>
    <t>Salesianos, 870, DEPTO 1016 E</t>
  </si>
  <si>
    <t>55259</t>
  </si>
  <si>
    <t>271272076</t>
  </si>
  <si>
    <t>NOMBRE RETIRA: RODRIGO . . RUT RETIRA: 10940473-K</t>
  </si>
  <si>
    <t>Rodrigo Flormentil</t>
  </si>
  <si>
    <t>Pasaje Fedra, 1718</t>
  </si>
  <si>
    <t>56240</t>
  </si>
  <si>
    <t>272068830</t>
  </si>
  <si>
    <t>NOMBRE RETIRA: SUSANA ORTIZ O RUT RETIRA: 13439886-8</t>
  </si>
  <si>
    <t>Mauro Delgado</t>
  </si>
  <si>
    <t>Av. Santa Rosa 5638</t>
  </si>
  <si>
    <t>56375</t>
  </si>
  <si>
    <t>272229678</t>
  </si>
  <si>
    <t>NOMBRE RETIRA: ISIDORA ACUNA . RUT RETIRA: 22380806-9</t>
  </si>
  <si>
    <t>Fernando Acuna</t>
  </si>
  <si>
    <t>Regina Pacis 1370</t>
  </si>
  <si>
    <t>2026-06-12 14:01</t>
  </si>
  <si>
    <t>56386</t>
  </si>
  <si>
    <t>272235974</t>
  </si>
  <si>
    <t>NOMBRE RETIRA: RODOLFO SAQUE A RUT RETIRA: 65126705-6</t>
  </si>
  <si>
    <t>Rodrigo Diaz</t>
  </si>
  <si>
    <t>Santa Herminia Oriente 591 DEPTO 39 Condominio Alcazar</t>
  </si>
  <si>
    <t>56266</t>
  </si>
  <si>
    <t>272099608</t>
  </si>
  <si>
    <t>NOMBRE RETIRA: ANAIS MORAGA . RUT RETIRA: 53301133-0</t>
  </si>
  <si>
    <t>Jacqueline Ruz</t>
  </si>
  <si>
    <t>Av Santa Marta de Huechuraba, 6650, Floor 132 B</t>
  </si>
  <si>
    <t>2026-06-10 15:16</t>
  </si>
  <si>
    <t>55856</t>
  </si>
  <si>
    <t>271686438</t>
  </si>
  <si>
    <t>NOMBRE RETIRA: SAMUEL GONZALEZ X RUT RETIRA: 15633136-8</t>
  </si>
  <si>
    <t>samuel gonzalez</t>
  </si>
  <si>
    <t>til til, 6831</t>
  </si>
  <si>
    <t>40536</t>
  </si>
  <si>
    <t>272214045</t>
  </si>
  <si>
    <t>NOMBRE RETIRA: OSCAR CASTANEDA . RUT RETIRA: 16291260-7</t>
  </si>
  <si>
    <t>oscar castañeda reyes</t>
  </si>
  <si>
    <t>carretera v605 pareclacion el copihue parcela 8</t>
  </si>
  <si>
    <t>56271</t>
  </si>
  <si>
    <t>272099751</t>
  </si>
  <si>
    <t>NOMBRE RETIRA: MAURICIO SEPULVEDA H H H RUT RETIRA: 8773091-3</t>
  </si>
  <si>
    <t>Jonathan Troncoso Rivera</t>
  </si>
  <si>
    <t>Avenida Beauchef, 1729, Floor casa</t>
  </si>
  <si>
    <t>2026-06-10 15:20</t>
  </si>
  <si>
    <t>19045</t>
  </si>
  <si>
    <t>271987732</t>
  </si>
  <si>
    <t>NOMBRE RETIRA: KRIS BELLO . RUT RETIRA: 28302648-5</t>
  </si>
  <si>
    <t>Natalie Castro</t>
  </si>
  <si>
    <t>Avda las torres 1397 huechuraba, avda las torres 1397 huechuraba</t>
  </si>
  <si>
    <t>56288</t>
  </si>
  <si>
    <t>272214325</t>
  </si>
  <si>
    <t>NOMBRE RETIRA: ALAN BECERRS . RUT RETIRA: 19008095-1</t>
  </si>
  <si>
    <t>Alan Armstrong</t>
  </si>
  <si>
    <t>Aníbal Pinto 215, of 807</t>
  </si>
  <si>
    <t>2026-06-12 11:00</t>
  </si>
  <si>
    <t>56286</t>
  </si>
  <si>
    <t>272099959</t>
  </si>
  <si>
    <t>NOMBRE RETIRA: BARBARA SALAS M RUT RETIRA: 12629020-9</t>
  </si>
  <si>
    <t>Barbara Salas</t>
  </si>
  <si>
    <t>Presidente Madero, 655, Floor Casa A</t>
  </si>
  <si>
    <t>2026-06-10 15:47</t>
  </si>
  <si>
    <t>56280</t>
  </si>
  <si>
    <t>272099846</t>
  </si>
  <si>
    <t>Jacqueline Figueroa</t>
  </si>
  <si>
    <t>Av Grecia, 1457, Floor 22 A, Stair Llamar antes por teléfono</t>
  </si>
  <si>
    <t>56269</t>
  </si>
  <si>
    <t>272099740</t>
  </si>
  <si>
    <t>NOMBRE RETIRA: ANDREA LINARES . RUT RETIRA: 53327333-5</t>
  </si>
  <si>
    <t>llina reyes</t>
  </si>
  <si>
    <t>americo vespucio, 6630, Floor 1002</t>
  </si>
  <si>
    <t>56239</t>
  </si>
  <si>
    <t>271984910</t>
  </si>
  <si>
    <t>NOMBRE RETIRA: RODRIGO RAYAN T RUT RETIRA: 11111111-1</t>
  </si>
  <si>
    <t>Rodrigo Gayan Torrente</t>
  </si>
  <si>
    <t>Avenida MACUL, 2795, DEPTO 2103-B</t>
  </si>
  <si>
    <t>2026-06-09 10:50</t>
  </si>
  <si>
    <t>271680157</t>
  </si>
  <si>
    <t>NOMBRE RETIRA: IVAN ZUNIGA . RUT RETIRA: 17858328-K</t>
  </si>
  <si>
    <t>Iván Zúñiga Pausic</t>
  </si>
  <si>
    <t>Ruta J-60 470, Fundo Duao, Duao</t>
  </si>
  <si>
    <t>2026-06-04 16:24</t>
  </si>
  <si>
    <t>56272</t>
  </si>
  <si>
    <t>272099774</t>
  </si>
  <si>
    <t>NOMBRE RETIRA: CONSTANZA ALVARES . RUT RETIRA: 18765847-0</t>
  </si>
  <si>
    <t>Constanza Alvarez Carrillo</t>
  </si>
  <si>
    <t>Rio loa, 8616, Floor Casa, Stair Timbre malo, llamar 982385589</t>
  </si>
  <si>
    <t>2026-06-10 15:21</t>
  </si>
  <si>
    <t>272079526</t>
  </si>
  <si>
    <t>NOMBRE RETIRA: CRISTIANE BORDADO PONTES RUT RETIRA: 24685962-0</t>
  </si>
  <si>
    <t>Eduardo Silva Soto</t>
  </si>
  <si>
    <t>Calle la luna 105 - Portal de Curauma</t>
  </si>
  <si>
    <t>56270</t>
  </si>
  <si>
    <t>272099747</t>
  </si>
  <si>
    <t>NOMBRE RETIRA: WUILMER LORENO . RUT RETIRA: 53325254-0</t>
  </si>
  <si>
    <t>Jaime Mozo Ballacey</t>
  </si>
  <si>
    <t>Francisco Bulnes Correa, 3410, Floor 41C</t>
  </si>
  <si>
    <t>56274</t>
  </si>
  <si>
    <t>272099806</t>
  </si>
  <si>
    <t>NOMBRE RETIRA: MARIO PEREZ K RUT RETIRA: 15602928-9</t>
  </si>
  <si>
    <t>Valentina Mazry</t>
  </si>
  <si>
    <t>Carlos Wilson, 1345, Floor 405</t>
  </si>
  <si>
    <t>56281</t>
  </si>
  <si>
    <t>272099876</t>
  </si>
  <si>
    <t>NOMBRE RETIRA: ROSA GONZALES H RUT RETIRA: 25244578-1</t>
  </si>
  <si>
    <t>Rosa Gonzales tiznado</t>
  </si>
  <si>
    <t>Los litres 10966, 10966</t>
  </si>
  <si>
    <t>2026-06-10 15:38</t>
  </si>
  <si>
    <t>56283</t>
  </si>
  <si>
    <t>272099929</t>
  </si>
  <si>
    <t>NOMBRE RETIRA: SANDY DONOSO . RUT RETIRA: 53321930-6</t>
  </si>
  <si>
    <t>Sandra Herrera Arce</t>
  </si>
  <si>
    <t>Avda Las Perdices, 4240, Floor 54, Stair Condominio Ladera de Las Pircas</t>
  </si>
  <si>
    <t>2026-06-10 15:45</t>
  </si>
  <si>
    <t>20790</t>
  </si>
  <si>
    <t>272068844</t>
  </si>
  <si>
    <t>NOMBRE RETIRA: HUMBERTO POBLETE GUA . . RUT RETIRA: 12186748-6</t>
  </si>
  <si>
    <t>ERIKA PILAR TOLOSA SCHAFER</t>
  </si>
  <si>
    <t>2026-06-10 10:53</t>
  </si>
  <si>
    <t>56279</t>
  </si>
  <si>
    <t>272099842</t>
  </si>
  <si>
    <t>NOMBRE RETIRA: TAMARA TORRES DUARTE RUT RETIRA: 7942840-K</t>
  </si>
  <si>
    <t>Tamara Torres Duarte</t>
  </si>
  <si>
    <t>Claudio Arrau, 9226, Floor casa</t>
  </si>
  <si>
    <t>2026-06-10 15:35</t>
  </si>
  <si>
    <t>56277</t>
  </si>
  <si>
    <t>272099837</t>
  </si>
  <si>
    <t>NOMBRE RETIRA: CARLOS ESPINOIZA M RUT RETIRA: 56057330-8</t>
  </si>
  <si>
    <t>Maria Beatriz Gonzalez Fulle</t>
  </si>
  <si>
    <t>Avenida Holanda, 3730, Floor 95</t>
  </si>
  <si>
    <t>2026-06-10 15:33</t>
  </si>
  <si>
    <t>56282</t>
  </si>
  <si>
    <t>272099915</t>
  </si>
  <si>
    <t>NOMBRE RETIRA: DANIELA TORRES U RUT RETIRA: 19729815-4</t>
  </si>
  <si>
    <t>Daniela Torres</t>
  </si>
  <si>
    <t>Temistocles, 5948, Stair Casa esquina color ocre</t>
  </si>
  <si>
    <t>2026-06-10 15:43</t>
  </si>
  <si>
    <t>56268</t>
  </si>
  <si>
    <t>272099724</t>
  </si>
  <si>
    <t>NOMBRE RETIRA: JORGE DUPE K RUT RETIRA: 15602928-9</t>
  </si>
  <si>
    <t>Jorge Dupre</t>
  </si>
  <si>
    <t>LA VERBENA, 3943</t>
  </si>
  <si>
    <t>2026-06-10 15:18</t>
  </si>
  <si>
    <t>56267</t>
  </si>
  <si>
    <t>272099704</t>
  </si>
  <si>
    <t>NOMBRE RETIRA: LUIS ENCINAS L RUT RETIRA: 15602928-9</t>
  </si>
  <si>
    <t>Jimena Del Valle</t>
  </si>
  <si>
    <t>San Juan de Luz, 4060, Floor 603</t>
  </si>
  <si>
    <t>2026-06-10 15:17</t>
  </si>
  <si>
    <t>56273</t>
  </si>
  <si>
    <t>272099799</t>
  </si>
  <si>
    <t>NOMBRE RETIRA: RAUL ESHEVERRIA M RUT RETIRA: 53320493-7</t>
  </si>
  <si>
    <t>sabrina oporto</t>
  </si>
  <si>
    <t>suarez mujica, 420, Floor dpto 1308, Stair dejar conserjeria</t>
  </si>
  <si>
    <t>2026-06-10 15:22</t>
  </si>
  <si>
    <t>56276</t>
  </si>
  <si>
    <t>272099833</t>
  </si>
  <si>
    <t>NOMBRE RETIRA: PAULI . . RUT RETIRA: 21782006-5</t>
  </si>
  <si>
    <t>Paulina Aspee</t>
  </si>
  <si>
    <t>Pedro Hemrick ling, 877</t>
  </si>
  <si>
    <t>56284</t>
  </si>
  <si>
    <t>272099955</t>
  </si>
  <si>
    <t>NOMBRE RETIRA: CRISEL AZOARES M RUT RETIRA: 15602928-9</t>
  </si>
  <si>
    <t>Ricardo Miranda</t>
  </si>
  <si>
    <t>Carlos Antunez, 1867, Floor Depto 414</t>
  </si>
  <si>
    <t>56285</t>
  </si>
  <si>
    <t>272099976</t>
  </si>
  <si>
    <t>NOMBRE RETIRA: JOSE OLIVO , RUT RETIRA: 14690864-0</t>
  </si>
  <si>
    <t>Jose Luis Olivo Guillen</t>
  </si>
  <si>
    <t>Avenida José Joaquín Prieto, 10714, Floor Depto 354, Stair Comuna el Bosque</t>
  </si>
  <si>
    <t>40476</t>
  </si>
  <si>
    <t>272068848</t>
  </si>
  <si>
    <t>NOMBRE RETIRA: JONATHAN OJEDA A RUT RETIRA: 56064040-4</t>
  </si>
  <si>
    <t>Claudio Marcos</t>
  </si>
  <si>
    <t>Las pinpinelas 765 departamento 14 Nombre del edificio : costa del este en Concón</t>
  </si>
  <si>
    <t>2026-06-10 10:55</t>
  </si>
  <si>
    <t>55844</t>
  </si>
  <si>
    <t>271674286</t>
  </si>
  <si>
    <t>NOMBRE RETIRA: JYAN GUZMAN G RUT RETIRA: 14162228-5</t>
  </si>
  <si>
    <t>juan pablo guzman</t>
  </si>
  <si>
    <t>kurt steinmeyer, 294</t>
  </si>
  <si>
    <t>2026-06-04 14:54</t>
  </si>
  <si>
    <t>20723</t>
  </si>
  <si>
    <t>272068851</t>
  </si>
  <si>
    <t>NOMBRE RETIRA: PABLO CORNEJO K RUT RETIRA: 14093039-3</t>
  </si>
  <si>
    <t>Constructum SpA</t>
  </si>
  <si>
    <t>Los Halcones 12.500 casa 12</t>
  </si>
  <si>
    <t>56040</t>
  </si>
  <si>
    <t>271773155</t>
  </si>
  <si>
    <t>NOMBRE RETIRA: LUZ HENRIQUEZ A A RUT RETIRA: 9651223-6</t>
  </si>
  <si>
    <t>lucas Izquierdo</t>
  </si>
  <si>
    <t>el pastizal, 11478</t>
  </si>
  <si>
    <t>55969</t>
  </si>
  <si>
    <t>271746909</t>
  </si>
  <si>
    <t>NOMBRE RETIRA: MARGARITA VIELMA A A RUT RETIRA: 8239230-0</t>
  </si>
  <si>
    <t>Tomas Ugarte</t>
  </si>
  <si>
    <t>Ermita De Luján 3924, 3924</t>
  </si>
  <si>
    <t>2026-06-05 10:46</t>
  </si>
  <si>
    <t>55943</t>
  </si>
  <si>
    <t>271746887</t>
  </si>
  <si>
    <t>NOMBRE RETIRA: MABEL CIFUENTES L RUT RETIRA: 11125610-1</t>
  </si>
  <si>
    <t>Francis Cifuentes</t>
  </si>
  <si>
    <t>pasaje los Cisnes, 3107, Floor casa, Stair entre Froilán Roa y Exequiel Fernández</t>
  </si>
  <si>
    <t>55948</t>
  </si>
  <si>
    <t>271746973</t>
  </si>
  <si>
    <t>NOMBRE RETIRA: ALLISOM PALACIOS X RUT RETIRA: 19755246-8</t>
  </si>
  <si>
    <t>Alison Palacios</t>
  </si>
  <si>
    <t>Campanario, 1750, Stair Portón de madera</t>
  </si>
  <si>
    <t>2026-06-05 11:03</t>
  </si>
  <si>
    <t>55973</t>
  </si>
  <si>
    <t>271747325</t>
  </si>
  <si>
    <t>NOMBRE RETIRA: ORIANA PAVES M RUT RETIRA: 7875716-7</t>
  </si>
  <si>
    <t>Tolanda Margot Aedo Toro</t>
  </si>
  <si>
    <t>Avda Isabel La catolica, 4591, Floor 52, Stair porton gris grande lado edificio ladrillo</t>
  </si>
  <si>
    <t>56031</t>
  </si>
  <si>
    <t>271773199</t>
  </si>
  <si>
    <t>NOMBRE RETIRA: JOSE MEDINA M RUT RETIRA: 56081800-9</t>
  </si>
  <si>
    <t>Magdalena Reyes</t>
  </si>
  <si>
    <t>vaticano, 4290, Floor 307</t>
  </si>
  <si>
    <t>2026-06-05 17:07</t>
  </si>
  <si>
    <t>56008</t>
  </si>
  <si>
    <t>271772651</t>
  </si>
  <si>
    <t>NOMBRE RETIRA: DAVID ALDEA A RUT RETIRA: 15090523-0</t>
  </si>
  <si>
    <t>David Aldea</t>
  </si>
  <si>
    <t>Canada, 9098, Floor Casa, Stair Esquina Rojas Magallanes</t>
  </si>
  <si>
    <t>2026-06-05 16:33</t>
  </si>
  <si>
    <t>56000</t>
  </si>
  <si>
    <t>271772467</t>
  </si>
  <si>
    <t>NOMBRE RETIRA: MONICA PARRA A RUT RETIRA: 8026800-9</t>
  </si>
  <si>
    <t>Violeta Chipon</t>
  </si>
  <si>
    <t>El Belloto, 3837, Floor 314 - block 18, Stair Soy arrendataria</t>
  </si>
  <si>
    <t>2026-06-05 16:23</t>
  </si>
  <si>
    <t>18718</t>
  </si>
  <si>
    <t>271986213</t>
  </si>
  <si>
    <t>NOMBRE RETIRA: LILIAN IBACACHE S RUT RETIRA: 13977917-7</t>
  </si>
  <si>
    <t>Hector Burgos</t>
  </si>
  <si>
    <t>Las zinnias 1335, 1335</t>
  </si>
  <si>
    <t>20770</t>
  </si>
  <si>
    <t>271886441</t>
  </si>
  <si>
    <t>NOMBRE RETIRA: MARCIA RAMOS . RUT RETIRA: 8363053-1</t>
  </si>
  <si>
    <t>ROBERTO VALERO</t>
  </si>
  <si>
    <t>VALLE ESPERANZA 2788 LT 19 LOMAS DE QULPUÉ</t>
  </si>
  <si>
    <t>2026-06-08 10:17</t>
  </si>
  <si>
    <t>19041</t>
  </si>
  <si>
    <t>271987685</t>
  </si>
  <si>
    <t>NOMBRE RETIRA: CARLOS GARCIA GARCIA L RUT RETIRA: 53298827-6</t>
  </si>
  <si>
    <t>Edgardo Lionel Díaz Navarrete</t>
  </si>
  <si>
    <t>Walker Martínez 2991 Dpto 301 C</t>
  </si>
  <si>
    <t>19048</t>
  </si>
  <si>
    <t>271987725</t>
  </si>
  <si>
    <t>NOMBRE RETIRA: JOAQUINA SAN MARTIN M RUT RETIRA: 56025470-9</t>
  </si>
  <si>
    <t>Marcelo Salazar Rodriguez</t>
  </si>
  <si>
    <t>Suecia 1414, Dep 701</t>
  </si>
  <si>
    <t>2026-06-09 10:23</t>
  </si>
  <si>
    <t>55946</t>
  </si>
  <si>
    <t>271746966</t>
  </si>
  <si>
    <t>NOMBRE RETIRA: MIRYAM CUBILLO N RUT RETIRA: 20199674-0</t>
  </si>
  <si>
    <t>myriam cubillos</t>
  </si>
  <si>
    <t>cruz almeyda, 1060</t>
  </si>
  <si>
    <t>19049</t>
  </si>
  <si>
    <t>271987766</t>
  </si>
  <si>
    <t>NOMBRE RETIRA: LISBET PEREZ M RUT RETIRA: 53335629-K</t>
  </si>
  <si>
    <t>Cristian Esperguel Galaz</t>
  </si>
  <si>
    <t>Avenida Chile-España, 451,  Depto 509</t>
  </si>
  <si>
    <t>55991</t>
  </si>
  <si>
    <t>271772337</t>
  </si>
  <si>
    <t>NOMBRE RETIRA: VALERIA JARA J RUT RETIRA: 14066143-0</t>
  </si>
  <si>
    <t>Valeria Jara</t>
  </si>
  <si>
    <t>hernando de aguirre, 2389, Floor 402</t>
  </si>
  <si>
    <t>2026-06-05 16:04</t>
  </si>
  <si>
    <t>56022</t>
  </si>
  <si>
    <t>271773115</t>
  </si>
  <si>
    <t>NOMBRE RETIRA: KARIM EMIR H RUT RETIRA: 18725135-4</t>
  </si>
  <si>
    <t>KARIM EMIR CARRENO MERCADO</t>
  </si>
  <si>
    <t>Guido Renni, 7041</t>
  </si>
  <si>
    <t>56007</t>
  </si>
  <si>
    <t>271772626</t>
  </si>
  <si>
    <t>NOMBRE RETIRA: ALEJANDRA OLATE H RUT RETIRA: 20128768-5</t>
  </si>
  <si>
    <t>ALEJANDRA OLATE PANTOJA</t>
  </si>
  <si>
    <t>Pasaje Juan Mauricio Rugendas, 8183, Floor 8183, Stair Parad 16 Vicuña Mackenna por Perpetua Freire</t>
  </si>
  <si>
    <t>2026-06-05 16:32</t>
  </si>
  <si>
    <t>55986</t>
  </si>
  <si>
    <t>271771923</t>
  </si>
  <si>
    <t>NOMBRE RETIRA: JOSE CHANGAS A RUT RETIRA: 56040470-0</t>
  </si>
  <si>
    <t>DIANA GARRIDO</t>
  </si>
  <si>
    <t>MARA DEL SUR, 1117, Floor 53</t>
  </si>
  <si>
    <t>2026-06-05 15:54</t>
  </si>
  <si>
    <t>55963</t>
  </si>
  <si>
    <t>271747386</t>
  </si>
  <si>
    <t>NOMBRE RETIRA: AYLEN PINEIRO A RUT RETIRA: 14127403-1</t>
  </si>
  <si>
    <t>Renata Lagos lopez</t>
  </si>
  <si>
    <t>Av hipódromo chile, 1702, Floor Dpto 902, Stair Lo deja en consejeria</t>
  </si>
  <si>
    <t>56013</t>
  </si>
  <si>
    <t>271772961</t>
  </si>
  <si>
    <t>NOMBRE RETIRA: SEBASTIAN SANDIA S RUT RETIRA: 65226433-6</t>
  </si>
  <si>
    <t>juan delgado</t>
  </si>
  <si>
    <t>La concepción, 7663, Floor 1013</t>
  </si>
  <si>
    <t>2026-06-05 16:48</t>
  </si>
  <si>
    <t>56024</t>
  </si>
  <si>
    <t>271773139</t>
  </si>
  <si>
    <t>NOMBRE RETIRA: MARGARITA PARRA . RUT RETIRA: 5662512-7</t>
  </si>
  <si>
    <t>Catherine Montalba palma</t>
  </si>
  <si>
    <t>Pasaje dos 1566, 1566, Floor 1566, Stair Casa que tiene a veces un carrito chino afuera</t>
  </si>
  <si>
    <t>2026-06-05 17:05</t>
  </si>
  <si>
    <t>55958</t>
  </si>
  <si>
    <t>271747317</t>
  </si>
  <si>
    <t>NOMBRE RETIRA: CRISTIAN GUTIERREZ J RUT RETIRA: 65139755-3</t>
  </si>
  <si>
    <t>Fernanda Lemarchand</t>
  </si>
  <si>
    <t>Av einstein, 568, Floor 608</t>
  </si>
  <si>
    <t>2026-06-05 11:20</t>
  </si>
  <si>
    <t>55979</t>
  </si>
  <si>
    <t>271747422</t>
  </si>
  <si>
    <t>NOMBRE RETIRA: LUIS ORTIZ . RUT RETIRA: 20596540-8</t>
  </si>
  <si>
    <t>Alejandra Hidalgo</t>
  </si>
  <si>
    <t>general bulnes, 749, Floor 1705, Stair entre san pablo y rosas</t>
  </si>
  <si>
    <t>55951</t>
  </si>
  <si>
    <t>271746989</t>
  </si>
  <si>
    <t>NOMBRE RETIRA: JULIETA OSPINA OSPINA RUT RETIRA: 53335893-4</t>
  </si>
  <si>
    <t>Marlene Marquez</t>
  </si>
  <si>
    <t>Coronel Souper, 4438, Floor 1602, Stair Dejar en conserjería</t>
  </si>
  <si>
    <t>56025</t>
  </si>
  <si>
    <t>271773144</t>
  </si>
  <si>
    <t>NOMBRE RETIRA: CONDOMINIO ALTO ANDINO D RUT RETIRA: 65016274-9</t>
  </si>
  <si>
    <t>Raisa Araneda Belmar</t>
  </si>
  <si>
    <t>AVENIDA MACUL, 2701, Floor DEPTO 1405 B, Stair TORRE B</t>
  </si>
  <si>
    <t>2026-06-05 17:06</t>
  </si>
  <si>
    <t>56009</t>
  </si>
  <si>
    <t>271772664</t>
  </si>
  <si>
    <t>NOMBRE RETIRA: MARISOL . . RUT RETIRA: 14180472-3</t>
  </si>
  <si>
    <t>marisol Gonzalez</t>
  </si>
  <si>
    <t>lo blanco, 2149, Floor depto. A106</t>
  </si>
  <si>
    <t>2026-06-05 16:35</t>
  </si>
  <si>
    <t>55970</t>
  </si>
  <si>
    <t>271746916</t>
  </si>
  <si>
    <t>NOMBRE RETIRA: CARLOS N N RUT RETIRA: 53336162-5</t>
  </si>
  <si>
    <t>FABIAN RUIZ</t>
  </si>
  <si>
    <t>EL RINCON, 960, Floor 44, Stair CONJUNTO EL RINCON SUR</t>
  </si>
  <si>
    <t>55950</t>
  </si>
  <si>
    <t>271746982</t>
  </si>
  <si>
    <t>NOMBRE RETIRA: MARIA ELENA TAMARGO . RUT RETIRA: 6413119-2</t>
  </si>
  <si>
    <t>Maria elena Tamargo barros</t>
  </si>
  <si>
    <t>lenca, 9901</t>
  </si>
  <si>
    <t>55961</t>
  </si>
  <si>
    <t>271747375</t>
  </si>
  <si>
    <t>NOMBRE RETIRA: MIGUEL CASTILLO M RUT RETIRA: 56016270-7</t>
  </si>
  <si>
    <t>Manuel Gallardo Rojas</t>
  </si>
  <si>
    <t>Las Encinas, 3330, Floor 101 E</t>
  </si>
  <si>
    <t>56001</t>
  </si>
  <si>
    <t>271772497</t>
  </si>
  <si>
    <t>NOMBRE RETIRA: GUILLERMO DOREN O RUT RETIRA: 10464358-2</t>
  </si>
  <si>
    <t>Guillermo Doren</t>
  </si>
  <si>
    <t>Pasaje Los Duraznos, 1780, Floor A, Stair Por Av. Rondizzoni esquina Av. Mirador</t>
  </si>
  <si>
    <t>55940</t>
  </si>
  <si>
    <t>271747465</t>
  </si>
  <si>
    <t>NOMBRE RETIRA: NEILSA GONZALEZ A RUT RETIRA: 16373339-0</t>
  </si>
  <si>
    <t>carlos Mayorga</t>
  </si>
  <si>
    <t>AV. las torres, 158, Floor 106, Stair condominio piedra roja</t>
  </si>
  <si>
    <t>55964</t>
  </si>
  <si>
    <t>271747368</t>
  </si>
  <si>
    <t>NOMBRE RETIRA: SARAI NUNEZ . RUT RETIRA: 18835939-6</t>
  </si>
  <si>
    <t>Sarai Nunez</t>
  </si>
  <si>
    <t>Av vicuña mackenna, 8071, Floor Dpto, Stair Llamar al 964116364</t>
  </si>
  <si>
    <t>2026-06-05 11:32</t>
  </si>
  <si>
    <t>56034</t>
  </si>
  <si>
    <t>271771921</t>
  </si>
  <si>
    <t>NOMBRE RETIRA: CAMILA CARVAJAL JARA RUT RETIRA: 16775681-6</t>
  </si>
  <si>
    <t>Bruno Badillo</t>
  </si>
  <si>
    <t>Araucanos, 1641</t>
  </si>
  <si>
    <t>56011</t>
  </si>
  <si>
    <t>271772923</t>
  </si>
  <si>
    <t>NOMBRE RETIRA: ANIBAL PERES U RUT RETIRA: 53307018-3</t>
  </si>
  <si>
    <t>Edgardo Chiappa</t>
  </si>
  <si>
    <t>Holanda, 1280, Floor Dpto, Stair Entregar en conserjería</t>
  </si>
  <si>
    <t>2026-06-05 16:39</t>
  </si>
  <si>
    <t>55985</t>
  </si>
  <si>
    <t>271771896</t>
  </si>
  <si>
    <t>NOMBRE RETIRA: JOAQUIN MORALES S RUT RETIRA: 20878218-5</t>
  </si>
  <si>
    <t>ROXANA LIZAMA</t>
  </si>
  <si>
    <t>AV.MACUL, 2251, Floor 402A</t>
  </si>
  <si>
    <t>56018</t>
  </si>
  <si>
    <t>271773039</t>
  </si>
  <si>
    <t>NOMBRE RETIRA: JUAN UGARTE U RUT RETIRA: 53335337-1</t>
  </si>
  <si>
    <t>ana gonzalez</t>
  </si>
  <si>
    <t>Walker Martínez, 1100, Floor Dp 1508</t>
  </si>
  <si>
    <t>2026-06-05 16:55</t>
  </si>
  <si>
    <t>55952</t>
  </si>
  <si>
    <t>271747004</t>
  </si>
  <si>
    <t>NOMBRE RETIRA: NELSON GONZALEZ . RUT RETIRA: 4662189-1</t>
  </si>
  <si>
    <t>NELSON GONZALEZ</t>
  </si>
  <si>
    <t>ATAHUALPA, 302, Stair casa esquina con calle Fresia</t>
  </si>
  <si>
    <t>55945</t>
  </si>
  <si>
    <t>271746963</t>
  </si>
  <si>
    <t>NOMBRE RETIRA: MARIA TERESA OLVEROS . RUT RETIRA: 10639249-8</t>
  </si>
  <si>
    <t>Carlos Alfonso Ortiz Oliveros</t>
  </si>
  <si>
    <t>Avenida Pajaritos, Maipú, 3080, Floor Edificio, Stair Conserjería, entregar a Denise o María Teresa</t>
  </si>
  <si>
    <t>2026-06-05 10:58</t>
  </si>
  <si>
    <t>55944</t>
  </si>
  <si>
    <t>271746954</t>
  </si>
  <si>
    <t>NOMBRE RETIRA: MARIA TERESA OLIVEROS . RUT RETIRA: 10639249-8</t>
  </si>
  <si>
    <t>Maria Teresa Oliveros</t>
  </si>
  <si>
    <t>Avenida Pajaritos, 3080, Floor Conserjería, Stair Entregar a Denise o María Teresa</t>
  </si>
  <si>
    <t>56010</t>
  </si>
  <si>
    <t>271772702</t>
  </si>
  <si>
    <t>NOMBRE RETIRA: SERGIO NICHANTE S RUT RETIRA: 7531625-9</t>
  </si>
  <si>
    <t>Sergio Pichuante</t>
  </si>
  <si>
    <t>Pasaje Santa Amalia, 1091, Stair Pasaje cerrado</t>
  </si>
  <si>
    <t>56108</t>
  </si>
  <si>
    <t>271894076</t>
  </si>
  <si>
    <t>NOMBRE RETIRA: JACQUELIN YTUR A RUT RETIRA: 53325237-0</t>
  </si>
  <si>
    <t>jose manuel prado</t>
  </si>
  <si>
    <t>Thiare, 1099</t>
  </si>
  <si>
    <t>56110</t>
  </si>
  <si>
    <t>271894100</t>
  </si>
  <si>
    <t>NOMBRE RETIRA: NICOL BARRITCHON B RUT RETIRA: 21409580-7</t>
  </si>
  <si>
    <t>Juan Darritchon</t>
  </si>
  <si>
    <t>Condominio Polo de Manquehue I, 214, Floor 214, Stair Chicureo</t>
  </si>
  <si>
    <t>55966</t>
  </si>
  <si>
    <t>271747399</t>
  </si>
  <si>
    <t>NOMBRE RETIRA: INES MUNDACA B RUT RETIRA: 25654796-1</t>
  </si>
  <si>
    <t>Ines Mundaca</t>
  </si>
  <si>
    <t>Samba, 1548, Floor Casa, Stair Llamar antes ya que hay que abrir el portón</t>
  </si>
  <si>
    <t>55989</t>
  </si>
  <si>
    <t>271771947</t>
  </si>
  <si>
    <t>NOMBRE RETIRA: LUIS FERNANDO S RUT RETIRA: 6373219-2</t>
  </si>
  <si>
    <t>Luis fernando Pardo Droguett</t>
  </si>
  <si>
    <t>Los eucaliptus, 4723, Floor Casa, Stair Villa el parqué</t>
  </si>
  <si>
    <t>2026-06-05 16:00</t>
  </si>
  <si>
    <t>56015</t>
  </si>
  <si>
    <t>271772993</t>
  </si>
  <si>
    <t>Hector Riquelme</t>
  </si>
  <si>
    <t>Pasaje san Joaquín, 1475, Floor Casa</t>
  </si>
  <si>
    <t>2026-06-05 16:51</t>
  </si>
  <si>
    <t>55959</t>
  </si>
  <si>
    <t>271747323</t>
  </si>
  <si>
    <t>NOMBRE RETIRA: GASTON PAREDES . RUT RETIRA: 56010060-4</t>
  </si>
  <si>
    <t>Lara Melnick</t>
  </si>
  <si>
    <t>Holanda, 337, Floor 604</t>
  </si>
  <si>
    <t>55988</t>
  </si>
  <si>
    <t>271771945</t>
  </si>
  <si>
    <t>NOMBRE RETIRA: RAFAEL M AA RUT RETIRA: 53307666-1</t>
  </si>
  <si>
    <t>Carmen Fernandez de Castro</t>
  </si>
  <si>
    <t>El Ciruelillo, 3777, Floor 31</t>
  </si>
  <si>
    <t>55956</t>
  </si>
  <si>
    <t>271747060</t>
  </si>
  <si>
    <t>NOMBRE RETIRA: MANUEL SOTO C RUT RETIRA: 20448649-2</t>
  </si>
  <si>
    <t>alfonso gaete</t>
  </si>
  <si>
    <t>luz, 2959, Floor 154</t>
  </si>
  <si>
    <t>56019</t>
  </si>
  <si>
    <t>271773072</t>
  </si>
  <si>
    <t>NOMBRE RETIRA: SANDRA MUNOZ G RUT RETIRA: 12128353-0</t>
  </si>
  <si>
    <t>JOSE LUIS ALFARO HUANCA</t>
  </si>
  <si>
    <t>EL NOCEDAL, 124, Floor Casa</t>
  </si>
  <si>
    <t>2026-06-05 16:56</t>
  </si>
  <si>
    <t>55965</t>
  </si>
  <si>
    <t>271747414</t>
  </si>
  <si>
    <t>NOMBRE RETIRA: CARLOS CASYRO M RUT RETIRA: 53313412-2</t>
  </si>
  <si>
    <t>Gabriela Gonzalez Gutierrez</t>
  </si>
  <si>
    <t>Hermanos Cabot, 6720, Floor 61</t>
  </si>
  <si>
    <t>55975</t>
  </si>
  <si>
    <t>271747372</t>
  </si>
  <si>
    <t>NOMBRE RETIRA: SOLEDAD BASCUNAN A RUT RETIRA: 5892504-7</t>
  </si>
  <si>
    <t>German Cabrera Herrera</t>
  </si>
  <si>
    <t>SAN CARLOS DE APOQUINDO, 734</t>
  </si>
  <si>
    <t>2026-06-05 11:26</t>
  </si>
  <si>
    <t>55983</t>
  </si>
  <si>
    <t>271771870</t>
  </si>
  <si>
    <t>NOMBRE RETIRA: MARIA CONTRERAS . RUT RETIRA: 7386437-2</t>
  </si>
  <si>
    <t>Mirta Aguilar</t>
  </si>
  <si>
    <t>Los Alerces, 1885, Floor Casa</t>
  </si>
  <si>
    <t>55960</t>
  </si>
  <si>
    <t>271747331</t>
  </si>
  <si>
    <t>NOMBRE RETIRA: MARIA . . RUT RETIRA: 12323768-4</t>
  </si>
  <si>
    <t>IRVING MARABOLI</t>
  </si>
  <si>
    <t>MARTE, 1391, Floor CASA</t>
  </si>
  <si>
    <t>56023</t>
  </si>
  <si>
    <t>271773090</t>
  </si>
  <si>
    <t>NOMBRE RETIRA: MARIA BILBAO RECINR RUT RETIRA: 53331686-7</t>
  </si>
  <si>
    <t>Maria Elena Bilbao Jimenez</t>
  </si>
  <si>
    <t>Helsby, 9451, Floor Casa J</t>
  </si>
  <si>
    <t>2026-06-05 16:59</t>
  </si>
  <si>
    <t>55962</t>
  </si>
  <si>
    <t>271747380</t>
  </si>
  <si>
    <t>NOMBRE RETIRA: DANIEL PEREZ M RUT RETIRA: 11888173-7</t>
  </si>
  <si>
    <t>Daniel Perez</t>
  </si>
  <si>
    <t>Calle Parque, 12650</t>
  </si>
  <si>
    <t>56005</t>
  </si>
  <si>
    <t>271772575</t>
  </si>
  <si>
    <t>NOMBRE RETIRA: ROBERTO QUIJADA D RUT RETIRA: 65609020-0</t>
  </si>
  <si>
    <t>DAISY JARA</t>
  </si>
  <si>
    <t>DIAGONAL JOSE MARIA CARO, 3005, Floor F-201</t>
  </si>
  <si>
    <t>55866</t>
  </si>
  <si>
    <t>271686486</t>
  </si>
  <si>
    <t>NOMBRE RETIRA: PAULA GUZMAN GUZMAN RUT RETIRA: 10031380-4</t>
  </si>
  <si>
    <t>Andrea Goic</t>
  </si>
  <si>
    <t>Lincoyan, 850, Floor E</t>
  </si>
  <si>
    <t>2026-06-04 17:11</t>
  </si>
  <si>
    <t>56032</t>
  </si>
  <si>
    <t>271771871</t>
  </si>
  <si>
    <t>NOMBRE RETIRA: TAMARA PARQUEZ . RUT RETIRA: 15844469-0</t>
  </si>
  <si>
    <t>Pablo Quinones Abarca</t>
  </si>
  <si>
    <t>Avenida jardines del bosque, 261, Floor 261</t>
  </si>
  <si>
    <t>2026-06-05 15:42</t>
  </si>
  <si>
    <t>55974</t>
  </si>
  <si>
    <t>271746977</t>
  </si>
  <si>
    <t>NOMBRE RETIRA: MANUEL GONZALEZ A RUT RETIRA: 65126698-K</t>
  </si>
  <si>
    <t>Fabio Parra Salazar</t>
  </si>
  <si>
    <t>Avenida Santa Herminia, 1201, Floor Condominio Los Vientos Casa 17, Stair Casa 17. Dejar en conserjería</t>
  </si>
  <si>
    <t>2026-06-05 11:05</t>
  </si>
  <si>
    <t>55955</t>
  </si>
  <si>
    <t>271747041</t>
  </si>
  <si>
    <t>NOMBRE RETIRA: PAMELA LEIVA M RUT RETIRA: 18978088-5</t>
  </si>
  <si>
    <t>Pamela Leiva</t>
  </si>
  <si>
    <t>Av irarrazaval, 3435, Floor 34, Stair Dejar en conserjería para steffy Yaque</t>
  </si>
  <si>
    <t>56102</t>
  </si>
  <si>
    <t>271893986</t>
  </si>
  <si>
    <t>NOMBRE RETIRA: ARMANDO ARAYA M RUT RETIRA: 53320942-4</t>
  </si>
  <si>
    <t>Marco Guerra</t>
  </si>
  <si>
    <t>Santa Isabel, 176, Floor 1604, Stair Edificio Eco Ciudad</t>
  </si>
  <si>
    <t>2026-06-08 11:03</t>
  </si>
  <si>
    <t>56002</t>
  </si>
  <si>
    <t>271772522</t>
  </si>
  <si>
    <t>NOMBRE RETIRA: RAUL IBARRA C RUT RETIRA: 56076790-0</t>
  </si>
  <si>
    <t>Juan Carlos Ibanez Soto</t>
  </si>
  <si>
    <t>La niña, 3090, Floor 91</t>
  </si>
  <si>
    <t>55999</t>
  </si>
  <si>
    <t>271772459</t>
  </si>
  <si>
    <t>NOMBRE RETIRA: BLANCA RECEPCION O RUT RETIRA: 50000500-9</t>
  </si>
  <si>
    <t>MARIANELLE IVONN AGUILAR TORRES</t>
  </si>
  <si>
    <t>MONEDA, 1137, Floor 51</t>
  </si>
  <si>
    <t>2026-06-05 16:21</t>
  </si>
  <si>
    <t>56112</t>
  </si>
  <si>
    <t>271894116</t>
  </si>
  <si>
    <t>NOMBRE RETIRA: MONICA JAURES . RUT RETIRA: 7181765-2</t>
  </si>
  <si>
    <t>monica jaures</t>
  </si>
  <si>
    <t>calle interior santa elena de batuco parcela 47, 47</t>
  </si>
  <si>
    <t>55980</t>
  </si>
  <si>
    <t>271747410</t>
  </si>
  <si>
    <t>NOMBRE RETIRA: J D M RUT RETIRA: 7942840-K</t>
  </si>
  <si>
    <t>javier toro</t>
  </si>
  <si>
    <t>Av. Del ferrocarril, 1307</t>
  </si>
  <si>
    <t>2026-06-05 12:27</t>
  </si>
  <si>
    <t>56101</t>
  </si>
  <si>
    <t>271894001</t>
  </si>
  <si>
    <t>NOMBRE RETIRA: TERESA MA . RUT RETIRA: 10848118-8</t>
  </si>
  <si>
    <t>Teresa Marileo</t>
  </si>
  <si>
    <t>José Santiago Montt, 257, Floor C</t>
  </si>
  <si>
    <t>2026-06-08 11:00</t>
  </si>
  <si>
    <t>55993</t>
  </si>
  <si>
    <t>271772350</t>
  </si>
  <si>
    <t>NOMBRE RETIRA: MARIA TABILO T RUT RETIRA: 16046176-4</t>
  </si>
  <si>
    <t>maria tabilo</t>
  </si>
  <si>
    <t>canada, 5080</t>
  </si>
  <si>
    <t>2026-06-05 16:07</t>
  </si>
  <si>
    <t>56035</t>
  </si>
  <si>
    <t>271771942</t>
  </si>
  <si>
    <t>NOMBRE RETIRA: JOSEFA SMART . RUT RETIRA: 17085554-K</t>
  </si>
  <si>
    <t>Josefa Smart</t>
  </si>
  <si>
    <t>Manuel Antonio Prieto, 115, Floor 2B</t>
  </si>
  <si>
    <t>56038</t>
  </si>
  <si>
    <t>271772904</t>
  </si>
  <si>
    <t>NOMBRE RETIRA: KETNI LAPAIS S RUT RETIRA: 26005147-4</t>
  </si>
  <si>
    <t>Maria Jose Rojas Gomez</t>
  </si>
  <si>
    <t>Avenida Los Rios, 11200, Floor Ñ11</t>
  </si>
  <si>
    <t>2026-06-05 16:37</t>
  </si>
  <si>
    <t>55981</t>
  </si>
  <si>
    <t>271771867</t>
  </si>
  <si>
    <t>NOMBRE RETIRA: LUIS SAMBRANO C RUT RETIRA: 56049000-3</t>
  </si>
  <si>
    <t>Antonella Bassi</t>
  </si>
  <si>
    <t>Las Malvas, 270, Floor 51</t>
  </si>
  <si>
    <t>2026-06-05 15:39</t>
  </si>
  <si>
    <t>55994</t>
  </si>
  <si>
    <t>271772379</t>
  </si>
  <si>
    <t>NOMBRE RETIRA: MARIA LOPE L RUT RETIRA: 18056167-6</t>
  </si>
  <si>
    <t>PAMELA VENA PIUTRIN</t>
  </si>
  <si>
    <t>FERMIN VIVACETA, 1299, Floor TRABAJO, Stair FERRETERIA CHILE LTDA</t>
  </si>
  <si>
    <t>55957</t>
  </si>
  <si>
    <t>271747065</t>
  </si>
  <si>
    <t>NOMBRE RETIRA: CLAUDIO SANCHEZ C RUT RETIRA: 56076790-0</t>
  </si>
  <si>
    <t>SEBASTIAN ANDRES CASTILLO ZURITA</t>
  </si>
  <si>
    <t>avenida cristóbal colón, 3770, Floor 87</t>
  </si>
  <si>
    <t>55900</t>
  </si>
  <si>
    <t>271771967</t>
  </si>
  <si>
    <t>NOMBRE RETIRA: REUNDO CABERA .... RUT RETIRA: 65069799-5</t>
  </si>
  <si>
    <t>Eddrey Malebranche</t>
  </si>
  <si>
    <t>Lira, 526, Floor 611, Stair Lira con Santa Isabel</t>
  </si>
  <si>
    <t>55949</t>
  </si>
  <si>
    <t>271746950</t>
  </si>
  <si>
    <t>NOMBRE RETIRA: MANUEL ECHEVERRIA . RUT RETIRA: 65058974-2</t>
  </si>
  <si>
    <t>Paola Osses</t>
  </si>
  <si>
    <t>Radal, 810, Floor 603, Stair Dejar en conserjeria</t>
  </si>
  <si>
    <t>56006</t>
  </si>
  <si>
    <t>271772583</t>
  </si>
  <si>
    <t>NOMBRE RETIRA: MARIA JOSE ESCOBAR. . RUT RETIRA: 12166903-K</t>
  </si>
  <si>
    <t>Interior Sta. Sara, Batuco, 4, Floor U, Stair Cerca de Iglesia de Piedra de Batuco</t>
  </si>
  <si>
    <t>2026-06-05 16:31</t>
  </si>
  <si>
    <t>56039</t>
  </si>
  <si>
    <t>271773012</t>
  </si>
  <si>
    <t>NOMBRE RETIRA: YERKP ARAZENA A RUT RETIRA: 65969610-K</t>
  </si>
  <si>
    <t>Sebastian Lazo Ruedlinger</t>
  </si>
  <si>
    <t>Avenida Cristobal colon, 4647, Floor 401-A</t>
  </si>
  <si>
    <t>2026-06-05 16:52</t>
  </si>
  <si>
    <t>55971</t>
  </si>
  <si>
    <t>271746925</t>
  </si>
  <si>
    <t>NOMBRE RETIRA: VIVIAN VACA T RUT RETIRA: 21767977-K</t>
  </si>
  <si>
    <t>FRANCISCA20JAVIERA GARRIDO</t>
  </si>
  <si>
    <t>Senegal Oriente, 7571</t>
  </si>
  <si>
    <t>2026-06-05 10:52</t>
  </si>
  <si>
    <t>56107</t>
  </si>
  <si>
    <t>271894069</t>
  </si>
  <si>
    <t>NOMBRE RETIRA: JUAN SANHUEZA . RUT RETIRA: 65234302-3</t>
  </si>
  <si>
    <t>Jorge Cifuentes Duran</t>
  </si>
  <si>
    <t>Tucapel, 262, Floor 1607, Stair Dejar en conserjería</t>
  </si>
  <si>
    <t>55968</t>
  </si>
  <si>
    <t>271746697</t>
  </si>
  <si>
    <t>NOMBRE RETIRA: VUVIAN VACA T RUT RETIRA: 21767977-K</t>
  </si>
  <si>
    <t>56041</t>
  </si>
  <si>
    <t>271773169</t>
  </si>
  <si>
    <t>NOMBRE RETIRA: CRISTINA CUEVAS A RUT RETIRA: 7840599-6</t>
  </si>
  <si>
    <t>Rodrigo Corvera</t>
  </si>
  <si>
    <t>juan esteban montero, 5499</t>
  </si>
  <si>
    <t>56020</t>
  </si>
  <si>
    <t>271773077</t>
  </si>
  <si>
    <t>NOMBRE RETIRA: ALEJANDRA JAIDAR R RUT RETIRA: 7491491-8</t>
  </si>
  <si>
    <t>alejandra Jaidar</t>
  </si>
  <si>
    <t>Manuel Antonio Matta, 0444</t>
  </si>
  <si>
    <t>2026-06-05 16:57</t>
  </si>
  <si>
    <t>55953</t>
  </si>
  <si>
    <t>271747020</t>
  </si>
  <si>
    <t>NOMBRE RETIRA: ISAURA ESPINOZA J RUT RETIRA: 17050464-K</t>
  </si>
  <si>
    <t>ISAURA ESPINOZA CHAVEZ</t>
  </si>
  <si>
    <t>BROWN NORTE, 220, Floor 603 B, Stair DEJAR EN CONSERJERIA</t>
  </si>
  <si>
    <t>55941</t>
  </si>
  <si>
    <t>271746665</t>
  </si>
  <si>
    <t>NOMBRE RETIRA: SOLANGE ACHUAJE . RUT RETIRA: 22086199-6</t>
  </si>
  <si>
    <t>Marcia SanMartin</t>
  </si>
  <si>
    <t>Seminario, 1035</t>
  </si>
  <si>
    <t>55942</t>
  </si>
  <si>
    <t>271746693</t>
  </si>
  <si>
    <t>NOMBRE RETIRA: MARIA ORTEGA O RUT RETIRA: 13577541-K</t>
  </si>
  <si>
    <t>Huerfanos, 1178 local H</t>
  </si>
  <si>
    <t>2026-06-05 10:42</t>
  </si>
  <si>
    <t>55996</t>
  </si>
  <si>
    <t>271772402</t>
  </si>
  <si>
    <t>NOMBRE RETIRA: JUAN PABLO GONZALES . RUT RETIRA: 14148779-5</t>
  </si>
  <si>
    <t>Juan Pablo Gonzalez</t>
  </si>
  <si>
    <t>Alvaro Casanova, 355, Floor 35-A, Stair Condominio Cumbres</t>
  </si>
  <si>
    <t>55939</t>
  </si>
  <si>
    <t>271746681</t>
  </si>
  <si>
    <t>NOMBRE RETIRA: JUAN CARLOS ELZO A RUT RETIRA: 16373339-0</t>
  </si>
  <si>
    <t>Alejandra Cristobalina Fuentes Rojas</t>
  </si>
  <si>
    <t>VII de Línea, 181, Floor Casa, Stair Llamar antes de ir</t>
  </si>
  <si>
    <t>56109</t>
  </si>
  <si>
    <t>271894095</t>
  </si>
  <si>
    <t>NOMBRE RETIRA: ECTOR RODRIGEZ M RUT RETIRA: 8386813-9</t>
  </si>
  <si>
    <t>Hector Rodriguez</t>
  </si>
  <si>
    <t>Cot  3196, Floor casa</t>
  </si>
  <si>
    <t>20697</t>
  </si>
  <si>
    <t>271680240</t>
  </si>
  <si>
    <t>NOMBRE RETIRA: GERARDO ORTEGA . RUT RETIRA: 9453693-6</t>
  </si>
  <si>
    <t>Felipe Ali</t>
  </si>
  <si>
    <t>Avenida Las Industrias N° 4930</t>
  </si>
  <si>
    <t>56014</t>
  </si>
  <si>
    <t>271772964</t>
  </si>
  <si>
    <t>NOMBRE RETIRA: MARIA PAATRAN . RUT RETIRA: 76981653-4</t>
  </si>
  <si>
    <t>Cristian Marcelo Rojas Arriagada</t>
  </si>
  <si>
    <t>AVENIDA PEDRO DE VALDIVIA, 5223, Floor 1304, Stair Dejar en recepcion</t>
  </si>
  <si>
    <t>2026-06-05 16:50</t>
  </si>
  <si>
    <t>55997</t>
  </si>
  <si>
    <t>271772436</t>
  </si>
  <si>
    <t>NOMBRE RETIRA: JAQUELUNE FRNACHOLA M RUT RETIRA: 10394549-6</t>
  </si>
  <si>
    <t>JACQUELINE FRANYOLA</t>
  </si>
  <si>
    <t>pasaje manantiales, 6950, Floor casa</t>
  </si>
  <si>
    <t>2026-06-05 16:18</t>
  </si>
  <si>
    <t>56036</t>
  </si>
  <si>
    <t>271771964</t>
  </si>
  <si>
    <t>jaime bachmann</t>
  </si>
  <si>
    <t>camino de los fresnos, 1303, Floor 22</t>
  </si>
  <si>
    <t>55984</t>
  </si>
  <si>
    <t>271771883</t>
  </si>
  <si>
    <t>NOMBRE RETIRA: JOSE JORQUERA J RUT RETIRA: 53332288-3</t>
  </si>
  <si>
    <t>Rodrigo Eliseo Ortiz Romero</t>
  </si>
  <si>
    <t>calle san benito, 790, Floor torre i 433, Stair torre i 433</t>
  </si>
  <si>
    <t>55762</t>
  </si>
  <si>
    <t>271673763</t>
  </si>
  <si>
    <t>NOMBRE RETIRA: CARLOS S P RUT RETIRA: 19419776-4</t>
  </si>
  <si>
    <t>Carlos Salas</t>
  </si>
  <si>
    <t>Beaucheff, 1325</t>
  </si>
  <si>
    <t>56017</t>
  </si>
  <si>
    <t>271773033</t>
  </si>
  <si>
    <t>NOMBRE RETIRA: HECTOR VARGAS NA RUT RETIRA: 16618926-8</t>
  </si>
  <si>
    <t>Hector Rafael Varas San Martin</t>
  </si>
  <si>
    <t>Pillan, 1121</t>
  </si>
  <si>
    <t>55987</t>
  </si>
  <si>
    <t>271771929</t>
  </si>
  <si>
    <t>NOMBRE RETIRA: HORTENCIA QUIROZ NA RUT RETIRA: 16618926-8</t>
  </si>
  <si>
    <t>hortensia Quiroz</t>
  </si>
  <si>
    <t>san francisco, 8487, Floor casa</t>
  </si>
  <si>
    <t>56021</t>
  </si>
  <si>
    <t>271773105</t>
  </si>
  <si>
    <t>NOMBRE RETIRA: YORLEY SILVA . RUT RETIRA: 53337350-K</t>
  </si>
  <si>
    <t>Alis Espinoza</t>
  </si>
  <si>
    <t>Avenida Departamental, 960, Floor 713</t>
  </si>
  <si>
    <t>56111</t>
  </si>
  <si>
    <t>271894113</t>
  </si>
  <si>
    <t>NOMBRE RETIRA: JAIME RUBILAR L RUT RETIRA: 15602928-9</t>
  </si>
  <si>
    <t>Felipe Abarca</t>
  </si>
  <si>
    <t>av Balmaceda, 040, Floor Dpto 43B</t>
  </si>
  <si>
    <t>2026-06-08 11:15</t>
  </si>
  <si>
    <t>56012</t>
  </si>
  <si>
    <t>271772956</t>
  </si>
  <si>
    <t>NOMBRE RETIRA: GUILLERMO ROJAS M RUT RETIRA: 53316174-K</t>
  </si>
  <si>
    <t>Leonardo Zuniga Ibaceta</t>
  </si>
  <si>
    <t>Cauquenes, 60, Floor 1005, Stair si nadie en depto, dejar en conserjería</t>
  </si>
  <si>
    <t>2026-06-05 16:46</t>
  </si>
  <si>
    <t>56104</t>
  </si>
  <si>
    <t>271894040</t>
  </si>
  <si>
    <t>EDUARDO ALBERTO DEHNHARDT ESPINOZA</t>
  </si>
  <si>
    <t>Av. Guanaco norte, 1540, Floor 502B</t>
  </si>
  <si>
    <t>55954</t>
  </si>
  <si>
    <t>271747033</t>
  </si>
  <si>
    <t>NOMBRE RETIRA: HUGO BUSTOS . RUT RETIRA: 6919287-4</t>
  </si>
  <si>
    <t>andres canales valenzuela</t>
  </si>
  <si>
    <t>rengo, 94, Floor 42</t>
  </si>
  <si>
    <t>55947</t>
  </si>
  <si>
    <t>271746970</t>
  </si>
  <si>
    <t>NOMBRE RETIRA: KAREN ORTIZ D RUT RETIRA: 15504554-K</t>
  </si>
  <si>
    <t>Karen Ortiz</t>
  </si>
  <si>
    <t>Laguna sur, 6402</t>
  </si>
  <si>
    <t>2026-06-05 11:00</t>
  </si>
  <si>
    <t>55972</t>
  </si>
  <si>
    <t>271747068</t>
  </si>
  <si>
    <t>NOMBRE RETIRA: JORGW RAMIREZ A RUT RETIRA: 5717009-3</t>
  </si>
  <si>
    <t>Jorge Ramirez Z</t>
  </si>
  <si>
    <t>Pasaje Nido de Aguilas, 1278, Floor Casa</t>
  </si>
  <si>
    <t>56103</t>
  </si>
  <si>
    <t>271893991</t>
  </si>
  <si>
    <t>NOMBRE RETIRA: JAVIER VALENZUELA M RUT RETIRA: 15780640-8</t>
  </si>
  <si>
    <t>Javier Valenzuela</t>
  </si>
  <si>
    <t>Arboretum Sur, 10601, Floor Casa G</t>
  </si>
  <si>
    <t>56004</t>
  </si>
  <si>
    <t>271772549</t>
  </si>
  <si>
    <t>NOMBRE RETIRA: GABRIEL URZUA N RUT RETIRA: 11111111-1</t>
  </si>
  <si>
    <t>GABRIEL URZUA</t>
  </si>
  <si>
    <t>Avda José Pedro Alessandri, 795, Floor 31</t>
  </si>
  <si>
    <t>2026-06-05 16:28</t>
  </si>
  <si>
    <t>55995</t>
  </si>
  <si>
    <t>271773219</t>
  </si>
  <si>
    <t>NOMBRE RETIRA: PATRICIO BUSTOS A RUT RETIRA: 21526970-1</t>
  </si>
  <si>
    <t>Ciencias, 8453, Floor Casa</t>
  </si>
  <si>
    <t>2026-06-05 17:10</t>
  </si>
  <si>
    <t>18810</t>
  </si>
  <si>
    <t>271543664</t>
  </si>
  <si>
    <t>NOMBRE RETIRA: MIGUEL SAID . RUT RETIRA: 13321375-9</t>
  </si>
  <si>
    <t>Edgar Pabon</t>
  </si>
  <si>
    <t>Pasaje los Canelos 1095, población maitahue</t>
  </si>
  <si>
    <t>55992</t>
  </si>
  <si>
    <t>271772346</t>
  </si>
  <si>
    <t>NOMBRE RETIRA: RUTH HERRERA G RUT RETIRA: 3732656-9</t>
  </si>
  <si>
    <t>Ginesa Gainza</t>
  </si>
  <si>
    <t>Camino Húsares de la Muerte Maipú, 24, Floor Casa A, Stair Frente a Condominio Jardines de Chena</t>
  </si>
  <si>
    <t>2026-06-05 16:06</t>
  </si>
  <si>
    <t>56003</t>
  </si>
  <si>
    <t>271772552</t>
  </si>
  <si>
    <t>NOMBRE RETIRA: JOHANA A A RUT RETIRA: 16666516-7</t>
  </si>
  <si>
    <t>Claudio Mundaca</t>
  </si>
  <si>
    <t>Blanco Garces, 154, Floor 510 b</t>
  </si>
  <si>
    <t>56105</t>
  </si>
  <si>
    <t>271894044</t>
  </si>
  <si>
    <t>NOMBRE RETIRA: CLAUDIA HERRA . RUT RETIRA: 13552227-9</t>
  </si>
  <si>
    <t>Andres Herrera</t>
  </si>
  <si>
    <t>Manuela Errazuriz, 3410, Stair Minimarket Juanita esquina Enrique Matte</t>
  </si>
  <si>
    <t>56033</t>
  </si>
  <si>
    <t>271771879</t>
  </si>
  <si>
    <t>NOMBRE RETIRA: MARIA LOPEZ . RUT RETIRA: 56057790-7</t>
  </si>
  <si>
    <t>josefina parodi</t>
  </si>
  <si>
    <t>suecia, 2624, Floor 506</t>
  </si>
  <si>
    <t>2026-06-05 15:45</t>
  </si>
  <si>
    <t>56030</t>
  </si>
  <si>
    <t>271771841</t>
  </si>
  <si>
    <t>NOMBRE RETIRA: MAURICIO SOTO X RUT RETIRA: 84807200-1</t>
  </si>
  <si>
    <t>Patricio Espinosa Cuevas</t>
  </si>
  <si>
    <t>Doctor Johow, 550, Floor Depto A, Stair A nombre de Liliana Ramos</t>
  </si>
  <si>
    <t>55998</t>
  </si>
  <si>
    <t>271772428</t>
  </si>
  <si>
    <t>NOMBRE RETIRA: BENITO CORNEJO C RUT RETIRA: 5391720-8</t>
  </si>
  <si>
    <t>benito cornejo juan</t>
  </si>
  <si>
    <t>Marmaduque Grove, 5125</t>
  </si>
  <si>
    <t>55967</t>
  </si>
  <si>
    <t>271747458</t>
  </si>
  <si>
    <t>NOMBRE RETIRA: JUAN HERRERA M RUT RETIRA: 7094827-3</t>
  </si>
  <si>
    <t>Juan Carlos Herrera</t>
  </si>
  <si>
    <t>Pasaje Santa Julia, 524, Floor casa</t>
  </si>
  <si>
    <t>56106</t>
  </si>
  <si>
    <t>271894046</t>
  </si>
  <si>
    <t>NOMBRE RETIRA: WILSON CORTEZ C RUT RETIRA: 56069980-8</t>
  </si>
  <si>
    <t>Marcela Moraga</t>
  </si>
  <si>
    <t>WARREN SMITH, 70, Floor 609</t>
  </si>
  <si>
    <t>56037</t>
  </si>
  <si>
    <t>271772388</t>
  </si>
  <si>
    <t>NOMBRE RETIRA: LUCIA QUINOME Z RUT RETIRA: 56062950-8</t>
  </si>
  <si>
    <t>Alfonso Parodi</t>
  </si>
  <si>
    <t>Cerro Colorado, 4922, Floor 93C, Stair Costado PArauco</t>
  </si>
  <si>
    <t>40230</t>
  </si>
  <si>
    <t>271626518</t>
  </si>
  <si>
    <t>NOMBRE RETIRA: MILTON MIRANDA . RUT RETIRA: 21594559-6</t>
  </si>
  <si>
    <t>Natasha miranda fernandez</t>
  </si>
  <si>
    <t>piloto pardo 1526</t>
  </si>
  <si>
    <t>55771</t>
  </si>
  <si>
    <t>271674148</t>
  </si>
  <si>
    <t>NOMBRE RETIRA: ESTEBAN LETELIER O RUT RETIRA: 18665232-0</t>
  </si>
  <si>
    <t>Esteban Letelier</t>
  </si>
  <si>
    <t>Volcan copahue, 3134, Floor Casa</t>
  </si>
  <si>
    <t>55862</t>
  </si>
  <si>
    <t>271686594</t>
  </si>
  <si>
    <t>NOMBRE RETIRA: JUAN BARAHONA . RUT RETIRA: 16936180-0</t>
  </si>
  <si>
    <t>Los conquistadores, 1923, Floor 304</t>
  </si>
  <si>
    <t>2026-06-04 17:30</t>
  </si>
  <si>
    <t>55769</t>
  </si>
  <si>
    <t>271674162</t>
  </si>
  <si>
    <t>NOMBRE RETIRA: CECILIA SALGADO . RUT RETIRA: 9975161-4</t>
  </si>
  <si>
    <t>CECILIA PAZ SALGADO</t>
  </si>
  <si>
    <t>GUARDIA VIEJA, 69</t>
  </si>
  <si>
    <t>55834</t>
  </si>
  <si>
    <t>271674250</t>
  </si>
  <si>
    <t>NOMBRE RETIRA: GERARDO B B RUT RETIRA: 19752612-2</t>
  </si>
  <si>
    <t>Gerardo Barros Briceno</t>
  </si>
  <si>
    <t>Pasaje El Organillero, 1405</t>
  </si>
  <si>
    <t>2026-06-04 14:44</t>
  </si>
  <si>
    <t>55867</t>
  </si>
  <si>
    <t>271686468</t>
  </si>
  <si>
    <t>NOMBRE RETIRA: RUT MORALES M RUT RETIRA: 12325196-2</t>
  </si>
  <si>
    <t>Felipe Larraechea</t>
  </si>
  <si>
    <t>Los juncos, 320</t>
  </si>
  <si>
    <t>2026-06-04 17:18</t>
  </si>
  <si>
    <t>40392</t>
  </si>
  <si>
    <t>271720839</t>
  </si>
  <si>
    <t>NOMBRE RETIRA: PATRICIA GUZMAN . RUT RETIRA: 9469149-4</t>
  </si>
  <si>
    <t>Patricia Guzmán Rivera</t>
  </si>
  <si>
    <t>55635</t>
  </si>
  <si>
    <t>271549954</t>
  </si>
  <si>
    <t>NOMBRE RETIRA: ALEXANDER AGUILA T RUT RETIRA: 7491491-8</t>
  </si>
  <si>
    <t>Alexander Aguila</t>
  </si>
  <si>
    <t>Manila, 951</t>
  </si>
  <si>
    <t>55772</t>
  </si>
  <si>
    <t>271674150</t>
  </si>
  <si>
    <t>NOMBRE RETIRA: PATRICIO ARDILES A RUT RETIRA: 14127403-1</t>
  </si>
  <si>
    <t>Patricio Ardiles Tapia</t>
  </si>
  <si>
    <t>San Gerardo, 1157, Stair Golpear fuerte porton metálico gris</t>
  </si>
  <si>
    <t>55847</t>
  </si>
  <si>
    <t>271674321</t>
  </si>
  <si>
    <t>NOMBRE RETIRA: MARGARITA ROJAS R RUT RETIRA: 65005654-K</t>
  </si>
  <si>
    <t>García hurtado de Mendoza, 7660, Floor 444</t>
  </si>
  <si>
    <t>2026-06-04 14:57</t>
  </si>
  <si>
    <t>55777</t>
  </si>
  <si>
    <t>271673566</t>
  </si>
  <si>
    <t>NOMBRE RETIRA: VICTOR VALDES M RUT RETIRA: 6432092-0</t>
  </si>
  <si>
    <t>VICTOR GABRIEL VALDES ENCINA</t>
  </si>
  <si>
    <t>PADRE LE PAIGE, 1764</t>
  </si>
  <si>
    <t>55846</t>
  </si>
  <si>
    <t>271674289</t>
  </si>
  <si>
    <t>NOMBRE RETIRA: MARCELO LEVIO . RUT RETIRA: 13725694-0</t>
  </si>
  <si>
    <t>marcelo levio castro</t>
  </si>
  <si>
    <t>rancagua, 1415, Floor trabajo, Stair empresa cztokosova</t>
  </si>
  <si>
    <t>2026-06-04 14:56</t>
  </si>
  <si>
    <t>20765</t>
  </si>
  <si>
    <t>271720821</t>
  </si>
  <si>
    <t>NOMBRE RETIRA: MAURICIO TELLES ALARCON RUT RETIRA: 14219158-K</t>
  </si>
  <si>
    <t>PISCINAS FIBRAZUL EIRL</t>
  </si>
  <si>
    <t>55842</t>
  </si>
  <si>
    <t>271674268</t>
  </si>
  <si>
    <t>NOMBRE RETIRA: BAYRON TAPIA A RUT RETIRA: 18540859-0</t>
  </si>
  <si>
    <t>Bayron Tapia</t>
  </si>
  <si>
    <t>El belloto, 3837, Floor Depto 509, Stair Llamar para abrir reja</t>
  </si>
  <si>
    <t>2026-06-04 14:48</t>
  </si>
  <si>
    <t>39854</t>
  </si>
  <si>
    <t>271385270</t>
  </si>
  <si>
    <t>NOMBRE RETIRA: ANDREA ARNABOLDI . . RUT RETIRA: 6849526-1</t>
  </si>
  <si>
    <t>ANDREA ARNABOLDI</t>
  </si>
  <si>
    <t>Riquelme 047</t>
  </si>
  <si>
    <t>55758</t>
  </si>
  <si>
    <t>271673712</t>
  </si>
  <si>
    <t>NOMBRE RETIRA: MARCELA CONTRERAS M RUT RETIRA: 13920656-8</t>
  </si>
  <si>
    <t>Dag Hammarskjold, 3269, Stair Entregar en horario de oficina.</t>
  </si>
  <si>
    <t>55868</t>
  </si>
  <si>
    <t>271686508</t>
  </si>
  <si>
    <t>NOMBRE RETIRA: FRANCISXA SEGUEL . RUT RETIRA: 22152961-8</t>
  </si>
  <si>
    <t>Julio Seguel</t>
  </si>
  <si>
    <t>Juan Esteban Montero, 5583</t>
  </si>
  <si>
    <t>55779</t>
  </si>
  <si>
    <t>271673626</t>
  </si>
  <si>
    <t>NOMBRE RETIRA: IGNACIO RODEIGUEZ A RUT RETIRA: 19658911-2</t>
  </si>
  <si>
    <t>Karol Vasquez</t>
  </si>
  <si>
    <t>Santa Cristina, 3148, Floor 1709</t>
  </si>
  <si>
    <t>55624</t>
  </si>
  <si>
    <t>271549546</t>
  </si>
  <si>
    <t>NOMBRE RETIRA: ALONSO . . RUT RETIRA: 12234990-K</t>
  </si>
  <si>
    <t>Omar Alfonso Soto gomez</t>
  </si>
  <si>
    <t>Lago rupanco 2880, 303, Floor Depto, Stair Lago rupanco con avenida los presidentes</t>
  </si>
  <si>
    <t>2026-06-03 13:30</t>
  </si>
  <si>
    <t>55640</t>
  </si>
  <si>
    <t>271549698</t>
  </si>
  <si>
    <t>NOMBRE RETIRA: DIEGO TAPIA TAPIA RUT RETIRA: 16797697-2</t>
  </si>
  <si>
    <t>Diego Tapia Castillo</t>
  </si>
  <si>
    <t>Cuncumen, 4154</t>
  </si>
  <si>
    <t>2026-06-03 13:36</t>
  </si>
  <si>
    <t>55768</t>
  </si>
  <si>
    <t>271674144</t>
  </si>
  <si>
    <t>NOMBRE RETIRA: MARIA VICTORIA V RUT RETIRA: 18056167-6</t>
  </si>
  <si>
    <t>Pablo Munoz Moraga</t>
  </si>
  <si>
    <t>Pasaje Rosita, 1135</t>
  </si>
  <si>
    <t>55763</t>
  </si>
  <si>
    <t>271673770</t>
  </si>
  <si>
    <t>NOMBRE RETIRA: CARLA COLMENAREA C RUT RETIRA: 53332005-8</t>
  </si>
  <si>
    <t>EMILIO ANDRES MANZUR SANTOS</t>
  </si>
  <si>
    <t>Hipodromo Chile, 1673</t>
  </si>
  <si>
    <t>271673754</t>
  </si>
  <si>
    <t>NOMBRE RETIRA: MARIA BOLANO M RUT RETIRA: 53307082-5</t>
  </si>
  <si>
    <t>Mar Tirreno, 3610, Floor 502-A, Stair Detrás Mall Quilin</t>
  </si>
  <si>
    <t>55749</t>
  </si>
  <si>
    <t>271673546</t>
  </si>
  <si>
    <t>NOMBRE RETIRA: RAFAEL . . RUT RETIRA: 20846697-6</t>
  </si>
  <si>
    <t>Alan Patrick Swain</t>
  </si>
  <si>
    <t>Av Hernando de Aguirre, 848</t>
  </si>
  <si>
    <t>55759</t>
  </si>
  <si>
    <t>271673700</t>
  </si>
  <si>
    <t>NOMBRE RETIRA: NICOLAS POGO M RUT RETIRA: 26161587-8</t>
  </si>
  <si>
    <t>Irlanda Abadie</t>
  </si>
  <si>
    <t>Paul Harris Sur, 424, Floor casa, Stair entre gral balanche y Almte Soblete</t>
  </si>
  <si>
    <t>55760</t>
  </si>
  <si>
    <t>271673737</t>
  </si>
  <si>
    <t>NOMBRE RETIRA: CLAUDIA ESCOBAR O RUT RETIRA: 53331075-3</t>
  </si>
  <si>
    <t>Valeska Espinoza</t>
  </si>
  <si>
    <t>Zañartu, 2132, Floor 805, Stair Dejar en conserjeria</t>
  </si>
  <si>
    <t>2026-06-04 12:18</t>
  </si>
  <si>
    <t>55854</t>
  </si>
  <si>
    <t>271686378</t>
  </si>
  <si>
    <t>NOMBRE RETIRA: NELSON RECIBE PARRA RUT RETIRA: 56034550-K</t>
  </si>
  <si>
    <t>Stella Perry Avila</t>
  </si>
  <si>
    <t>Pedro Canisio, 1213, Floor Dpto 31</t>
  </si>
  <si>
    <t>55865</t>
  </si>
  <si>
    <t>271686472</t>
  </si>
  <si>
    <t>NOMBRE RETIRA: SIMON POLANSKY P RUT RETIRA: 13694704-4</t>
  </si>
  <si>
    <t>Simon Polansky Costa</t>
  </si>
  <si>
    <t>Av. Chamisero, 15900, Floor 33, Stair Condominio mirador de chamisero</t>
  </si>
  <si>
    <t>2026-06-04 17:05</t>
  </si>
  <si>
    <t>55836</t>
  </si>
  <si>
    <t>271674279</t>
  </si>
  <si>
    <t>NOMBRE RETIRA: EVELYN MADARIAGA . RUT RETIRA: 18565592-K</t>
  </si>
  <si>
    <t>evelyn madariaga</t>
  </si>
  <si>
    <t>sucre, 3160, Floor 16D, Stair esquina los leones</t>
  </si>
  <si>
    <t>40255</t>
  </si>
  <si>
    <t>271626490</t>
  </si>
  <si>
    <t>NOMBRE RETIRA: POLET CARMONA . RUT RETIRA: 20248130-2</t>
  </si>
  <si>
    <t>Jean Carlos Villalobos</t>
  </si>
  <si>
    <t>Juan Jose Salinas 1501</t>
  </si>
  <si>
    <t>55853</t>
  </si>
  <si>
    <t>271686179</t>
  </si>
  <si>
    <t>NOMBRE RETIRA: JORGE B J RUT RETIRA: 65139264-0</t>
  </si>
  <si>
    <t>Erwin Rojas Munoz</t>
  </si>
  <si>
    <t>Alonso de Ercilla, 7935, Floor Depto 505, Stair Condominio Alonso de Ercilla</t>
  </si>
  <si>
    <t>55753</t>
  </si>
  <si>
    <t>271673584</t>
  </si>
  <si>
    <t>NOMBRE RETIRA: MANUEL S N RUT RETIRA: 11111111-1</t>
  </si>
  <si>
    <t>Pasaje diecisiete, 1740, Floor 41, Stair Sergio Vásquez Guzmán</t>
  </si>
  <si>
    <t>55863</t>
  </si>
  <si>
    <t>271686562</t>
  </si>
  <si>
    <t>NOMBRE RETIRA: VERONICA MOYA VWCINA . RUT RETIRA: 15360436-3</t>
  </si>
  <si>
    <t>CHRISTOPHER OSWIN SEPULVEDA</t>
  </si>
  <si>
    <t>Algarrobito, 2864</t>
  </si>
  <si>
    <t>2026-06-04 17:32</t>
  </si>
  <si>
    <t>40033</t>
  </si>
  <si>
    <t>271390674</t>
  </si>
  <si>
    <t>NOMBRE RETIRA: DAVID MARTINEZ . RUT RETIRA: 16131744-6</t>
  </si>
  <si>
    <t>David Martínez Morales</t>
  </si>
  <si>
    <t>Caupolicán 1177</t>
  </si>
  <si>
    <t>55752</t>
  </si>
  <si>
    <t>271673578</t>
  </si>
  <si>
    <t>NOMBRE RETIRA: DIEGO CASTRO C RUT RETIRA: 18118431-0</t>
  </si>
  <si>
    <t>LORETO PAOLA</t>
  </si>
  <si>
    <t>araucania, 8467</t>
  </si>
  <si>
    <t>55750</t>
  </si>
  <si>
    <t>271673550</t>
  </si>
  <si>
    <t>NOMBRE RETIRA: ARTUR SWAIN . RUT RETIRA: 21745364-K</t>
  </si>
  <si>
    <t>55860</t>
  </si>
  <si>
    <t>271686532</t>
  </si>
  <si>
    <t>NOMBRE RETIRA: ANA GOMEZ A RUT RETIRA: 56038920-5</t>
  </si>
  <si>
    <t>German Sandoval Mitnik</t>
  </si>
  <si>
    <t>DIEGO DE DEZA, 1100, Floor 901</t>
  </si>
  <si>
    <t>2026-06-04 17:15</t>
  </si>
  <si>
    <t>55835</t>
  </si>
  <si>
    <t>271674275</t>
  </si>
  <si>
    <t>NOMBRE RETIRA: PATRICI NU N RUT RETIRA: 11111111-1</t>
  </si>
  <si>
    <t>Patricia Nunez</t>
  </si>
  <si>
    <t>Las Brumas, 5140 E</t>
  </si>
  <si>
    <t>55766</t>
  </si>
  <si>
    <t>271674519</t>
  </si>
  <si>
    <t>NOMBRE RETIRA: CARMEN 297 . . RUT RETIRA: 65018713-K</t>
  </si>
  <si>
    <t>Marien Carruyo Moran</t>
  </si>
  <si>
    <t>Carmen, 297, Floor 510, Stair Dejar en conserjería</t>
  </si>
  <si>
    <t>2026-06-04 16:00</t>
  </si>
  <si>
    <t>55774</t>
  </si>
  <si>
    <t>271674170</t>
  </si>
  <si>
    <t>NOMBRE RETIRA: CARLOS GUSMAN M RUT RETIRA: 9255868-1</t>
  </si>
  <si>
    <t>Lo Pinto, 2014, Floor Casa 32, Stair Condominio Las Encinas</t>
  </si>
  <si>
    <t>55618</t>
  </si>
  <si>
    <t>271548887</t>
  </si>
  <si>
    <t>NOMBRE RETIRA: VIOLETA CORREA J RUT RETIRA: 21693266-8</t>
  </si>
  <si>
    <t>Daniela Magnasco</t>
  </si>
  <si>
    <t>Ruben dario norte, 34, Floor Casa</t>
  </si>
  <si>
    <t>55858</t>
  </si>
  <si>
    <t>271686479</t>
  </si>
  <si>
    <t>NOMBRE RETIRA: MARI AR L RUT RETIRA: 53312987-0</t>
  </si>
  <si>
    <t>laura jeria</t>
  </si>
  <si>
    <t>Suárez mujica, 411, Floor 612, Stair Dejar en conserjería</t>
  </si>
  <si>
    <t>55851</t>
  </si>
  <si>
    <t>271686157</t>
  </si>
  <si>
    <t>NOMBRE RETIRA: MARISOL LEPE . RUT RETIRA: 53309146-6</t>
  </si>
  <si>
    <t>JOANNA SALGADO JARA</t>
  </si>
  <si>
    <t>santa isabel, 765, Floor 308, Stair SANTIAGO CENTRO</t>
  </si>
  <si>
    <t>2026-06-04 16:51</t>
  </si>
  <si>
    <t>55849</t>
  </si>
  <si>
    <t>271686106</t>
  </si>
  <si>
    <t>NOMBRE RETIRA: LEONOR BERRIOS A RUT RETIRA: 8120478-0</t>
  </si>
  <si>
    <t>LEONOR BERRIOS</t>
  </si>
  <si>
    <t>Diagonal Oriente, 5646, Floor Casa F</t>
  </si>
  <si>
    <t>18875</t>
  </si>
  <si>
    <t>271619499</t>
  </si>
  <si>
    <t>NOMBRE RETIRA: YENNY MORENO NDA RUT RETIRA: 14698243-3</t>
  </si>
  <si>
    <t>Laura Pardo</t>
  </si>
  <si>
    <t>Bartolo Soto 3911, Depto 21</t>
  </si>
  <si>
    <t>55764</t>
  </si>
  <si>
    <t>271673800</t>
  </si>
  <si>
    <t>NOMBRE RETIRA: MARIO FLOREZ J RUT RETIRA: 12464226-4</t>
  </si>
  <si>
    <t>Mario Flores Reyes</t>
  </si>
  <si>
    <t>Violeta Parra, 378, Floor Casa</t>
  </si>
  <si>
    <t>55869</t>
  </si>
  <si>
    <t>271686550</t>
  </si>
  <si>
    <t>Roberto Avila Rios</t>
  </si>
  <si>
    <t>Teresa Vial, 1400, Floor 402</t>
  </si>
  <si>
    <t>2026-06-04 17:21</t>
  </si>
  <si>
    <t>55761</t>
  </si>
  <si>
    <t>271673709</t>
  </si>
  <si>
    <t>NOMBRE RETIRA: LINA GRIAALEA G RUT RETIRA: 65079795-7</t>
  </si>
  <si>
    <t>Nelly Aravena</t>
  </si>
  <si>
    <t>Nueva Andrés Bello, 1860, Floor 103</t>
  </si>
  <si>
    <t>55776</t>
  </si>
  <si>
    <t>271674207</t>
  </si>
  <si>
    <t>NOMBRE RETIRA: JESUS ANCHES U RUT RETIRA: 53308167-3</t>
  </si>
  <si>
    <t>CRISTIAN MAURICIO RUBIO GONZAL</t>
  </si>
  <si>
    <t>AVD BLANCO ENCALADA 2007 2007, 1309, null</t>
  </si>
  <si>
    <t>55852</t>
  </si>
  <si>
    <t>271686163</t>
  </si>
  <si>
    <t>NOMBRE RETIRA: MANUEL FUENTES . RUT RETIRA: 53303009-2</t>
  </si>
  <si>
    <t>Luis Fuentes Ramirez</t>
  </si>
  <si>
    <t>CALLAO, 3366, Floor 62, Stair Dejar en conserjería</t>
  </si>
  <si>
    <t>2026-06-04 16:52</t>
  </si>
  <si>
    <t>55767</t>
  </si>
  <si>
    <t>271674156</t>
  </si>
  <si>
    <t>NOMBRE RETIRA: ALEJANDRA CRISTOBALI A RUT RETIRA: 11403521-1</t>
  </si>
  <si>
    <t>Séptimo de Línea, 181, Floor Casa, Stair Llamar al llegar, comuna Quilicura</t>
  </si>
  <si>
    <t>55755</t>
  </si>
  <si>
    <t>271673663</t>
  </si>
  <si>
    <t>NOMBRE RETIRA: SYLVIA G H RUT RETIRA: 20420497-7</t>
  </si>
  <si>
    <t>Sylvia Horta</t>
  </si>
  <si>
    <t>pasaje puerto elvira, 0599, Stair entre lo marcoleta y valpariso</t>
  </si>
  <si>
    <t>55861</t>
  </si>
  <si>
    <t>271686541</t>
  </si>
  <si>
    <t>NOMBRE RETIRA: JORGE CHAVEZ . RUT RETIRA: 22086199-6</t>
  </si>
  <si>
    <t>Mary Sol Giraldo lopez</t>
  </si>
  <si>
    <t>avenida irarrazaval, 2042, Floor 301</t>
  </si>
  <si>
    <t>2026-06-04 17:16</t>
  </si>
  <si>
    <t>55636</t>
  </si>
  <si>
    <t>271549957</t>
  </si>
  <si>
    <t>Julio Marquez Rojas</t>
  </si>
  <si>
    <t>Sendero el Jardín Sur, 8043</t>
  </si>
  <si>
    <t>55859</t>
  </si>
  <si>
    <t>271686466</t>
  </si>
  <si>
    <t>NOMBRE RETIRA: FEDERICO CACERES A RUT RETIRA: 7077272-8</t>
  </si>
  <si>
    <t>Monica Cortes Lacoste</t>
  </si>
  <si>
    <t>Medinacelli, 1303, Floor Casa</t>
  </si>
  <si>
    <t>55765</t>
  </si>
  <si>
    <t>271674134</t>
  </si>
  <si>
    <t>NOMBRE RETIRA: CONI FERNQNDEZ . RUT RETIRA: 17908516-K</t>
  </si>
  <si>
    <t>Connie Fernandez canelo</t>
  </si>
  <si>
    <t>Pasaje valle de atacama, 692, Floor Casa, Stair Calle principal Balmaceda villa parque lampa II</t>
  </si>
  <si>
    <t>55850</t>
  </si>
  <si>
    <t>271686138</t>
  </si>
  <si>
    <t>NOMBRE RETIRA: GABRILA MONSON A RUT RETIRA: 19566894-9</t>
  </si>
  <si>
    <t>JOSE GAVILAN HUAIQUIFIL</t>
  </si>
  <si>
    <t>general prieto, 1717, Floor 206</t>
  </si>
  <si>
    <t>55757</t>
  </si>
  <si>
    <t>271673649</t>
  </si>
  <si>
    <t>NOMBRE RETIRA: MANUEL ROJAS A RUT RETIRA: 14127403-1</t>
  </si>
  <si>
    <t>Gervasio Bastian Lillo Parra</t>
  </si>
  <si>
    <t>Avenida el guanaco, 2650,  Regimiento ejército</t>
  </si>
  <si>
    <t>55773</t>
  </si>
  <si>
    <t>271674169</t>
  </si>
  <si>
    <t>NOMBRE RETIRA: DAYSY CARVAJAL C RUT RETIRA: 16592803-2</t>
  </si>
  <si>
    <t>Daisy CARVAJAL hidalgo</t>
  </si>
  <si>
    <t>Canal Ortuzano, 2023</t>
  </si>
  <si>
    <t>55639</t>
  </si>
  <si>
    <t>271549622</t>
  </si>
  <si>
    <t>NOMBRE RETIRA: PATRIOCIO . GALLARDO RUT RETIRA: 8408834-K</t>
  </si>
  <si>
    <t>Patricio Gallardo Parada</t>
  </si>
  <si>
    <t>El Quisco, 7925</t>
  </si>
  <si>
    <t>55855</t>
  </si>
  <si>
    <t>271686430</t>
  </si>
  <si>
    <t>NOMBRE RETIRA: CRISTIAN GONZALEZ J RUT RETIRA: 65028282-5</t>
  </si>
  <si>
    <t>Av La Montaña, 3650, Floor Casa 50 A</t>
  </si>
  <si>
    <t>55754</t>
  </si>
  <si>
    <t>271673611</t>
  </si>
  <si>
    <t>NOMBRE RETIRA: NEORLIS ROJAS . RUT RETIRA: 65189028-4</t>
  </si>
  <si>
    <t>Karina Puelles</t>
  </si>
  <si>
    <t>Coronel Robles, 1140, Floor 609</t>
  </si>
  <si>
    <t>18766</t>
  </si>
  <si>
    <t>271557941</t>
  </si>
  <si>
    <t>NOMBRE RETIRA: RONAL ROMERO B B RUT RETIRA: 53313395-9</t>
  </si>
  <si>
    <t>Catalina Anabalon Figueroa</t>
  </si>
  <si>
    <t>Carlos Pena Otaegui sur 2900 casa 54,</t>
  </si>
  <si>
    <t>55857</t>
  </si>
  <si>
    <t>271686457</t>
  </si>
  <si>
    <t>NOMBRE RETIRA: HUGO ARREDONDO . RUT RETIRA: 20188220-6</t>
  </si>
  <si>
    <t>Jimena Vera</t>
  </si>
  <si>
    <t>Calle Arquitecto Juan Herbage, 6149</t>
  </si>
  <si>
    <t>55775</t>
  </si>
  <si>
    <t>271674183</t>
  </si>
  <si>
    <t>NOMBRE RETIRA: DIGNA ZAMORANO . RUT RETIRA: 8433320-4</t>
  </si>
  <si>
    <t>Digna Zamorano</t>
  </si>
  <si>
    <t>Av Carlos Valdovinos, 1868, Floor Casa</t>
  </si>
  <si>
    <t>55841</t>
  </si>
  <si>
    <t>271674246</t>
  </si>
  <si>
    <t>NOMBRE RETIRA: DIANA PEREZ B RUT RETIRA: 65173776-1</t>
  </si>
  <si>
    <t>av ossa, 1400, Floor 505</t>
  </si>
  <si>
    <t>55843</t>
  </si>
  <si>
    <t>271674296</t>
  </si>
  <si>
    <t>NOMBRE RETIRA: ISABEL BERDICHEVSKY . RUT RETIRA: 20188220-6</t>
  </si>
  <si>
    <t>Isabel Berdichevsky</t>
  </si>
  <si>
    <t>Senegal Norte, 2532, Floor Casa</t>
  </si>
  <si>
    <t>55778</t>
  </si>
  <si>
    <t>271674220</t>
  </si>
  <si>
    <t>40105</t>
  </si>
  <si>
    <t>271506851</t>
  </si>
  <si>
    <t>NOMBRE RETIRA: ARTURO MIQUEO KN RUT RETIRA: 15312157-5</t>
  </si>
  <si>
    <t>Loreto Vial</t>
  </si>
  <si>
    <t>Santa teresa de tango 3604, parcela 4</t>
  </si>
  <si>
    <t>55870</t>
  </si>
  <si>
    <t>271686573</t>
  </si>
  <si>
    <t>NOMBRE RETIRA: PATRICIO GARTI B RUT RETIRA: 12028236-0</t>
  </si>
  <si>
    <t>Rodrigo Del Solar</t>
  </si>
  <si>
    <t>Renato Sanchez, 3424, Floor depto 32</t>
  </si>
  <si>
    <t>55864</t>
  </si>
  <si>
    <t>271686567</t>
  </si>
  <si>
    <t>NOMBRE RETIRA: ANDREA ZAMBRANO AA RUT RETIRA: 96678350-8</t>
  </si>
  <si>
    <t>cristobal rebolledo fernandez</t>
  </si>
  <si>
    <t>Maria auxiliadora, 975, Floor 320, Stair Dejar en Recepción</t>
  </si>
  <si>
    <t>2026-06-04 17:33</t>
  </si>
  <si>
    <t>55519</t>
  </si>
  <si>
    <t>271507929</t>
  </si>
  <si>
    <t>NOMBRE RETIRA: VERONICA PATEXEA . RUT RETIRA: 19398934-9</t>
  </si>
  <si>
    <t>Mauricio Pena Bonilla</t>
  </si>
  <si>
    <t>Pasaje Andrés bello, 2455</t>
  </si>
  <si>
    <t>55642</t>
  </si>
  <si>
    <t>271549711</t>
  </si>
  <si>
    <t>NOMBRE RETIRA: MARIEL CACERES . RUT RETIRA: 53326043-8</t>
  </si>
  <si>
    <t>Miguel Alejandro Gutierrez Quijon</t>
  </si>
  <si>
    <t>Santa Elisa, 129, Floor Depto 1115</t>
  </si>
  <si>
    <t>55627</t>
  </si>
  <si>
    <t>271549626</t>
  </si>
  <si>
    <t>NOMBRE RETIRA: . . . RUT RETIRA: 20846697-6</t>
  </si>
  <si>
    <t>Mathias Jana</t>
  </si>
  <si>
    <t>Suecia, 1135, Floor Dpto 305, Stair Dejar en conserjería</t>
  </si>
  <si>
    <t>55626</t>
  </si>
  <si>
    <t>271549587</t>
  </si>
  <si>
    <t>NOMBRE RETIRA: . . R RUT RETIRA: 20846697-6</t>
  </si>
  <si>
    <t>55614</t>
  </si>
  <si>
    <t>271548837</t>
  </si>
  <si>
    <t>NOMBRE RETIRA: JESUS MANTILLA COMSERJE RUT RETIRA: 53241500-4</t>
  </si>
  <si>
    <t>Lili Saavedra Fernandez</t>
  </si>
  <si>
    <t>Mosqueto, 562, Floor 122</t>
  </si>
  <si>
    <t>2026-06-03 13:05</t>
  </si>
  <si>
    <t>55617</t>
  </si>
  <si>
    <t>271548913</t>
  </si>
  <si>
    <t>NOMBRE RETIRA: LUIS SALDOVAL M RUT RETIRA: 53324898-5</t>
  </si>
  <si>
    <t>Lucas Jaime</t>
  </si>
  <si>
    <t>Carol Urzua, 7039, Floor 406C</t>
  </si>
  <si>
    <t>55619</t>
  </si>
  <si>
    <t>271548891</t>
  </si>
  <si>
    <t>NOMBRE RETIRA: PEDRO PABLO A RUT RETIRA: 22044887-8</t>
  </si>
  <si>
    <t>Maria Sandoval Soto</t>
  </si>
  <si>
    <t>camino de cintura, 1470, Floor 402 B, Stair Condominio mirador de huechuraba</t>
  </si>
  <si>
    <t>55611</t>
  </si>
  <si>
    <t>271548866</t>
  </si>
  <si>
    <t>NOMBRE RETIRA: EXEQUIEL RODRIGUEZ R RUT RETIRA: 26782228-K</t>
  </si>
  <si>
    <t>MIGUEL REYES PARADA</t>
  </si>
  <si>
    <t>Exequiel Fernandez, 1482, Floor 501</t>
  </si>
  <si>
    <t>55638</t>
  </si>
  <si>
    <t>271548845</t>
  </si>
  <si>
    <t>NOMBRE RETIRA: JOSE JORQUERA PORTERIA . RUT RETIRA: 53332288-3</t>
  </si>
  <si>
    <t>Cesar Bahamondes Ortega</t>
  </si>
  <si>
    <t>san benito, 790,  C 308,</t>
  </si>
  <si>
    <t>2026-06-03 13:07</t>
  </si>
  <si>
    <t>55621</t>
  </si>
  <si>
    <t>271548940</t>
  </si>
  <si>
    <t>NOMBRE RETIRA: MARIA GPMEZ G RUT RETIRA: 11111111-1</t>
  </si>
  <si>
    <t>MARIA BELEN GOMEZ MONTECINOS</t>
  </si>
  <si>
    <t>CHILE ESPAÑA, 520, Floor 504</t>
  </si>
  <si>
    <t>55668</t>
  </si>
  <si>
    <t>271550058</t>
  </si>
  <si>
    <t>NOMBRE RETIRA: PEDRO TIRANO . RUT RETIRA: 15379424-3</t>
  </si>
  <si>
    <t>Pedro Tironi</t>
  </si>
  <si>
    <t>Clovis Montero, 275, Floor 04</t>
  </si>
  <si>
    <t>55625</t>
  </si>
  <si>
    <t>271549574</t>
  </si>
  <si>
    <t>NOMBRE RETIRA: MAMERTO ROSALES CONSERJE RUT RETIRA: 56012600-K</t>
  </si>
  <si>
    <t>Maria Jose TURINA</t>
  </si>
  <si>
    <t>Mayecura, 1177, Floor 1401</t>
  </si>
  <si>
    <t>55632</t>
  </si>
  <si>
    <t>271549671</t>
  </si>
  <si>
    <t>NOMBRE RETIRA: GIOVANNA ACHA L RUT RETIRA: 53335771-7</t>
  </si>
  <si>
    <t>Los clarines, 3078, Floor 812</t>
  </si>
  <si>
    <t>18735</t>
  </si>
  <si>
    <t>271514901</t>
  </si>
  <si>
    <t>NOMBRE RETIRA: CLAUDIO SANZANA . RUT RETIRA: 12513295-2</t>
  </si>
  <si>
    <t>Paula Venenciano Perez</t>
  </si>
  <si>
    <t>Pasaje Almirante Grau 1808, Población Manuel Baquedano</t>
  </si>
  <si>
    <t>55669</t>
  </si>
  <si>
    <t>271550043</t>
  </si>
  <si>
    <t>NOMBRE RETIRA: JOSE . . RUT RETIRA: 13435821-1</t>
  </si>
  <si>
    <t>Jose Fernandez</t>
  </si>
  <si>
    <t>Talagante, 3315,</t>
  </si>
  <si>
    <t>55630</t>
  </si>
  <si>
    <t>271549657</t>
  </si>
  <si>
    <t>NOMBRE RETIRA: MARTIN GUZMAN . RUT RETIRA: 22312929-3</t>
  </si>
  <si>
    <t>Martin Guzman</t>
  </si>
  <si>
    <t>Vilupulli, 1625, Floor Casa, Stair Casa porton rojo</t>
  </si>
  <si>
    <t>55634</t>
  </si>
  <si>
    <t>271549941</t>
  </si>
  <si>
    <t>NOMBRE RETIRA: LIDIA RODRIGUZ . RUT RETIRA: 12323768-4</t>
  </si>
  <si>
    <t>Aaron Barrueto</t>
  </si>
  <si>
    <t>Membrillar, 5809, Stair Casa esquina, reja ploma.</t>
  </si>
  <si>
    <t>55667</t>
  </si>
  <si>
    <t>271550032</t>
  </si>
  <si>
    <t>NOMBRE RETIRA: RODRIGO FLORMENTIL . RUT RETIRA: 12920205-K</t>
  </si>
  <si>
    <t>18377</t>
  </si>
  <si>
    <t>2292669260</t>
  </si>
  <si>
    <t>Matias Eduardo Faundez Villarroel</t>
  </si>
  <si>
    <t>Pedro Leon Gallo 1050 Depto 722</t>
  </si>
  <si>
    <t>2026-05-22 09:30</t>
  </si>
  <si>
    <t>55629</t>
  </si>
  <si>
    <t>271549644</t>
  </si>
  <si>
    <t>NOMBRE RETIRA: MARIO ROSSI G RUT RETIRA: 15841183-0</t>
  </si>
  <si>
    <t>Mario Rossi</t>
  </si>
  <si>
    <t>Av Jose Pedro Alessandri, 605, Floor Depto 1801</t>
  </si>
  <si>
    <t>55616</t>
  </si>
  <si>
    <t>271548903</t>
  </si>
  <si>
    <t>NOMBRE RETIRA: MAXIMILIANO P T RUT RETIRA: 19419776-4</t>
  </si>
  <si>
    <t>Maximiliano Dureaux Flores</t>
  </si>
  <si>
    <t>calle 465, 5241</t>
  </si>
  <si>
    <t>40177</t>
  </si>
  <si>
    <t>271506280</t>
  </si>
  <si>
    <t>NOMBRE RETIRA: LUIGUI AEGENTA M RUT RETIRA: 7687244-9</t>
  </si>
  <si>
    <t>Luigi Argenta</t>
  </si>
  <si>
    <t>Callejón Silva parcela 10 C</t>
  </si>
  <si>
    <t>18711</t>
  </si>
  <si>
    <t>271408532</t>
  </si>
  <si>
    <t>NOMBRE RETIRA: FELIPE MELLAFE . RUT RETIRA: 17387921-0</t>
  </si>
  <si>
    <t>Felipe Mellafe</t>
  </si>
  <si>
    <t>Camino el bajo 46, Condominio Cantagua casa 53</t>
  </si>
  <si>
    <t>55633</t>
  </si>
  <si>
    <t>271549707</t>
  </si>
  <si>
    <t>NOMBRE RETIRA: GUSTAVO ALPACHIN CONSERJE RUT RETIRA: 27947301-9</t>
  </si>
  <si>
    <t>Andrea Ortega</t>
  </si>
  <si>
    <t>Domingo Bondi, 1155, Floor 205, Stair Dejar en conserjeria</t>
  </si>
  <si>
    <t>55622</t>
  </si>
  <si>
    <t>271549471</t>
  </si>
  <si>
    <t>NOMBRE RETIRA: MARIA FERNANDA ROMERO RUT RETIRA: 13694704-4</t>
  </si>
  <si>
    <t>Alejandro Urzua</t>
  </si>
  <si>
    <t>opalo, 10593, Stair Condominio La Reserva de Chicureo</t>
  </si>
  <si>
    <t>55612</t>
  </si>
  <si>
    <t>271548815</t>
  </si>
  <si>
    <t>NOMBRE RETIRA: RICARDO VALLADARES V RUT RETIRA: 21212484-2</t>
  </si>
  <si>
    <t>Alejandro Dominguez</t>
  </si>
  <si>
    <t>Caupolican, 9701</t>
  </si>
  <si>
    <t>55620</t>
  </si>
  <si>
    <t>271548953</t>
  </si>
  <si>
    <t>NOMBRE RETIRA: PARQUE ATAHUALPA . . RUT RETIRA: 56062140-K</t>
  </si>
  <si>
    <t>Janet Fuenzalida</t>
  </si>
  <si>
    <t>Atahualpa, 235, Floor Depto 304B</t>
  </si>
  <si>
    <t>55628</t>
  </si>
  <si>
    <t>271549630</t>
  </si>
  <si>
    <t>NOMBRE RETIRA: CARMEN RUIZ R RUT RETIRA: 18056167-6</t>
  </si>
  <si>
    <t>Gabriela Campos</t>
  </si>
  <si>
    <t>Veinte Norte, 1085</t>
  </si>
  <si>
    <t>2026-06-03 13:39</t>
  </si>
  <si>
    <t>55644</t>
  </si>
  <si>
    <t>271549998</t>
  </si>
  <si>
    <t>NOMBRE RETIRA: ANDRES SILVA A RUT RETIRA: 82281800-5</t>
  </si>
  <si>
    <t>Maria Ignacia Rivera</t>
  </si>
  <si>
    <t>Av. San Martin, 540, Floor 52B</t>
  </si>
  <si>
    <t>2026-06-03 13:57</t>
  </si>
  <si>
    <t>55615</t>
  </si>
  <si>
    <t>271548857</t>
  </si>
  <si>
    <t>NOMBRE RETIRA: MARCELO MUNOZ M RUT RETIRA: 56062670-3</t>
  </si>
  <si>
    <t>Lismel Velasquez Mehriz</t>
  </si>
  <si>
    <t>Avenida Quilín, 4985, Floor K42</t>
  </si>
  <si>
    <t>2026-06-03 13:10</t>
  </si>
  <si>
    <t>40174</t>
  </si>
  <si>
    <t>271506245</t>
  </si>
  <si>
    <t>NOMBRE RETIRA: BLADIMIR PULGAR .. RUT RETIRA: 7212417-0</t>
  </si>
  <si>
    <t>Wladimir Pulgar Zafira</t>
  </si>
  <si>
    <t>Jacinto Benavente 3511 Parque Alcántara</t>
  </si>
  <si>
    <t>55645</t>
  </si>
  <si>
    <t>271549968</t>
  </si>
  <si>
    <t>NOMBRE RETIRA: FRISSY GARCIA N RUT RETIRA: 12864334-6</t>
  </si>
  <si>
    <t>Frissy Garcia</t>
  </si>
  <si>
    <t>los militares, 8593</t>
  </si>
  <si>
    <t>20708</t>
  </si>
  <si>
    <t>271506200</t>
  </si>
  <si>
    <t>NOMBRE RETIRA: JOB ULLOA . RUT RETIRA: 13658670-K</t>
  </si>
  <si>
    <t>Job Ulloa muñoz</t>
  </si>
  <si>
    <t>Calle nueva seis 3205</t>
  </si>
  <si>
    <t>2026-06-03 10:17</t>
  </si>
  <si>
    <t>55613</t>
  </si>
  <si>
    <t>271548810</t>
  </si>
  <si>
    <t>NOMBRE RETIRA: MARIA I I RUT RETIRA: 18223460-5</t>
  </si>
  <si>
    <t>Maria Ignacia Anex-dit-Chenaud</t>
  </si>
  <si>
    <t>Zaragoza, 8626</t>
  </si>
  <si>
    <t>55356</t>
  </si>
  <si>
    <t>271382384</t>
  </si>
  <si>
    <t>NOMBRE RETIRA: MARIA . . RUT RETIRA: 5333162-9</t>
  </si>
  <si>
    <t>Maria Ximena Vidal Zamudio</t>
  </si>
  <si>
    <t>Dávila Larraín, 1995</t>
  </si>
  <si>
    <t>55643</t>
  </si>
  <si>
    <t>271549759</t>
  </si>
  <si>
    <t>NOMBRE RETIRA: NELY ELLY SEBALLOS KN M RUT RETIRA: 65292000-4</t>
  </si>
  <si>
    <t>LUZ OYARZUN</t>
  </si>
  <si>
    <t>San Rafael Sur, 77, Stair Condominio Barrio Central</t>
  </si>
  <si>
    <t>55631</t>
  </si>
  <si>
    <t>271549663</t>
  </si>
  <si>
    <t>NOMBRE RETIRA: ITALIA VILCHEZ . RUT RETIRA: 10393693-4</t>
  </si>
  <si>
    <t>Italia Vilches</t>
  </si>
  <si>
    <t>Cerro Murallón, 2643, Stair Casa aislada frente a plaza. Reja de muro y madera</t>
  </si>
  <si>
    <t>2026-06-03 13:43</t>
  </si>
  <si>
    <t>55623</t>
  </si>
  <si>
    <t>271549541</t>
  </si>
  <si>
    <t>NOMBRE RETIRA: ANDREA VALENZUELA . RUT RETIRA: 10393693-4</t>
  </si>
  <si>
    <t>Andrea Valenzuela</t>
  </si>
  <si>
    <t>Obispo Javier Vásquez Valencia, 0205, Floor Casa</t>
  </si>
  <si>
    <t>55641</t>
  </si>
  <si>
    <t>271549729</t>
  </si>
  <si>
    <t>NOMBRE RETIRA: ALEJANDRO BAEZA A RUT RETIRA: 56038680-K</t>
  </si>
  <si>
    <t>Alejandra Nunez</t>
  </si>
  <si>
    <t>LAS NIEVES, 3550, Floor 92</t>
  </si>
  <si>
    <t>20711</t>
  </si>
  <si>
    <t>271506232</t>
  </si>
  <si>
    <t>NOMBRE RETIRA: MARCELO TORRES CONSERJE RUT RETIRA: 9885581-5</t>
  </si>
  <si>
    <t>Viviana Ormeño</t>
  </si>
  <si>
    <t>calle Inglaterra 895 Edificio Life en Temuco</t>
  </si>
  <si>
    <t>55498</t>
  </si>
  <si>
    <t>271507884</t>
  </si>
  <si>
    <t>NOMBRE RETIRA: SERGIO PIZARRO F RUT RETIRA: 65199872-7</t>
  </si>
  <si>
    <t>marisol contreras</t>
  </si>
  <si>
    <t>geronimo de alderete, 1800, DEPTO 811B, geronimo con avenida la florida, condominio aliwen</t>
  </si>
  <si>
    <t>55539</t>
  </si>
  <si>
    <t>271508024</t>
  </si>
  <si>
    <t>NOMBRE RETIRA: HANS CONTRERAS X RUT RETIRA: 76211240-K</t>
  </si>
  <si>
    <t>Hans Contreras Carrasco</t>
  </si>
  <si>
    <t>Heroe Bernardo Laque, 428,</t>
  </si>
  <si>
    <t>55530</t>
  </si>
  <si>
    <t>271508032</t>
  </si>
  <si>
    <t>NOMBRE RETIRA: RURBERT O CONSERJE RUT RETIRA: 65084224-3</t>
  </si>
  <si>
    <t>Oneida Vasquez</t>
  </si>
  <si>
    <t>San Diego, 1473, DEPTO 1325</t>
  </si>
  <si>
    <t>271386035</t>
  </si>
  <si>
    <t>NOMBRE RETIRA: MARIANA VARRIENTOS 0 RUT RETIRA: 11714421-6</t>
  </si>
  <si>
    <t>PIROSKA KARAKAY</t>
  </si>
  <si>
    <t>LOS CASTAÑOS S/N CONDOMINIO MIRADOR DE PUERTO VARAS TORRE C DEPTO 102 (RESTORAN LA OLLA)</t>
  </si>
  <si>
    <t>55510</t>
  </si>
  <si>
    <t>271507949</t>
  </si>
  <si>
    <t>LUCIA ASTUDILLO SEPULVEDA</t>
  </si>
  <si>
    <t>PUERTO WILLIAMS, 6692</t>
  </si>
  <si>
    <t>2026-06-03 10:16</t>
  </si>
  <si>
    <t>55514</t>
  </si>
  <si>
    <t>271507958</t>
  </si>
  <si>
    <t>NOMBRE RETIRA: CLAUDDIA SOTO S RUT RETIRA: 12234792-3</t>
  </si>
  <si>
    <t>Alexis Torres Anabalon</t>
  </si>
  <si>
    <t>Perdices, 21</t>
  </si>
  <si>
    <t>55516</t>
  </si>
  <si>
    <t>271507974</t>
  </si>
  <si>
    <t>NOMBRE RETIRA: FERNANDO LILLO O RUT RETIRA: 21187048-6</t>
  </si>
  <si>
    <t>Karen Salguero</t>
  </si>
  <si>
    <t>vasco nuñez de balboa 4852,</t>
  </si>
  <si>
    <t>55505</t>
  </si>
  <si>
    <t>271507911</t>
  </si>
  <si>
    <t>NOMBRE RETIRA: ADRIANA CALDERON . RUT RETIRA: 56062540-5</t>
  </si>
  <si>
    <t>Cecilia Pizarro vegas</t>
  </si>
  <si>
    <t>Avenida Pedro de Valdivia, 4013, DEPTO 502</t>
  </si>
  <si>
    <t>2026-06-03 10:11</t>
  </si>
  <si>
    <t>55371</t>
  </si>
  <si>
    <t>271382858</t>
  </si>
  <si>
    <t>NOMBRE RETIRA: MARCELA VERGARA A RUT RETIRA: 53336814-K</t>
  </si>
  <si>
    <t>Sergio Madrid</t>
  </si>
  <si>
    <t>Pedro de valdivia, 2765, DEPTO 211</t>
  </si>
  <si>
    <t>2026-06-01 17:22</t>
  </si>
  <si>
    <t>55501</t>
  </si>
  <si>
    <t>271507890</t>
  </si>
  <si>
    <t>NOMBRE RETIRA: JORGE ROSALES .. RUT RETIRA: 56057220-4</t>
  </si>
  <si>
    <t>Roman Salazar Rivas</t>
  </si>
  <si>
    <t>10 de julio, 1133, depto. 202B sector 3</t>
  </si>
  <si>
    <t>55492</t>
  </si>
  <si>
    <t>271507870</t>
  </si>
  <si>
    <t>NOMBRE RETIRA: CINTHIA PALACIOS . RUT RETIRA: 10331557-3</t>
  </si>
  <si>
    <t>Cynthia Palacios</t>
  </si>
  <si>
    <t>Lago lucerna, 10306</t>
  </si>
  <si>
    <t>55489</t>
  </si>
  <si>
    <t>271507863</t>
  </si>
  <si>
    <t>NOMBRE RETIRA: SEGUNDO CUEVAS . RUT RETIRA: 56049230-8</t>
  </si>
  <si>
    <t>sandra fuenzalida</t>
  </si>
  <si>
    <t>avda las perdices, 0771,  casa R</t>
  </si>
  <si>
    <t>55525</t>
  </si>
  <si>
    <t>271508005</t>
  </si>
  <si>
    <t>NOMBRE RETIRA: SILVIA OLGUIN O RUT RETIRA: 16592803-2</t>
  </si>
  <si>
    <t>Nicolas Escobedo</t>
  </si>
  <si>
    <t>Carlos riesco, 1328,</t>
  </si>
  <si>
    <t>55360</t>
  </si>
  <si>
    <t>271382441</t>
  </si>
  <si>
    <t>NOMBRE RETIRA: EDIFICIP NORUEGA . RUT RETIRA: 53301127-6</t>
  </si>
  <si>
    <t>SARA RIGOLLET BRAVO</t>
  </si>
  <si>
    <t>NORUEGA, 6470, Floor 403</t>
  </si>
  <si>
    <t>20725</t>
  </si>
  <si>
    <t>271506242</t>
  </si>
  <si>
    <t>NOMBRE RETIRA: EDITH OLIVERA A RUT RETIRA: 10228990-0</t>
  </si>
  <si>
    <t>Pamela Tapia Vera</t>
  </si>
  <si>
    <t>7 norte 645 of 1003</t>
  </si>
  <si>
    <t>20707</t>
  </si>
  <si>
    <t>271506213</t>
  </si>
  <si>
    <t>NOMBRE RETIRA: JOMATHAN CAMARGO . RUT RETIRA: 29155278-1</t>
  </si>
  <si>
    <t>GONZALO CERDA</t>
  </si>
  <si>
    <t>camino de Rosario a Quinta de Tilcoco 1761</t>
  </si>
  <si>
    <t>2026-06-03 10:15</t>
  </si>
  <si>
    <t>55534</t>
  </si>
  <si>
    <t>271508037</t>
  </si>
  <si>
    <t>NOMBRE RETIRA: LEONEL SANCHEZ . . RUT RETIRA: 65123590-1</t>
  </si>
  <si>
    <t>Marcela Cordova</t>
  </si>
  <si>
    <t>marin, 574, DEPTO 203</t>
  </si>
  <si>
    <t>55543</t>
  </si>
  <si>
    <t>271508052</t>
  </si>
  <si>
    <t>NOMBRE RETIRA: DANIELA AKINO CONSERJE RUT RETIRA: 53311991-3</t>
  </si>
  <si>
    <t>nelson zegarra cheuque</t>
  </si>
  <si>
    <t>san martin, 413, DEPTO 1303</t>
  </si>
  <si>
    <t>2026-06-03 10:32</t>
  </si>
  <si>
    <t>55522</t>
  </si>
  <si>
    <t>271507903</t>
  </si>
  <si>
    <t>NOMBRE RETIRA: MANUEL CONTRERAS . RUT RETIRA: 56035380-4</t>
  </si>
  <si>
    <t>Gonzalo Besoain</t>
  </si>
  <si>
    <t>NEVERIA, 5092</t>
  </si>
  <si>
    <t>2026-06-03 10:09</t>
  </si>
  <si>
    <t>55536</t>
  </si>
  <si>
    <t>271507925</t>
  </si>
  <si>
    <t>NOMBRE RETIRA: MARIANELA BUSTOS B RUT RETIRA: 20749426-7</t>
  </si>
  <si>
    <t>Marianela Bustos Castillo</t>
  </si>
  <si>
    <t>Pasaje Clotario Blest, 1724,</t>
  </si>
  <si>
    <t>55528</t>
  </si>
  <si>
    <t>271507939</t>
  </si>
  <si>
    <t>NOMBRE RETIRA: CARMEN PINCAY X RUT RETIRA: 65197389-9</t>
  </si>
  <si>
    <t>Jeannette Asalgado Ferrer</t>
  </si>
  <si>
    <t>Varas mena, 865, DEPTO A409, Dejar en conserjeria</t>
  </si>
  <si>
    <t>55396</t>
  </si>
  <si>
    <t>271393832</t>
  </si>
  <si>
    <t>NOMBRE RETIRA: MARIZET CARVALLO H RUT RETIRA: 16076002-8</t>
  </si>
  <si>
    <t>Rodrigo Carvallo</t>
  </si>
  <si>
    <t>AMAZONAS, 7366</t>
  </si>
  <si>
    <t>55364</t>
  </si>
  <si>
    <t>271382482</t>
  </si>
  <si>
    <t>NOMBRE RETIRA: RAMIRO V M RUT RETIRA: 7942840-K</t>
  </si>
  <si>
    <t>Segundo. Campos</t>
  </si>
  <si>
    <t>Pasaje Coltauco, 0918</t>
  </si>
  <si>
    <t>55369</t>
  </si>
  <si>
    <t>271382827</t>
  </si>
  <si>
    <t>NOMBRE RETIRA: RAMON MARIN P RUT RETIRA: 7491491-8</t>
  </si>
  <si>
    <t>Ramon Marin Paineo</t>
  </si>
  <si>
    <t>Avenida Lo Marcoleta, 0700</t>
  </si>
  <si>
    <t>55366</t>
  </si>
  <si>
    <t>271382787</t>
  </si>
  <si>
    <t>NOMBRE RETIRA: ALVARO FERNANDO O RUT RETIRA: 14146544-9</t>
  </si>
  <si>
    <t>ALVARO FERNANDO MANRIQUEZ SOLAR</t>
  </si>
  <si>
    <t>ROSAL, 312, DEPTO 303, Barrio lastarria</t>
  </si>
  <si>
    <t>55365</t>
  </si>
  <si>
    <t>271382485</t>
  </si>
  <si>
    <t>NOMBRE RETIRA: ALVARO O O RUT RETIRA: 14146544-9</t>
  </si>
  <si>
    <t>ROSAL, 312, DEPTO 303, Barrios lastarria</t>
  </si>
  <si>
    <t>20685</t>
  </si>
  <si>
    <t>271384838</t>
  </si>
  <si>
    <t>NOMBRE RETIRA: ENRIQUE DIAZ . RUT RETIRA: 65134631-2</t>
  </si>
  <si>
    <t>Danitza Nicole Flández Cabrera</t>
  </si>
  <si>
    <t>Parroco Damián Acuña 1331 casa 9, condominio Caicura</t>
  </si>
  <si>
    <t>55374</t>
  </si>
  <si>
    <t>271382888</t>
  </si>
  <si>
    <t>NOMBRE RETIRA: CARRASCO CONSERJE . RUT RETIRA: 20596540-8</t>
  </si>
  <si>
    <t>Javiera Yanez</t>
  </si>
  <si>
    <t>Cueto, 727, Floor 407</t>
  </si>
  <si>
    <t>20684</t>
  </si>
  <si>
    <t>271386060</t>
  </si>
  <si>
    <t>NOMBRE RETIRA: JUAN GONZALEZ . RUT RETIRA: 10902061-3</t>
  </si>
  <si>
    <t>Juan González</t>
  </si>
  <si>
    <t>Fundo Santa Teresa, Sector Los Guindos , Lote 2</t>
  </si>
  <si>
    <t>55379</t>
  </si>
  <si>
    <t>271383581</t>
  </si>
  <si>
    <t>NOMBRE RETIRA: FERNANDA TORRES . RUT RETIRA: 17667856-9</t>
  </si>
  <si>
    <t>Fernanda Torres</t>
  </si>
  <si>
    <t>Mariquina, 3181</t>
  </si>
  <si>
    <t>55367</t>
  </si>
  <si>
    <t>271382793</t>
  </si>
  <si>
    <t>NOMBRE RETIRA: CARLOS COLMENARES A RUT RETIRA: 14127403-1</t>
  </si>
  <si>
    <t>55362</t>
  </si>
  <si>
    <t>271382455</t>
  </si>
  <si>
    <t>55398</t>
  </si>
  <si>
    <t>271393950</t>
  </si>
  <si>
    <t>NOMBRE RETIRA: PAOLA DIEZ . RUT RETIRA: 56040330-5</t>
  </si>
  <si>
    <t>Luz Vargas</t>
  </si>
  <si>
    <t>Los Pozos, 6767</t>
  </si>
  <si>
    <t>55386</t>
  </si>
  <si>
    <t>271383554</t>
  </si>
  <si>
    <t>NOMBRE RETIRA: BLANCA . . RUT RETIRA: 12234990-K</t>
  </si>
  <si>
    <t>Blanca Medina</t>
  </si>
  <si>
    <t>Av Santa Isabel, 176, DEPTO 1404</t>
  </si>
  <si>
    <t>2026-06-02 09:36</t>
  </si>
  <si>
    <t>55380</t>
  </si>
  <si>
    <t>271383621</t>
  </si>
  <si>
    <t>NOMBRE RETIRA: ESTEFANIA VERA H RUT RETIRA: 17564442-3</t>
  </si>
  <si>
    <t>Oscar Vera Faundes</t>
  </si>
  <si>
    <t>Avenida Ossa, 1209, depto 314</t>
  </si>
  <si>
    <t>55378</t>
  </si>
  <si>
    <t>271383574</t>
  </si>
  <si>
    <t>NOMBRE RETIRA: JORGE CORONA . . RUT RETIRA: 21652097-1</t>
  </si>
  <si>
    <t>Gabriela Andrade Bustos</t>
  </si>
  <si>
    <t>Curico, 424, DEPTO 317</t>
  </si>
  <si>
    <t>55359</t>
  </si>
  <si>
    <t>271382421</t>
  </si>
  <si>
    <t>NOMBRE RETIRA: JUAN PABLO . RUT RETIRA: 22152961-8</t>
  </si>
  <si>
    <t>JUAN PABLO MEDINA GUZMAN</t>
  </si>
  <si>
    <t>Lo Beltran, 8004,</t>
  </si>
  <si>
    <t>55393</t>
  </si>
  <si>
    <t>271393582</t>
  </si>
  <si>
    <t>NOMBRE RETIRA: SEGUNDO CUEVAS CI SERJE RUT RETIRA: 53331686-7</t>
  </si>
  <si>
    <t>avda las perdices, 0771, casa R</t>
  </si>
  <si>
    <t>55385</t>
  </si>
  <si>
    <t>271383268</t>
  </si>
  <si>
    <t>NOMBRE RETIRA: DANILO CANDIA J N RUT RETIRA: 65186134-9</t>
  </si>
  <si>
    <t>Carolina Jara Santibanez</t>
  </si>
  <si>
    <t>O'higgins, 926, DEPTO 703</t>
  </si>
  <si>
    <t>55383</t>
  </si>
  <si>
    <t>271382865</t>
  </si>
  <si>
    <t>NOMBRE RETIRA: EMRIQUE COVARRUBIAS . RUT RETIRA: 20200311-7</t>
  </si>
  <si>
    <t>ENRIQUE COVARRUBIAS</t>
  </si>
  <si>
    <t>Tabancura, 1479,  Depto 42</t>
  </si>
  <si>
    <t>55377</t>
  </si>
  <si>
    <t>271383539</t>
  </si>
  <si>
    <t>NOMBRE RETIRA: LUIS MATUS S RUT RETIRA: 13076135-6</t>
  </si>
  <si>
    <t>Marion Pacheco Salas</t>
  </si>
  <si>
    <t>Quintali, 9678,</t>
  </si>
  <si>
    <t>39803</t>
  </si>
  <si>
    <t>271384852</t>
  </si>
  <si>
    <t>NOMBRE RETIRA: LUIS ESCOBAR L RUT RETIRA: 7064565-3</t>
  </si>
  <si>
    <t>Luis Escobar Galleguillos</t>
  </si>
  <si>
    <t>Cisne negro N 210</t>
  </si>
  <si>
    <t>39681</t>
  </si>
  <si>
    <t>271254070</t>
  </si>
  <si>
    <t>NOMBRE RETIRA: CARLOS CARVAJAL F RUT RETIRA: 53314101-3</t>
  </si>
  <si>
    <t>Fernanda Stang</t>
  </si>
  <si>
    <t>Lira 297 Dpto 704</t>
  </si>
  <si>
    <t>55389</t>
  </si>
  <si>
    <t>271383633</t>
  </si>
  <si>
    <t>NOMBRE RETIRA: ANA GODOY . RUT RETIRA: 53326094-2</t>
  </si>
  <si>
    <t>Valentina Mellico</t>
  </si>
  <si>
    <t>Los Libertadores, 4733, depto H 606,</t>
  </si>
  <si>
    <t>55387</t>
  </si>
  <si>
    <t>271383568</t>
  </si>
  <si>
    <t>NOMBRE RETIRA: FABIO SOZA A RUT RETIRA: 10956094-4</t>
  </si>
  <si>
    <t>Jose Victor Labate</t>
  </si>
  <si>
    <t>Jose de Moraleda, 4620</t>
  </si>
  <si>
    <t>55361</t>
  </si>
  <si>
    <t>271382431</t>
  </si>
  <si>
    <t>NOMBRE RETIRA: SUAANA URIBE AA RUT RETIRA: 16149653-7</t>
  </si>
  <si>
    <t>Pedro Berrios Fernandez</t>
  </si>
  <si>
    <t>Joyas de la reina, 343,</t>
  </si>
  <si>
    <t>55394</t>
  </si>
  <si>
    <t>271393630</t>
  </si>
  <si>
    <t>NOMBRE RETIRA: MARIA CUTMAN . RUT RETIRA: 5333335-4</t>
  </si>
  <si>
    <t>Daniel Montalva</t>
  </si>
  <si>
    <t>Santa Clara, 12268</t>
  </si>
  <si>
    <t>55363</t>
  </si>
  <si>
    <t>271382477</t>
  </si>
  <si>
    <t>NOMBRE RETIRA: GERARDO CORDERO . RUT RETIRA: 53304215-5</t>
  </si>
  <si>
    <t>Patricia Villalon Saint- Jean</t>
  </si>
  <si>
    <t>Ricardo Lyon, 505, DEPTO 502</t>
  </si>
  <si>
    <t>55373</t>
  </si>
  <si>
    <t>271382885</t>
  </si>
  <si>
    <t>NOMBRE RETIRA: CARLOS GONZALEZ L RUT RETIRA: 53316174-K</t>
  </si>
  <si>
    <t>Soad Carolina Jadue Corral</t>
  </si>
  <si>
    <t>Avenida José domingo cañas, 705, DEPTO 101,</t>
  </si>
  <si>
    <t>55375</t>
  </si>
  <si>
    <t>271382918</t>
  </si>
  <si>
    <t>NOMBRE RETIRA: EVEKYN SANCHEZ A RUT RETIRA: 53335360-6</t>
  </si>
  <si>
    <t>Isidora Lobos</t>
  </si>
  <si>
    <t>Rojas Magallanes, 2457,  Depto 415,  dejar en conserjería</t>
  </si>
  <si>
    <t>55372</t>
  </si>
  <si>
    <t>271382875</t>
  </si>
  <si>
    <t>NOMBRE RETIRA: LUIS . . RUT RETIRA: 9913838-6</t>
  </si>
  <si>
    <t>Gianfranco Giovanetti</t>
  </si>
  <si>
    <t>rosario de santa fe, 9187, casa de esquina roja</t>
  </si>
  <si>
    <t>55376</t>
  </si>
  <si>
    <t>271383520</t>
  </si>
  <si>
    <t>NOMBRE RETIRA: MONICA RIVAS G RUT RETIRA: 6775507-3</t>
  </si>
  <si>
    <t>Javiera Cifuentes</t>
  </si>
  <si>
    <t>La tierra, 1241</t>
  </si>
  <si>
    <t>55368</t>
  </si>
  <si>
    <t>271382796</t>
  </si>
  <si>
    <t>NOMBRE RETIRA: SOLEDAD UGARTE B RUT RETIRA: 17050464-K</t>
  </si>
  <si>
    <t>SOLEDAD PAULINA UGARTE CISTERNAS</t>
  </si>
  <si>
    <t>carlos besa, 546</t>
  </si>
  <si>
    <t>55357</t>
  </si>
  <si>
    <t>271382389</t>
  </si>
  <si>
    <t>NOMBRE RETIRA: CRISTIAN PINO A RUT RETIRA: 15408105-4</t>
  </si>
  <si>
    <t>Cristian Palma Pino</t>
  </si>
  <si>
    <t>Isabel La Católica, 5307,Timbre malo</t>
  </si>
  <si>
    <t>20693</t>
  </si>
  <si>
    <t>271384851</t>
  </si>
  <si>
    <t>NOMBRE RETIRA: ANDRES KARMY . RUT RETIRA: 20200311-7</t>
  </si>
  <si>
    <t>Andres Karmy</t>
  </si>
  <si>
    <t>Javier De Viana 2325</t>
  </si>
  <si>
    <t>55358</t>
  </si>
  <si>
    <t>271382410</t>
  </si>
  <si>
    <t>NOMBRE RETIRA: EMYLI SIMANCA N RUT RETIRA: 11111111-1</t>
  </si>
  <si>
    <t>Emily Simancas Rodriguez</t>
  </si>
  <si>
    <t>Doctor Johow, 956, DEPTO 402</t>
  </si>
  <si>
    <t>55399</t>
  </si>
  <si>
    <t>271393839</t>
  </si>
  <si>
    <t>NOMBRE RETIRA: YSABEL CULQUINTANTE . RUT RETIRA: 53307491-K</t>
  </si>
  <si>
    <t>Rodrigo Farias Veliz</t>
  </si>
  <si>
    <t>Las Verbenas, 9000, DEPTO 811</t>
  </si>
  <si>
    <t>55384</t>
  </si>
  <si>
    <t>271383261</t>
  </si>
  <si>
    <t>NOMBRE RETIRA: JIA BANG LI . RUT RETIRA: 20200311-7</t>
  </si>
  <si>
    <t>Jia-Bang Lin</t>
  </si>
  <si>
    <t>Las Quilas, 3945</t>
  </si>
  <si>
    <t>2026-06-01 17:35</t>
  </si>
  <si>
    <t>55370</t>
  </si>
  <si>
    <t>271382840</t>
  </si>
  <si>
    <t>NOMBRE RETIRA: CONDOMINUO EVOKUCUO M . RUT RETIRA: 65086164-7</t>
  </si>
  <si>
    <t>Jorge Garrido</t>
  </si>
  <si>
    <t>Tarapaca, 890, DEPTO 2112a</t>
  </si>
  <si>
    <t>55382</t>
  </si>
  <si>
    <t>271382487</t>
  </si>
  <si>
    <t>NOMBRE RETIRA: FEDERICO JOANNON , RUT RETIRA: 56049600-1</t>
  </si>
  <si>
    <t>Federico Joannon</t>
  </si>
  <si>
    <t>Carlos Silva Vildosola, 1188, DEPTO 330</t>
  </si>
  <si>
    <t>55395</t>
  </si>
  <si>
    <t>271393822</t>
  </si>
  <si>
    <t>NOMBRE RETIRA: HUGO FERNANDEZ F RUT RETIRA: 65867720-9</t>
  </si>
  <si>
    <t>Daniela Andrea Contreras Aviles</t>
  </si>
  <si>
    <t>Oceánica, 6271, Depto 1504,</t>
  </si>
  <si>
    <t>55392</t>
  </si>
  <si>
    <t>271393576</t>
  </si>
  <si>
    <t>NOMBRE RETIRA: VICTORIA PALMA H RUT RETIRA: 20592749-2</t>
  </si>
  <si>
    <t>sandra cubillos</t>
  </si>
  <si>
    <t>ramon barros luco, 8419</t>
  </si>
  <si>
    <t>2026-06-02 10:36</t>
  </si>
  <si>
    <t>55391</t>
  </si>
  <si>
    <t>271393513</t>
  </si>
  <si>
    <t>marcelo palma</t>
  </si>
  <si>
    <t>ramon barros luco, 8357</t>
  </si>
  <si>
    <t>55388</t>
  </si>
  <si>
    <t>271383597</t>
  </si>
  <si>
    <t>NOMBRE RETIRA: DAVID DIAS , RUT RETIRA: 56050930-8</t>
  </si>
  <si>
    <t>Angel Buendia Esteban</t>
  </si>
  <si>
    <t>Mariategui, 2429, DEPTO 405</t>
  </si>
  <si>
    <t>55400</t>
  </si>
  <si>
    <t>271393847</t>
  </si>
  <si>
    <t>NOMBRE RETIRA: JUAN . . RUT RETIRA: 53333100-9</t>
  </si>
  <si>
    <t>Diego Mulatti</t>
  </si>
  <si>
    <t>Irarrazaval, 200, DEPTO 1301</t>
  </si>
  <si>
    <t>2026-06-02 10:50</t>
  </si>
  <si>
    <t>55238</t>
  </si>
  <si>
    <t>271257946</t>
  </si>
  <si>
    <t>NOMBRE RETIRA: DEIVI GARCIA M RUT RETIRA: 65204666-5</t>
  </si>
  <si>
    <t>Christine Descazeaux</t>
  </si>
  <si>
    <t>Manuel Montt, 2440,  depto 312</t>
  </si>
  <si>
    <t>2026-06-01 10:15</t>
  </si>
  <si>
    <t>55255</t>
  </si>
  <si>
    <t>271261147</t>
  </si>
  <si>
    <t>NOMBRE RETIRA: JOSE PINA A RUT RETIRA: 56062680-0</t>
  </si>
  <si>
    <t>Robert Monypenny</t>
  </si>
  <si>
    <t>Domingo Bondi, 990, DEPTO 102, Dejar en Conserjeria</t>
  </si>
  <si>
    <t>55256</t>
  </si>
  <si>
    <t>271261154</t>
  </si>
  <si>
    <t>NOMBRE RETIRA: JOSE ALBARWS . RUT RETIRA: 53333104-1</t>
  </si>
  <si>
    <t>Jose Moncada Vallejos</t>
  </si>
  <si>
    <t>Av. Fermin Vivaceta, 3750, DEPTO 507</t>
  </si>
  <si>
    <t>55253</t>
  </si>
  <si>
    <t>271261152</t>
  </si>
  <si>
    <t>NOMBRE RETIRA: LUCIANO FERNANDEZ A RUT RETIRA: 5786106-1</t>
  </si>
  <si>
    <t>claudio fernandez</t>
  </si>
  <si>
    <t>casablanca, 4613</t>
  </si>
  <si>
    <t>55258</t>
  </si>
  <si>
    <t>271272069</t>
  </si>
  <si>
    <t>NOMBRE RETIRA: BARBARA RODRIGUEZ .. RUT RETIRA: 15516435-2</t>
  </si>
  <si>
    <t>Jose Velasco</t>
  </si>
  <si>
    <t>Palerío, 8364, Casa B</t>
  </si>
  <si>
    <t>2026-06-01 11:17</t>
  </si>
  <si>
    <t>55264</t>
  </si>
  <si>
    <t>271272057</t>
  </si>
  <si>
    <t>NOMBRE RETIRA: ANELFFNNDRO JJZ K RUT RETIRA: 56079130-5</t>
  </si>
  <si>
    <t>OSCAR GONZALEZ BALBONTIN</t>
  </si>
  <si>
    <t>Av. Holanda, 87, DEPTO 413</t>
  </si>
  <si>
    <t>271254106</t>
  </si>
  <si>
    <t>NOMBRE RETIRA: FERNANDO GALDAMEZ N RUT RETIRA: 17634332-K</t>
  </si>
  <si>
    <t>Constanza Vergara</t>
  </si>
  <si>
    <t>pasaje parque Lauca 1243. Villa parque central.</t>
  </si>
  <si>
    <t>55244</t>
  </si>
  <si>
    <t>271257984</t>
  </si>
  <si>
    <t>NOMBRE RETIRA: CARLOS DIAZ . RUT RETIRA: 7122574-7</t>
  </si>
  <si>
    <t>Jaime Guzman, 3253, DEPTO 704</t>
  </si>
  <si>
    <t>39766</t>
  </si>
  <si>
    <t>271254095</t>
  </si>
  <si>
    <t>NOMBRE RETIRA: MAELWRO BNX NX RUT RETIRA: 53335824-1</t>
  </si>
  <si>
    <t>Nicholle Castro</t>
  </si>
  <si>
    <t>Galvarino Gallardo 2105, depto 502-B</t>
  </si>
  <si>
    <t>55266</t>
  </si>
  <si>
    <t>271272091</t>
  </si>
  <si>
    <t>NOMBRE RETIRA: CARMEN ALARCON A RUT RETIRA: 10438434-K</t>
  </si>
  <si>
    <t>JULIA BRAVO MATURANA</t>
  </si>
  <si>
    <t>CAMINO EL HUINGANAL, 2473</t>
  </si>
  <si>
    <t>2026-06-01 11:32</t>
  </si>
  <si>
    <t>55254</t>
  </si>
  <si>
    <t>271261135</t>
  </si>
  <si>
    <t>NOMBRE RETIRA: LEONARDO MARTY . RUT RETIRA: 20200311-7</t>
  </si>
  <si>
    <t>LEONARDO Marty</t>
  </si>
  <si>
    <t>Recife, 1938</t>
  </si>
  <si>
    <t>55240</t>
  </si>
  <si>
    <t>271257967</t>
  </si>
  <si>
    <t>NOMBRE RETIRA: NELSON MUJICA . RUT RETIRA: 22086199-6</t>
  </si>
  <si>
    <t>Nelson Rojas Alvarado</t>
  </si>
  <si>
    <t>José Domingo Cañas, 705, DEPTO 224</t>
  </si>
  <si>
    <t>55261</t>
  </si>
  <si>
    <t>271272139</t>
  </si>
  <si>
    <t>NOMBRE RETIRA: CARLOS JARA CONSERJE A RUT RETIRA: 56029750-5</t>
  </si>
  <si>
    <t>Maria Paulina Correa Burrows</t>
  </si>
  <si>
    <t>Avenida Presidente Kennedy, 3256, DEPTO 21</t>
  </si>
  <si>
    <t>55228</t>
  </si>
  <si>
    <t>271257910</t>
  </si>
  <si>
    <t>NOMBRE RETIRA: GONZALO CALDERON O RUT RETIRA: 12651902-8</t>
  </si>
  <si>
    <t>Gonzalo M.</t>
  </si>
  <si>
    <t>Compañía de Jesús, 1048, DEPTO 501, Entrada entre Bandera y Ahumada</t>
  </si>
  <si>
    <t>55265</t>
  </si>
  <si>
    <t>271272110</t>
  </si>
  <si>
    <t>NOMBRE RETIRA: LUCIA QUINONEZ H RUT RETIRA: 16861760-7</t>
  </si>
  <si>
    <t>Cerro Colorado, 4922, DEPTO 93C,Costado PArauco</t>
  </si>
  <si>
    <t>55260</t>
  </si>
  <si>
    <t>271272117</t>
  </si>
  <si>
    <t>NOMBRE RETIRA: GILDA BISTANTE . RUT RETIRA: 18597201-1</t>
  </si>
  <si>
    <t>Gilda Bustamante</t>
  </si>
  <si>
    <t>Doctot Santibañez, 714,  Entre av Cerrillos y salomón Sack</t>
  </si>
  <si>
    <t>55217</t>
  </si>
  <si>
    <t>271257897</t>
  </si>
  <si>
    <t>NOMBRE RETIRA: ESTEBAN . . RUT RETIRA: 19702975-7</t>
  </si>
  <si>
    <t>Esteban Covacevich</t>
  </si>
  <si>
    <t>Los Gomeros, 1781</t>
  </si>
  <si>
    <t>55262</t>
  </si>
  <si>
    <t>271272145</t>
  </si>
  <si>
    <t>NOMBRE RETIRA: ALDA IBACACHE D RUT RETIRA: 12636802-K</t>
  </si>
  <si>
    <t>Dario Molina Mac-kay</t>
  </si>
  <si>
    <t>Vicente Perez Rosales, 1028,  Casa J</t>
  </si>
  <si>
    <t>55257-55263</t>
  </si>
  <si>
    <t>271272030</t>
  </si>
  <si>
    <t>NOMBRE RETIRA: JUAN VAINEBIRO . RUT RETIRA: 13730506-2</t>
  </si>
  <si>
    <t>Paloma Diaz</t>
  </si>
  <si>
    <t>La Concepción, 109,  Obra</t>
  </si>
  <si>
    <t>18539</t>
  </si>
  <si>
    <t>270998977</t>
  </si>
  <si>
    <t>NOMBRE RETIRA: ANGELO CAVASSA . RUT RETIRA: 15017216-0</t>
  </si>
  <si>
    <t>ANGELO CAVASSA ROMERO</t>
  </si>
  <si>
    <t>CAlle interior 4, casa 3674, complejo habitacional terrazas del mar</t>
  </si>
  <si>
    <t>39611</t>
  </si>
  <si>
    <t>271123512</t>
  </si>
  <si>
    <t>NOMBRE RETIRA: ALEXANDRA GONZALES A RUT RETIRA: 19835097-4</t>
  </si>
  <si>
    <t>Matias Tripailao Iturra</t>
  </si>
  <si>
    <t>Los Canelos 79, Edif Plaza Los Canelos, dpto 1603 torre B, San Pedro de la Paz, Biobio</t>
  </si>
  <si>
    <t>2026-05-29 09:52</t>
  </si>
  <si>
    <t>55034</t>
  </si>
  <si>
    <t>270992933</t>
  </si>
  <si>
    <t>NOMBRE RETIRA: XAROLINA FLORES . RUT RETIRA: 12877377-0</t>
  </si>
  <si>
    <t>CAROLINA FLORES TAPIA</t>
  </si>
  <si>
    <t>ALVAREZ CONDARCO, 60</t>
  </si>
  <si>
    <t>2026-05-27 13:56</t>
  </si>
  <si>
    <t>18569</t>
  </si>
  <si>
    <t>271121028</t>
  </si>
  <si>
    <t>NOMBRE RETIRA: CRISTIAN ALVARES J RUT RETIRA: 16206409-6</t>
  </si>
  <si>
    <t>cristian alejandro alvarez alvarez</t>
  </si>
  <si>
    <t>Puerto montt, Ruta V-60 El Tepual KM 13 KM, Pasaje Antonio Gomez</t>
  </si>
  <si>
    <t>2026-05-27 11:09</t>
  </si>
  <si>
    <t>55043</t>
  </si>
  <si>
    <t>271121470</t>
  </si>
  <si>
    <t>NOMBRE RETIRA: SUSANA ORTIZ V RUT RETIRA: 13439886-8</t>
  </si>
  <si>
    <t>55020</t>
  </si>
  <si>
    <t>270993074</t>
  </si>
  <si>
    <t>NOMBRE RETIRA: FRANCISCA SAEZ A RUT RETIRA: 18499079-2</t>
  </si>
  <si>
    <t>Maritza Oyarce</t>
  </si>
  <si>
    <t>Calle toro, 1558</t>
  </si>
  <si>
    <t>2026-05-27 13:21</t>
  </si>
  <si>
    <t>55052</t>
  </si>
  <si>
    <t>270993513</t>
  </si>
  <si>
    <t>NOMBRE RETIRA: ADA MONTENEGRO M RUT RETIRA: 7045167-0</t>
  </si>
  <si>
    <t>Ada Montenegro</t>
  </si>
  <si>
    <t>Camino del Sol, 3060,</t>
  </si>
  <si>
    <t>2026-05-27 14:25</t>
  </si>
  <si>
    <t>55059</t>
  </si>
  <si>
    <t>270993548</t>
  </si>
  <si>
    <t>NOMBRE RETIRA: ARON MERINO K RUT RETIRA: 15923380-4</t>
  </si>
  <si>
    <t>christian vargas</t>
  </si>
  <si>
    <t>EL FUNDO, 21032,</t>
  </si>
  <si>
    <t>2026-05-27 14:37</t>
  </si>
  <si>
    <t>20655</t>
  </si>
  <si>
    <t>271057226</t>
  </si>
  <si>
    <t>NOMBRE RETIRA: JUQN RIOS PEREZ RUT RETIRA: 10979980-7</t>
  </si>
  <si>
    <t>Fernando Silva Oviedo</t>
  </si>
  <si>
    <t>Santa Silvia 25 , sector la flor</t>
  </si>
  <si>
    <t>18545</t>
  </si>
  <si>
    <t>271009809</t>
  </si>
  <si>
    <t>NOMBRE RETIRA: FRANCISCO LANFRANCO J RUT RETIRA: 17072640-5</t>
  </si>
  <si>
    <t>Constanza Benavides vallejos</t>
  </si>
  <si>
    <t>Angel guarello 1733, Casa amarilla si no contesto favor llamar a +56 9 5417 5448</t>
  </si>
  <si>
    <t>55041</t>
  </si>
  <si>
    <t>270993385</t>
  </si>
  <si>
    <t>NOMBRE RETIRA: GABRIELA LOBOS A RUT RETIRA: 11228671-3</t>
  </si>
  <si>
    <t>Marco Miranda</t>
  </si>
  <si>
    <t>Medinacelli, 1084</t>
  </si>
  <si>
    <t>2026-05-27 14:07</t>
  </si>
  <si>
    <t>55055</t>
  </si>
  <si>
    <t>270993533</t>
  </si>
  <si>
    <t>NOMBRE RETIRA: SARA FIGUEROA . RUT RETIRA: 18976035-3</t>
  </si>
  <si>
    <t>Sara Figueroa</t>
  </si>
  <si>
    <t>Pedro Aguirre Cerda 1963</t>
  </si>
  <si>
    <t>55021</t>
  </si>
  <si>
    <t>270993053</t>
  </si>
  <si>
    <t>NOMBRE RETIRA: JENNY ASTUDILLO L RUT RETIRA: 13494972-4</t>
  </si>
  <si>
    <t>Jenny Astudillo</t>
  </si>
  <si>
    <t>Pje Rieter, 3438, DEPTO 101</t>
  </si>
  <si>
    <t>55022</t>
  </si>
  <si>
    <t>270993044</t>
  </si>
  <si>
    <t>NOMBRE RETIRA: JENNY ASTUDILLO P RUT RETIRA: 13494972-4</t>
  </si>
  <si>
    <t>Agustin Ramirez</t>
  </si>
  <si>
    <t>Pasaje Rieter, 3438, DEPTO 101</t>
  </si>
  <si>
    <t>2026-05-27 13:25</t>
  </si>
  <si>
    <t>20576</t>
  </si>
  <si>
    <t>270939002</t>
  </si>
  <si>
    <t>NOMBRE RETIRA: KEVIN RESTRIPO X RUT RETIRA: 22397792-8</t>
  </si>
  <si>
    <t>KEVIN GIOVANNY RESTREPO</t>
  </si>
  <si>
    <t>C. Valentín Letelier 355</t>
  </si>
  <si>
    <t>2026-05-26 17:26</t>
  </si>
  <si>
    <t>55047</t>
  </si>
  <si>
    <t>270993471</t>
  </si>
  <si>
    <t>NOMBRE RETIRA: AGUSTIN HERRERA H RUT RETIRA: 21620690-8</t>
  </si>
  <si>
    <t>Maria Jose Sotomayor Villouta</t>
  </si>
  <si>
    <t>Los Cedros, 3715,</t>
  </si>
  <si>
    <t>2026-05-27 14:15</t>
  </si>
  <si>
    <t>55057</t>
  </si>
  <si>
    <t>270993545</t>
  </si>
  <si>
    <t>NOMBRE RETIRA: LORENA VERA V RUT RETIRA: 53318214-3</t>
  </si>
  <si>
    <t>gabriela riveros</t>
  </si>
  <si>
    <t>Los olmos, 3256, DEPTO 1221</t>
  </si>
  <si>
    <t>2026-05-27 14:33</t>
  </si>
  <si>
    <t>55051</t>
  </si>
  <si>
    <t>270993504</t>
  </si>
  <si>
    <t>NOMBRE RETIRA: JORGE SANHUEZA O RUT RETIRA: 6372949-3</t>
  </si>
  <si>
    <t>VILLAVICENCIO, 361, DEPTO 109</t>
  </si>
  <si>
    <t>2026-05-27 14:23</t>
  </si>
  <si>
    <t>55019</t>
  </si>
  <si>
    <t>270993076</t>
  </si>
  <si>
    <t>NOMBRE RETIRA: EDUARDO SEPUKVEDA . . RUT RETIRA: 8431342-4</t>
  </si>
  <si>
    <t>Maria Ibanez Araya</t>
  </si>
  <si>
    <t>General Jofre, 306, depto 402</t>
  </si>
  <si>
    <t>55049</t>
  </si>
  <si>
    <t>270993480</t>
  </si>
  <si>
    <t>NOMBRE RETIRA: LUIS PORTERIA A RUT RETIRA: 19566894-9</t>
  </si>
  <si>
    <t>CLAUDIA ALEJANDRA ROCHA</t>
  </si>
  <si>
    <t>Santos Dumont, 560, DEPTO 1506</t>
  </si>
  <si>
    <t>2026-05-27 14:20</t>
  </si>
  <si>
    <t>55030</t>
  </si>
  <si>
    <t>270992958</t>
  </si>
  <si>
    <t>NOMBRE RETIRA: LUISA PEREDO M RUT RETIRA: 6081826-6</t>
  </si>
  <si>
    <t>Paola Trevino</t>
  </si>
  <si>
    <t>Los Alamos 1117</t>
  </si>
  <si>
    <t>2026-05-27 13:45</t>
  </si>
  <si>
    <t>55056</t>
  </si>
  <si>
    <t>270993559</t>
  </si>
  <si>
    <t>NOMBRE RETIRA: CORA GAGARDO I RUT RETIRA: 14066143-0</t>
  </si>
  <si>
    <t>Cora Gajardo Fontecilla</t>
  </si>
  <si>
    <t>CARLOS CONTRERA MALUJJE, 1277</t>
  </si>
  <si>
    <t>2026-05-27 14:32</t>
  </si>
  <si>
    <t>55128</t>
  </si>
  <si>
    <t>270995323</t>
  </si>
  <si>
    <t>NOMBRE RETIRA: JUAN VALERO B RUT RETIRA: 53336815-8</t>
  </si>
  <si>
    <t>Andres Fuentes Pierron</t>
  </si>
  <si>
    <t>Av Macul, 3474, DEPTO 302</t>
  </si>
  <si>
    <t>55127</t>
  </si>
  <si>
    <t>270995316</t>
  </si>
  <si>
    <t>NOMBRE RETIRA: JAIME DIAZ M RUT RETIRA: 56080330-3</t>
  </si>
  <si>
    <t>Evelyn MUJICA APPIANI</t>
  </si>
  <si>
    <t>Blanca, 655, DEPT 1204,</t>
  </si>
  <si>
    <t>2026-05-27 15:24</t>
  </si>
  <si>
    <t>55018</t>
  </si>
  <si>
    <t>270993066</t>
  </si>
  <si>
    <t>NOMBRE RETIRA: VICTOR ESPINOZA . RUT RETIRA: 6873579-3</t>
  </si>
  <si>
    <t>LUIS ORLANDO</t>
  </si>
  <si>
    <t>El Convento, 632</t>
  </si>
  <si>
    <t>2026-05-27 13:16</t>
  </si>
  <si>
    <t>55126</t>
  </si>
  <si>
    <t>270995268</t>
  </si>
  <si>
    <t>NOMBRE RETIRA: PEDRO ZAPICA GUERRERO RUT RETIRA: 22413980-2</t>
  </si>
  <si>
    <t>Jose Manuel Zapico Mackay</t>
  </si>
  <si>
    <t>Camino Los Refugios del Arrayan, 15301</t>
  </si>
  <si>
    <t>2026-05-27 15:23</t>
  </si>
  <si>
    <t>55058</t>
  </si>
  <si>
    <t>270993547</t>
  </si>
  <si>
    <t>NOMBRE RETIRA: GRACIELA ALIAGA . RUT RETIRA: 53311305-2</t>
  </si>
  <si>
    <t>Daniela Davila</t>
  </si>
  <si>
    <t>eliodoro yañez, 2831, DEPTO 1101</t>
  </si>
  <si>
    <t>2026-05-27 14:36</t>
  </si>
  <si>
    <t>55028</t>
  </si>
  <si>
    <t>270992967</t>
  </si>
  <si>
    <t>NOMBRE RETIRA: JAIRO TRUJILLO .. RUT RETIRA: 25010712-9</t>
  </si>
  <si>
    <t>Jairo Trujillo Cespedes</t>
  </si>
  <si>
    <t>andes, 2601</t>
  </si>
  <si>
    <t>2026-05-27 13:40</t>
  </si>
  <si>
    <t>55035</t>
  </si>
  <si>
    <t>270992912</t>
  </si>
  <si>
    <t>NOMBRE RETIRA: JOSE ORELLANA . RUT RETIRA: 13927939-5</t>
  </si>
  <si>
    <t>SERGIO CAPPONI</t>
  </si>
  <si>
    <t>El Vaticano, 3655, Casa B, Pasaje al fondo</t>
  </si>
  <si>
    <t>2026-05-27 13:57</t>
  </si>
  <si>
    <t>55031</t>
  </si>
  <si>
    <t>270992953</t>
  </si>
  <si>
    <t>NOMBRE RETIRA: RENATO GUAJARDO H RUT RETIRA: 4674136-6</t>
  </si>
  <si>
    <t>Renato Gajardo cisterna</t>
  </si>
  <si>
    <t>Carlos Nazarit, 201</t>
  </si>
  <si>
    <t>2026-05-27 13:46</t>
  </si>
  <si>
    <t>servicio26052026</t>
  </si>
  <si>
    <t>270941146</t>
  </si>
  <si>
    <t>NOMBRE RETIRA: YARITZA LETELIER . RUT RETIRA: 19081839-K</t>
  </si>
  <si>
    <t>José Ignacio Castillo Marchant</t>
  </si>
  <si>
    <t>Avenida Los Laureles, 29 (altura poste 29)</t>
  </si>
  <si>
    <t>55039</t>
  </si>
  <si>
    <t>270993375</t>
  </si>
  <si>
    <t>NOMBRE RETIRA: JESICA PERES N RUT RETIRA: 11111111-1</t>
  </si>
  <si>
    <t>Jessica Perez Kuschel</t>
  </si>
  <si>
    <t>Volcán lascar, 5883</t>
  </si>
  <si>
    <t>55037</t>
  </si>
  <si>
    <t>270992849</t>
  </si>
  <si>
    <t>NOMBRE RETIRA: JESICA PWRES N RUT RETIRA: 11111111-1</t>
  </si>
  <si>
    <t>20632</t>
  </si>
  <si>
    <t>270939006</t>
  </si>
  <si>
    <t>NOMBRE RETIRA: PAOLA ACUNA . RUT RETIRA: 14320774-9</t>
  </si>
  <si>
    <t>Cristian Bocaz</t>
  </si>
  <si>
    <t>El Granero 1137, casa 1</t>
  </si>
  <si>
    <t>2026-05-26 17:28</t>
  </si>
  <si>
    <t>55125</t>
  </si>
  <si>
    <t>270995295</t>
  </si>
  <si>
    <t>NOMBRE RETIRA: LEO AUNEL B RUT RETIRA: 53332438-K</t>
  </si>
  <si>
    <t>HECTOR  GIUSEPPE RIVAS</t>
  </si>
  <si>
    <t>Santa Julia, 300, DEPTO 403</t>
  </si>
  <si>
    <t>2026-05-27 15:22</t>
  </si>
  <si>
    <t>55025</t>
  </si>
  <si>
    <t>270992991</t>
  </si>
  <si>
    <t>NOMBRE RETIRA: JAVIER CONAERJE . RUT RETIRA: 14489122-8</t>
  </si>
  <si>
    <t>Ximena Palleres</t>
  </si>
  <si>
    <t>CARLOS ANTUNEZ, 2499, DEPTO 61</t>
  </si>
  <si>
    <t>2026-05-27 13:30</t>
  </si>
  <si>
    <t>55026</t>
  </si>
  <si>
    <t>270993004</t>
  </si>
  <si>
    <t>NOMBRE RETIRA: JOSUE MARTINES . RUT RETIRA: 56077770-1</t>
  </si>
  <si>
    <t>ALMOROXCHILE Mozo</t>
  </si>
  <si>
    <t>Rodrigo de Triana, 4313</t>
  </si>
  <si>
    <t>2026-05-27 13:33</t>
  </si>
  <si>
    <t>55130</t>
  </si>
  <si>
    <t>270995357</t>
  </si>
  <si>
    <t>NOMBRE RETIRA: JANE STANDERT M RUT RETIRA: 5805514-K</t>
  </si>
  <si>
    <t>Antonio Lurashi Gioia</t>
  </si>
  <si>
    <t>Latadia, 6989</t>
  </si>
  <si>
    <t>2026-05-27 15:27</t>
  </si>
  <si>
    <t>55131</t>
  </si>
  <si>
    <t>270995377</t>
  </si>
  <si>
    <t>NOMBRE RETIRA: JON VILLANUEVA . RUT RETIRA: 53326912-5</t>
  </si>
  <si>
    <t>Diego Ibanez</t>
  </si>
  <si>
    <t>Francisco Bilbao, 85, Floor 511-A</t>
  </si>
  <si>
    <t>55046</t>
  </si>
  <si>
    <t>270993462</t>
  </si>
  <si>
    <t>NOMBRE RETIRA: OMAR ALZAMORA . RUT RETIRA: 14241065-6</t>
  </si>
  <si>
    <t>Gaston Morales</t>
  </si>
  <si>
    <t>janequeo, 1426</t>
  </si>
  <si>
    <t>2026-05-27 14:13</t>
  </si>
  <si>
    <t>55023</t>
  </si>
  <si>
    <t>270993039</t>
  </si>
  <si>
    <t>NOMBRE RETIRA: NILO SEQUEIDA . RUT RETIRA: 56065700-5</t>
  </si>
  <si>
    <t>Patricio Eugenio Moreno de Beer</t>
  </si>
  <si>
    <t>oscar tenhann, 855, DEPTO 221,</t>
  </si>
  <si>
    <t>2026-05-27 13:27</t>
  </si>
  <si>
    <t>55048</t>
  </si>
  <si>
    <t>270993440</t>
  </si>
  <si>
    <t>NOMBRE RETIRA: MARTA MUBIZ . . RUT RETIRA: 9565095-3</t>
  </si>
  <si>
    <t>Alicia Buegos</t>
  </si>
  <si>
    <t>Sara del Campo, 536,</t>
  </si>
  <si>
    <t>2026-05-27 14:18</t>
  </si>
  <si>
    <t>55029</t>
  </si>
  <si>
    <t>270992978</t>
  </si>
  <si>
    <t>NOMBRE RETIRA: RUTH CLAROS M RUT RETIRA: 13237408-2</t>
  </si>
  <si>
    <t>Ruth Claros</t>
  </si>
  <si>
    <t>Antonio Maceo, 2675</t>
  </si>
  <si>
    <t>55036</t>
  </si>
  <si>
    <t>270992899</t>
  </si>
  <si>
    <t>NOMBRE RETIRA: NORMA XZ . RUT RETIRA: 14031612-1</t>
  </si>
  <si>
    <t>Luis Rodriguez Olea</t>
  </si>
  <si>
    <t>Las Achiras 3084</t>
  </si>
  <si>
    <t>2026-05-27 13:59</t>
  </si>
  <si>
    <t>55045</t>
  </si>
  <si>
    <t>270993433</t>
  </si>
  <si>
    <t>NOMBRE RETIRA: JUAN FUENTES . RUT RETIRA: 18565592-K</t>
  </si>
  <si>
    <t>julio beniscelli</t>
  </si>
  <si>
    <t>Obispo Orrego, 520, DEPTO 105</t>
  </si>
  <si>
    <t>55033</t>
  </si>
  <si>
    <t>270992941</t>
  </si>
  <si>
    <t>NOMBRE RETIRA: GABRIEL ALVARADO . RUT RETIRA: 9471398-6</t>
  </si>
  <si>
    <t>Gabriel Alvarado Segura</t>
  </si>
  <si>
    <t>Av. Segunda Transversal, 4034 Casa azul</t>
  </si>
  <si>
    <t>2026-05-27 13:49</t>
  </si>
  <si>
    <t>55040</t>
  </si>
  <si>
    <t>270993381</t>
  </si>
  <si>
    <t>Canada, 9098</t>
  </si>
  <si>
    <t>20641</t>
  </si>
  <si>
    <t>270939614</t>
  </si>
  <si>
    <t>NOMBRE RETIRA: CAROLINA RIQUELME . RUT RETIRA: 15254614-9</t>
  </si>
  <si>
    <t>Gabriel Meza</t>
  </si>
  <si>
    <t>Condominio Santa Maria Del Mar, Calle Patio Los Naranjos, Casa 133 (ref. Referencia Atrás Del Aeródromo Santo Domingo    )</t>
  </si>
  <si>
    <t>2026-05-26 17:35</t>
  </si>
  <si>
    <t>55129</t>
  </si>
  <si>
    <t>270995331</t>
  </si>
  <si>
    <t>NOMBRE RETIRA: FARAH . . RUT RETIRA: 21782006-5</t>
  </si>
  <si>
    <t>Farah Edouard</t>
  </si>
  <si>
    <t>Los cuasimodistas, 576</t>
  </si>
  <si>
    <t>2026-05-27 15:26</t>
  </si>
  <si>
    <t>55024</t>
  </si>
  <si>
    <t>270993035</t>
  </si>
  <si>
    <t>NOMBRE RETIRA: ROSA LOZANO K RUT RETIRA: 22178726-9</t>
  </si>
  <si>
    <t>Rosa Lozano</t>
  </si>
  <si>
    <t>José Donoso, 2796</t>
  </si>
  <si>
    <t>55044</t>
  </si>
  <si>
    <t>270993425</t>
  </si>
  <si>
    <t>NOMBRE RETIRA: FRNACISCO LEPE K RUT RETIRA: 9615731-2</t>
  </si>
  <si>
    <t>Francisco Lepe</t>
  </si>
  <si>
    <t>Club hipico, 1936</t>
  </si>
  <si>
    <t>2026-05-27 14:10</t>
  </si>
  <si>
    <t>55053</t>
  </si>
  <si>
    <t>270993449</t>
  </si>
  <si>
    <t>NOMBRE RETIRA: MARIA VIOLETA VALENZUELA .. RUT RETIRA: 5276239-1</t>
  </si>
  <si>
    <t>Jacqueline Sotomayor</t>
  </si>
  <si>
    <t>Valle Hermoso, 1918,</t>
  </si>
  <si>
    <t>2026-05-27 14:26</t>
  </si>
  <si>
    <t>55032</t>
  </si>
  <si>
    <t>270992944</t>
  </si>
  <si>
    <t>NOMBRE RETIRA: EVA SANTANA G RUT RETIRA: 17122935-9</t>
  </si>
  <si>
    <t>EVA SANTANA NAVARRO</t>
  </si>
  <si>
    <t>LUCIANO ORTIZ, 8391</t>
  </si>
  <si>
    <t>2026-05-27 13:48</t>
  </si>
  <si>
    <t>55050</t>
  </si>
  <si>
    <t>270993493</t>
  </si>
  <si>
    <t>NOMBRE RETIRA: JUANITA SERRANO C RUT RETIRA: 20448649-2</t>
  </si>
  <si>
    <t>QYL</t>
  </si>
  <si>
    <t>napoleon, 3211, DEPTO 25</t>
  </si>
  <si>
    <t>2026-05-27 14:21</t>
  </si>
  <si>
    <t>55054</t>
  </si>
  <si>
    <t>270993523</t>
  </si>
  <si>
    <t>NOMBRE RETIRA: CATALINA . . RUT RETIRA: 5333162-9</t>
  </si>
  <si>
    <t>Gonzalo Andrade</t>
  </si>
  <si>
    <t>LAS ARAÑAS, 2290</t>
  </si>
  <si>
    <t>2026-05-27 14:27</t>
  </si>
  <si>
    <t>20617</t>
  </si>
  <si>
    <t>270962599</t>
  </si>
  <si>
    <t>NOMBRE RETIRA: JAIME GAJARDO .. RUT RETIRA: 10559797-5</t>
  </si>
  <si>
    <t>Raul Araya</t>
  </si>
  <si>
    <t>condominio alto las rosas, km 7,3 ruta J-60</t>
  </si>
  <si>
    <t>2026-05-27 09:22</t>
  </si>
  <si>
    <t>55027</t>
  </si>
  <si>
    <t>270992995</t>
  </si>
  <si>
    <t>NOMBRE RETIRA: ANGEL CONSERJE O RUT RETIRA: 53306873-1</t>
  </si>
  <si>
    <t>Marisa Jimenez Jofre</t>
  </si>
  <si>
    <t>Santo Domingo, 1161, depto D1904,</t>
  </si>
  <si>
    <t>2026-05-27 13:36</t>
  </si>
  <si>
    <t>55042</t>
  </si>
  <si>
    <t>270993401</t>
  </si>
  <si>
    <t>NOMBRE RETIRA: RENE RODRIGUEZ . RUT RETIRA: 7513440-1</t>
  </si>
  <si>
    <t>Marisol Bravo</t>
  </si>
  <si>
    <t>Alfredo Silva Carvallo, 2198,  Taller Mecánica Rodríguez</t>
  </si>
  <si>
    <t>20606</t>
  </si>
  <si>
    <t>270799003</t>
  </si>
  <si>
    <t>NOMBRE RETIRA: JORGE URIBE . RUT RETIRA: 13594791-1</t>
  </si>
  <si>
    <t>JORGE URIBE</t>
  </si>
  <si>
    <t>CAMINO PUBLICO LT A 6 QUELLON VIEJO</t>
  </si>
  <si>
    <t>39527</t>
  </si>
  <si>
    <t>270898806</t>
  </si>
  <si>
    <t>NOMBRE RETIRA: CLAUDIO CALVERIA L RUT RETIRA: 13435866-1</t>
  </si>
  <si>
    <t>CRISTIAN CLAVERIAS</t>
  </si>
  <si>
    <t>CAMINO EL CERRO 430 CONDOMINIO LAS TRANQURAS  PARCELA 8 (RINCONADA- VALPARAISO)</t>
  </si>
  <si>
    <t>39251</t>
  </si>
  <si>
    <t>270898819</t>
  </si>
  <si>
    <t>NOMBRE RETIRA: BENITO JARAMILLO . RUT RETIRA: 56083230-3</t>
  </si>
  <si>
    <t>Camila Beltrán Sandoval</t>
  </si>
  <si>
    <t>Brisas del maipo 0446, Depto 404 torre 1A</t>
  </si>
  <si>
    <t>2026-05-26 10:56</t>
  </si>
  <si>
    <t>20599</t>
  </si>
  <si>
    <t>270798994</t>
  </si>
  <si>
    <t>NOMBRE RETIRA: VALERIA RODRIGUEZ . RUT RETIRA: 53322266-8</t>
  </si>
  <si>
    <t>Manuel Santis</t>
  </si>
  <si>
    <t>3 norte 1170, depto 126</t>
  </si>
  <si>
    <t>2026-05-25 10:06</t>
  </si>
  <si>
    <t>39373</t>
  </si>
  <si>
    <t>270798996</t>
  </si>
  <si>
    <t>NOMBRE RETIRA: RICHARD VALDEBENITO . RUT RETIRA: 12828880-5</t>
  </si>
  <si>
    <t>Richard Valdebenito López</t>
  </si>
  <si>
    <t>Pedro de Valdivia 09</t>
  </si>
  <si>
    <t>servicio24062026(2)</t>
  </si>
  <si>
    <t>2326587535</t>
  </si>
  <si>
    <t>Francisco Korff</t>
  </si>
  <si>
    <t>Los Robles 55, Isla Teja</t>
  </si>
  <si>
    <t>2026-06-24 14:54</t>
  </si>
  <si>
    <t>servicio24062026</t>
  </si>
  <si>
    <t>2326579920</t>
  </si>
  <si>
    <t>Wilson miranda lopez</t>
  </si>
  <si>
    <t>Avenida argentina #193</t>
  </si>
  <si>
    <t>2026-06-24 14:47</t>
  </si>
  <si>
    <t>19197</t>
  </si>
  <si>
    <t>2326319052</t>
  </si>
  <si>
    <t>Manuela Fontana</t>
  </si>
  <si>
    <t>El carmen sin numero lote 4B las arañas, El carmen sin numero lote 4B las arañas</t>
  </si>
  <si>
    <t>19195</t>
  </si>
  <si>
    <t>2326318934</t>
  </si>
  <si>
    <t>Luis Montecino</t>
  </si>
  <si>
    <t>brisas del maipo 0571, departamento 322, Brisas del maipo 0571, departamento 322</t>
  </si>
  <si>
    <t>19194</t>
  </si>
  <si>
    <t>2326318875</t>
  </si>
  <si>
    <t>John McNab Castro</t>
  </si>
  <si>
    <t>Leonardo Da Vinci 6940, depto. 406</t>
  </si>
  <si>
    <t>2026-06-24 09:50</t>
  </si>
  <si>
    <t>19192</t>
  </si>
  <si>
    <t>2326318820</t>
  </si>
  <si>
    <t>Eduardo Gabriel Eguillor Recabarren</t>
  </si>
  <si>
    <t>Avenida Echeñique 8533</t>
  </si>
  <si>
    <t>19190</t>
  </si>
  <si>
    <t>2326318794</t>
  </si>
  <si>
    <t>Nicolas Nieto Fernández</t>
  </si>
  <si>
    <t>Juan Enrique Concha 210, depto 609</t>
  </si>
  <si>
    <t>19189</t>
  </si>
  <si>
    <t>2326318691</t>
  </si>
  <si>
    <t>JOSE BOUZO</t>
  </si>
  <si>
    <t>bandera 220, bandera 220</t>
  </si>
  <si>
    <t>19186</t>
  </si>
  <si>
    <t>2326318632</t>
  </si>
  <si>
    <t>scarlette loredana CIFUENTES RAMIREZ</t>
  </si>
  <si>
    <t>camino antuco km 3.5 la cruzada, camino antuco km 3.5 la cruzada</t>
  </si>
  <si>
    <t>2026-06-23 13:37</t>
  </si>
  <si>
    <t>19184</t>
  </si>
  <si>
    <t>2326318584</t>
  </si>
  <si>
    <t>Ignacio Blanco</t>
  </si>
  <si>
    <t>Robles 12729 Depto 507B</t>
  </si>
  <si>
    <t>2026-06-23 13:35</t>
  </si>
  <si>
    <t>19182</t>
  </si>
  <si>
    <t>2325555680</t>
  </si>
  <si>
    <t>Yerko Esperguel toro</t>
  </si>
  <si>
    <t>Isla tenglo 1951 maipu, Isla Tenglo 1951 maipu</t>
  </si>
  <si>
    <t>2026-06-23 11:07</t>
  </si>
  <si>
    <t>19181</t>
  </si>
  <si>
    <t>2325555621</t>
  </si>
  <si>
    <t>Pablo Salva Valenzuela</t>
  </si>
  <si>
    <t>Av. Cristobal Colon 6760, Dpto 702</t>
  </si>
  <si>
    <t>2026-06-23 11:04</t>
  </si>
  <si>
    <t>19180</t>
  </si>
  <si>
    <t>2325445194</t>
  </si>
  <si>
    <t>Humberto Del Fávero Valdés</t>
  </si>
  <si>
    <t>Nocedal 6750, Casa</t>
  </si>
  <si>
    <t>2026-06-23 09:45</t>
  </si>
  <si>
    <t>19179</t>
  </si>
  <si>
    <t>2325445135</t>
  </si>
  <si>
    <t>Albania 1278</t>
  </si>
  <si>
    <t>2026-06-23 09:44</t>
  </si>
  <si>
    <t>19178</t>
  </si>
  <si>
    <t>2325445113</t>
  </si>
  <si>
    <t>Carola Valladares</t>
  </si>
  <si>
    <t>Los conquistadores 6249, Los conquistadores 6249</t>
  </si>
  <si>
    <t>19177</t>
  </si>
  <si>
    <t>2325445065</t>
  </si>
  <si>
    <t>Mauricio Andres Astete Brito</t>
  </si>
  <si>
    <t>Los Carrera 1527</t>
  </si>
  <si>
    <t>19175</t>
  </si>
  <si>
    <t>2325445021</t>
  </si>
  <si>
    <t>Constanza Romero Torrejón</t>
  </si>
  <si>
    <t>Juan Lorenzo Solís Castro 520, Dpto 314</t>
  </si>
  <si>
    <t>2026-06-23 09:34</t>
  </si>
  <si>
    <t>19173</t>
  </si>
  <si>
    <t>2325444940</t>
  </si>
  <si>
    <t>Yasna Palma Guajardo</t>
  </si>
  <si>
    <t>Jacaranda 431</t>
  </si>
  <si>
    <t>2026-06-23 09:31</t>
  </si>
  <si>
    <t>servicio22062026</t>
  </si>
  <si>
    <t>2324825974</t>
  </si>
  <si>
    <t>Renato Montané</t>
  </si>
  <si>
    <t>Av La portada 10 el quisco</t>
  </si>
  <si>
    <t>2026-06-22 16:01</t>
  </si>
  <si>
    <t>40685</t>
  </si>
  <si>
    <t>2324675964</t>
  </si>
  <si>
    <t>Vicente de la Barra</t>
  </si>
  <si>
    <t>Juan XXIII 6821, dpto 102E, Vitacura</t>
  </si>
  <si>
    <t>21019</t>
  </si>
  <si>
    <t>2324675872</t>
  </si>
  <si>
    <t>Barbara Soto</t>
  </si>
  <si>
    <t>Av presidente kennedy 5420, depto 1114, vitacura.</t>
  </si>
  <si>
    <t>21015-2</t>
  </si>
  <si>
    <t>2324584102</t>
  </si>
  <si>
    <t>MARIA ANTONELLA</t>
  </si>
  <si>
    <t>Lincoyan 1726, concepcion</t>
  </si>
  <si>
    <t>19171</t>
  </si>
  <si>
    <t>2324544961</t>
  </si>
  <si>
    <t>Rodrigo Ramos Pradenas</t>
  </si>
  <si>
    <t>San martin poniente 42, Depto 1201, torre JM</t>
  </si>
  <si>
    <t>19169</t>
  </si>
  <si>
    <t>2324544876</t>
  </si>
  <si>
    <t>Philippe Game</t>
  </si>
  <si>
    <t>Alturas de sirena , Curanipe, Alturas de sirena casa 2</t>
  </si>
  <si>
    <t>19165</t>
  </si>
  <si>
    <t>2324544806</t>
  </si>
  <si>
    <t>CLAUDIO Cerda Rivera</t>
  </si>
  <si>
    <t>Avda. Los Carrera 2092, Dpto. 707-A, Condominio Innova.</t>
  </si>
  <si>
    <t>19164</t>
  </si>
  <si>
    <t>2324544703</t>
  </si>
  <si>
    <t>Federico Chaigneau</t>
  </si>
  <si>
    <t>Anfion Muñoz 315, Chilexpress Villarrica</t>
  </si>
  <si>
    <t>19162</t>
  </si>
  <si>
    <t>2324544644</t>
  </si>
  <si>
    <t>Eduardo Saba</t>
  </si>
  <si>
    <t>El golf de Manquehue 9750 casa 318</t>
  </si>
  <si>
    <t>19160</t>
  </si>
  <si>
    <t>2324544596</t>
  </si>
  <si>
    <t>Nataly Rivano</t>
  </si>
  <si>
    <t>Presidente Ibáñez 2450, Presidente ibañez 2450</t>
  </si>
  <si>
    <t>19158</t>
  </si>
  <si>
    <t>2324544526</t>
  </si>
  <si>
    <t>Renato Tauler</t>
  </si>
  <si>
    <t>Calle San Carlos 1737, barrio Toledo, Casa</t>
  </si>
  <si>
    <t>19157</t>
  </si>
  <si>
    <t>2324544434</t>
  </si>
  <si>
    <t>Roxana Andrea Torres Sepulveda</t>
  </si>
  <si>
    <t>Lincoyan 1001, Depto 1211</t>
  </si>
  <si>
    <t>19155</t>
  </si>
  <si>
    <t>2324544375</t>
  </si>
  <si>
    <t>Claudio Quezada</t>
  </si>
  <si>
    <t>Segunda Avenida 1331, Depto 113</t>
  </si>
  <si>
    <t>19154</t>
  </si>
  <si>
    <t>2324544316</t>
  </si>
  <si>
    <t>Rodrigo Rodrigo Sanchez</t>
  </si>
  <si>
    <t>pascual baburizza 885 los andes esquina de los morenos</t>
  </si>
  <si>
    <t>11185</t>
  </si>
  <si>
    <t>2324435842</t>
  </si>
  <si>
    <t>Felipe Reyes</t>
  </si>
  <si>
    <t>Avenida los Libertadores 7209, depto i434</t>
  </si>
  <si>
    <t>2026-06-21 20:23</t>
  </si>
  <si>
    <t>19106_1</t>
  </si>
  <si>
    <t>2322577036</t>
  </si>
  <si>
    <t>Gloria Cazabon Gomez</t>
  </si>
  <si>
    <t>Lagunillas 70, Villa San Pedro</t>
  </si>
  <si>
    <t>2026-06-15 17:57</t>
  </si>
  <si>
    <t>11184-2</t>
  </si>
  <si>
    <t>2322557580</t>
  </si>
  <si>
    <t>Marco Macias</t>
  </si>
  <si>
    <t>El Rodeo 13738, Casa F</t>
  </si>
  <si>
    <t>2026-06-19 12:23</t>
  </si>
  <si>
    <t>19152</t>
  </si>
  <si>
    <t>2322479283</t>
  </si>
  <si>
    <t>Arturo González</t>
  </si>
  <si>
    <t>Los Portones de Linares, Las Obras #0661. Linares, Las Obras 0661</t>
  </si>
  <si>
    <t>2026-06-19 09:32</t>
  </si>
  <si>
    <t>19151</t>
  </si>
  <si>
    <t>2322479250</t>
  </si>
  <si>
    <t>RODOLFo Roth</t>
  </si>
  <si>
    <t>pedro Aguirre cerda 2701, pedro Aguirre cerda 2701</t>
  </si>
  <si>
    <t>2026-06-19 09:31</t>
  </si>
  <si>
    <t>19150</t>
  </si>
  <si>
    <t>2322479213</t>
  </si>
  <si>
    <t>Vanessa Aguirre Huenchullan</t>
  </si>
  <si>
    <t>Manuel Rodriguez 0390,departamento 204, Manuel Rodriguez 0390,departamento 204, Temuco</t>
  </si>
  <si>
    <t>19149</t>
  </si>
  <si>
    <t>2322479165</t>
  </si>
  <si>
    <t>Baltazar Latuz</t>
  </si>
  <si>
    <t>Americo Vespucio Sur 1117 Dep 33, 33</t>
  </si>
  <si>
    <t>2026-06-19 09:28</t>
  </si>
  <si>
    <t>20959</t>
  </si>
  <si>
    <t>2321607245</t>
  </si>
  <si>
    <t>Leonor Carranza</t>
  </si>
  <si>
    <t>Avda del Manantial 18538, casa 6. san bernardo</t>
  </si>
  <si>
    <t>19146</t>
  </si>
  <si>
    <t>2321523256</t>
  </si>
  <si>
    <t>Alejandra Leonor Muñoz Allendes</t>
  </si>
  <si>
    <t>Avenida Ejército Libertador  departamento 542 75</t>
  </si>
  <si>
    <t>19143</t>
  </si>
  <si>
    <t>2321516260</t>
  </si>
  <si>
    <t>Juan Francisco Jara Pichilef</t>
  </si>
  <si>
    <t>Condel 416</t>
  </si>
  <si>
    <t>19145</t>
  </si>
  <si>
    <t>2321516190</t>
  </si>
  <si>
    <t>Hernán Núñez</t>
  </si>
  <si>
    <t>Galvarino Gallardo 1955, depto 202</t>
  </si>
  <si>
    <t>2026-06-18 09:25</t>
  </si>
  <si>
    <t>19140</t>
  </si>
  <si>
    <t>2320819222</t>
  </si>
  <si>
    <t>Andrea⁷ Mera</t>
  </si>
  <si>
    <t>gabriela mistral 878, Gabriela Mistral 879, casa de interior llamar antes</t>
  </si>
  <si>
    <t>2026-06-17 09:54</t>
  </si>
  <si>
    <t>19137</t>
  </si>
  <si>
    <t>2320819152</t>
  </si>
  <si>
    <t>Francisco Reyes Munoz</t>
  </si>
  <si>
    <t>Toesca 2553, Depto 410</t>
  </si>
  <si>
    <t>2026-06-17 09:51</t>
  </si>
  <si>
    <t>19136</t>
  </si>
  <si>
    <t>2320819126</t>
  </si>
  <si>
    <t>Francisco de Castro</t>
  </si>
  <si>
    <t>2026-06-17 09:50</t>
  </si>
  <si>
    <t>19135</t>
  </si>
  <si>
    <t>2320819060</t>
  </si>
  <si>
    <t>Barbara alvarez</t>
  </si>
  <si>
    <t>Antonio moena 1604</t>
  </si>
  <si>
    <t>2026-06-17 09:49</t>
  </si>
  <si>
    <t>19134</t>
  </si>
  <si>
    <t>2320819001</t>
  </si>
  <si>
    <t>Jaime Fernández</t>
  </si>
  <si>
    <t>La Laguna 4898, La Laguna 4898</t>
  </si>
  <si>
    <t>2026-06-17 09:25</t>
  </si>
  <si>
    <t>40611</t>
  </si>
  <si>
    <t>2319741572</t>
  </si>
  <si>
    <t>Mery Avello</t>
  </si>
  <si>
    <t>Av providencia 2411  Depto 41  Providencia</t>
  </si>
  <si>
    <t>2026-06-16 13:01</t>
  </si>
  <si>
    <t>19132</t>
  </si>
  <si>
    <t>2319734410</t>
  </si>
  <si>
    <t>Karla Concha de la cuadra</t>
  </si>
  <si>
    <t>Avda costa Montemar 112 dpto 402, Avda costa Montemar 112 dpto 402</t>
  </si>
  <si>
    <t>11183</t>
  </si>
  <si>
    <t>2319726006</t>
  </si>
  <si>
    <t>Marisol Vega</t>
  </si>
  <si>
    <t>Trinidad oriente 584</t>
  </si>
  <si>
    <t>2026-06-15 18:10</t>
  </si>
  <si>
    <t>19129</t>
  </si>
  <si>
    <t>2319688232</t>
  </si>
  <si>
    <t>GUSTAVO COFRE</t>
  </si>
  <si>
    <t>Avenida Grecia 2510</t>
  </si>
  <si>
    <t>19128</t>
  </si>
  <si>
    <t>2319688195</t>
  </si>
  <si>
    <t>Jocelyn Gabilan Valenzuela</t>
  </si>
  <si>
    <t>Manantiales lote c1 la esperanza peumo, La esperanza</t>
  </si>
  <si>
    <t>19127</t>
  </si>
  <si>
    <t>2319688151</t>
  </si>
  <si>
    <t>CARMEN SOLDADO</t>
  </si>
  <si>
    <t>Av. Troncal San Francisco 2083, Pie andino 2 depto. K403</t>
  </si>
  <si>
    <t>19125</t>
  </si>
  <si>
    <t>2319688114</t>
  </si>
  <si>
    <t>Janshe Brunet</t>
  </si>
  <si>
    <t>California 2250, departamento 205</t>
  </si>
  <si>
    <t>19124</t>
  </si>
  <si>
    <t>2319688055</t>
  </si>
  <si>
    <t>Chris Astorga</t>
  </si>
  <si>
    <t>Condominio pinares de mahuida, San miguel 922 , casa 3 etapa 1</t>
  </si>
  <si>
    <t>2026-06-16 09:23</t>
  </si>
  <si>
    <t>19123</t>
  </si>
  <si>
    <t>2319687985</t>
  </si>
  <si>
    <t>Macarena Carrio</t>
  </si>
  <si>
    <t>Walker Martinez 668, Depto 402</t>
  </si>
  <si>
    <t>19121</t>
  </si>
  <si>
    <t>2319687930</t>
  </si>
  <si>
    <t>christopher galaz jorquera</t>
  </si>
  <si>
    <t>camino a termas de cauquenes 3019, casa n°8, Condominio tricahue</t>
  </si>
  <si>
    <t>19120</t>
  </si>
  <si>
    <t>2319687893</t>
  </si>
  <si>
    <t>Ignacio Ayala</t>
  </si>
  <si>
    <t>San Nicolas 1141, Departamento 808</t>
  </si>
  <si>
    <t>19119</t>
  </si>
  <si>
    <t>2319687790</t>
  </si>
  <si>
    <t>RUBEN HERRERA</t>
  </si>
  <si>
    <t>Santiago Rosas 2401, Torre 1 apartamento 204</t>
  </si>
  <si>
    <t>19118</t>
  </si>
  <si>
    <t>2319687720</t>
  </si>
  <si>
    <t>Carlos Matus Castillo</t>
  </si>
  <si>
    <t>Domingo Ortiz de Rozas 1502</t>
  </si>
  <si>
    <t>19117</t>
  </si>
  <si>
    <t>2319687683</t>
  </si>
  <si>
    <t>Emily Andreina Yanez</t>
  </si>
  <si>
    <t>Av. Libertador Bernardo O'Higgins 4877, Departamento 1705</t>
  </si>
  <si>
    <t>2026-06-15 18:31</t>
  </si>
  <si>
    <t>19115</t>
  </si>
  <si>
    <t>2318601692</t>
  </si>
  <si>
    <t>Cristian Arancibia</t>
  </si>
  <si>
    <t>Santa Victoria 340 depto 1104, santiago, Santiago</t>
  </si>
  <si>
    <t>19114</t>
  </si>
  <si>
    <t>2318601622</t>
  </si>
  <si>
    <t>Veronica Fernandez Omar</t>
  </si>
  <si>
    <t>Alcala de Henares 7448, 9919666-1</t>
  </si>
  <si>
    <t>19113</t>
  </si>
  <si>
    <t>2318601515</t>
  </si>
  <si>
    <t>Pablo Carrillo Pradenas</t>
  </si>
  <si>
    <t>Santo Domingo 652</t>
  </si>
  <si>
    <t>19112</t>
  </si>
  <si>
    <t>2318601456</t>
  </si>
  <si>
    <t>Ramón Carnicer 37, 4</t>
  </si>
  <si>
    <t>19111</t>
  </si>
  <si>
    <t>2318601401</t>
  </si>
  <si>
    <t>Benita Andías Catalán</t>
  </si>
  <si>
    <t>ilabaca 422 Angol, ex mercado Municipal local "Rapa Nui"</t>
  </si>
  <si>
    <t>19109</t>
  </si>
  <si>
    <t>2318601320</t>
  </si>
  <si>
    <t>Sara Bernal Salinas</t>
  </si>
  <si>
    <t>Costanera Viento Norte, parcela 6B Molino Viejo, Llanquihue</t>
  </si>
  <si>
    <t>19108</t>
  </si>
  <si>
    <t>2318601143</t>
  </si>
  <si>
    <t>Maximiliano Mellafe</t>
  </si>
  <si>
    <t>Avenida Chamisero 17985, Casa 8</t>
  </si>
  <si>
    <t>19104</t>
  </si>
  <si>
    <t>2318600911</t>
  </si>
  <si>
    <t>Hernan Buzzoni</t>
  </si>
  <si>
    <t>Waterloo 421</t>
  </si>
  <si>
    <t>19103</t>
  </si>
  <si>
    <t>2318600863</t>
  </si>
  <si>
    <t>Regina Marambio Henzi</t>
  </si>
  <si>
    <t>Shimon Peres 51, Depto 506</t>
  </si>
  <si>
    <t>19102</t>
  </si>
  <si>
    <t>2318600771</t>
  </si>
  <si>
    <t>Valentina Pérez</t>
  </si>
  <si>
    <t>El roble 120, El roble 120</t>
  </si>
  <si>
    <t>2026-06-15 09:55</t>
  </si>
  <si>
    <t>19099</t>
  </si>
  <si>
    <t>2318600701</t>
  </si>
  <si>
    <t>MARIA VICTORIA RAMON</t>
  </si>
  <si>
    <t>AVENIDA CIRCUNVALACION 1472, CASA 136</t>
  </si>
  <si>
    <t>19098</t>
  </si>
  <si>
    <t>2318600690</t>
  </si>
  <si>
    <t>Pauli Elberg</t>
  </si>
  <si>
    <t>Manuel Rodríguez 1885</t>
  </si>
  <si>
    <t>19096</t>
  </si>
  <si>
    <t>2318600513</t>
  </si>
  <si>
    <t>CARINA MEDINA</t>
  </si>
  <si>
    <t>JOSE ZAPIOLA 8707, CASA F</t>
  </si>
  <si>
    <t>19095</t>
  </si>
  <si>
    <t>2318600476</t>
  </si>
  <si>
    <t>Bianca Mira</t>
  </si>
  <si>
    <t>Euclides 1215, Depto 710</t>
  </si>
  <si>
    <t>11182</t>
  </si>
  <si>
    <t>2318319861</t>
  </si>
  <si>
    <t>Fernando Cruz Bonilla</t>
  </si>
  <si>
    <t>Carmen 602 Depto 2402</t>
  </si>
  <si>
    <t>2026-06-12 11:14</t>
  </si>
  <si>
    <t>SERVICIO12062026</t>
  </si>
  <si>
    <t>2316457183</t>
  </si>
  <si>
    <t>María Valentina Durán Becerra</t>
  </si>
  <si>
    <t>Colo colo 571 depto 81</t>
  </si>
  <si>
    <t>20811</t>
  </si>
  <si>
    <t>2316384593</t>
  </si>
  <si>
    <t>ANA KLEIN</t>
  </si>
  <si>
    <t>SANTO DOMINGO 899</t>
  </si>
  <si>
    <t>19089</t>
  </si>
  <si>
    <t>2316381830</t>
  </si>
  <si>
    <t>CARLOS BITAR</t>
  </si>
  <si>
    <t>GLAMIS 3350 APT 101</t>
  </si>
  <si>
    <t>19088</t>
  </si>
  <si>
    <t>2316381804</t>
  </si>
  <si>
    <t>Bernhard Egli</t>
  </si>
  <si>
    <t>La Quena 7809, Las Condes</t>
  </si>
  <si>
    <t>19087</t>
  </si>
  <si>
    <t>2316381712</t>
  </si>
  <si>
    <t>Paula Del Solar</t>
  </si>
  <si>
    <t>Barros Arana 1375, Depto 901</t>
  </si>
  <si>
    <t>19086</t>
  </si>
  <si>
    <t>2316381631</t>
  </si>
  <si>
    <t>Rocio Cassis</t>
  </si>
  <si>
    <t>Avenida Príncipe de Gales 8930</t>
  </si>
  <si>
    <t>2026-06-12 09:33</t>
  </si>
  <si>
    <t>19085</t>
  </si>
  <si>
    <t>2316381572</t>
  </si>
  <si>
    <t>Margarita Díaz Briones</t>
  </si>
  <si>
    <t>Suecia 2955, Depto 44A</t>
  </si>
  <si>
    <t>2026-06-12 09:31</t>
  </si>
  <si>
    <t>19084</t>
  </si>
  <si>
    <t>2316381454</t>
  </si>
  <si>
    <t>Alejandra Herrera Villalobos</t>
  </si>
  <si>
    <t>Calcura 01082</t>
  </si>
  <si>
    <t>2026-06-12 09:24</t>
  </si>
  <si>
    <t>19083</t>
  </si>
  <si>
    <t>2316381395</t>
  </si>
  <si>
    <t>Ruben Ferrada Rios</t>
  </si>
  <si>
    <t>Anibal Pinto 798, Anibal Pinto 798</t>
  </si>
  <si>
    <t>2026-06-12 09:22</t>
  </si>
  <si>
    <t>56341</t>
  </si>
  <si>
    <t>2315722662</t>
  </si>
  <si>
    <t>Liliana Ojeda</t>
  </si>
  <si>
    <t>Curauma norte 999,</t>
  </si>
  <si>
    <t>2026-06-11 16:50</t>
  </si>
  <si>
    <t>56340</t>
  </si>
  <si>
    <t>2315722625</t>
  </si>
  <si>
    <t>ISMAEL DIAZ</t>
  </si>
  <si>
    <t>Los Agapantos 19936</t>
  </si>
  <si>
    <t>2026-06-11 16:49</t>
  </si>
  <si>
    <t>56339</t>
  </si>
  <si>
    <t>2315722603</t>
  </si>
  <si>
    <t>Marcelo Guerrero Lira</t>
  </si>
  <si>
    <t>Costa de Montemar 433,  depto 7</t>
  </si>
  <si>
    <t>2026-06-11 16:48</t>
  </si>
  <si>
    <t>56338</t>
  </si>
  <si>
    <t>2315722581</t>
  </si>
  <si>
    <t>manuel ahumada</t>
  </si>
  <si>
    <t>av argentina 864</t>
  </si>
  <si>
    <t>56337</t>
  </si>
  <si>
    <t>2315722500</t>
  </si>
  <si>
    <t>CRISTIAN VILLOTA</t>
  </si>
  <si>
    <t>alonso de ercilla 7831</t>
  </si>
  <si>
    <t>2026-06-11 16:47</t>
  </si>
  <si>
    <t>56336</t>
  </si>
  <si>
    <t>2315722441</t>
  </si>
  <si>
    <t>Los Pozos 6767, depto 41</t>
  </si>
  <si>
    <t>2026-06-11 16:46</t>
  </si>
  <si>
    <t>56335</t>
  </si>
  <si>
    <t>2315722404</t>
  </si>
  <si>
    <t>Pilar Danobeitia</t>
  </si>
  <si>
    <t>Via esmeralda 9550,</t>
  </si>
  <si>
    <t>2026-06-11 16:45</t>
  </si>
  <si>
    <t>56334</t>
  </si>
  <si>
    <t>2315722371</t>
  </si>
  <si>
    <t>ANA GUZMAN</t>
  </si>
  <si>
    <t>Camino del condor, vitacura 8332</t>
  </si>
  <si>
    <t>56333</t>
  </si>
  <si>
    <t>2315722334</t>
  </si>
  <si>
    <t>dmc abogados eirl dmc</t>
  </si>
  <si>
    <t>Vegas de saldias 250</t>
  </si>
  <si>
    <t>2026-06-11 16:44</t>
  </si>
  <si>
    <t>56332</t>
  </si>
  <si>
    <t>2315722312</t>
  </si>
  <si>
    <t>Andres Gani</t>
  </si>
  <si>
    <t>Av. Quebrada de Macul 8100</t>
  </si>
  <si>
    <t>2026-06-11 16:42</t>
  </si>
  <si>
    <t>19078</t>
  </si>
  <si>
    <t>2315517864</t>
  </si>
  <si>
    <t>Belen Acuña Pizarro</t>
  </si>
  <si>
    <t>Santa elena 570, Casa 47, condominio valle nogales</t>
  </si>
  <si>
    <t>2026-06-11 10:49</t>
  </si>
  <si>
    <t>19076</t>
  </si>
  <si>
    <t>2315517831</t>
  </si>
  <si>
    <t>Julio Alonzo</t>
  </si>
  <si>
    <t>Avenida España 702 departamento 310</t>
  </si>
  <si>
    <t>19074</t>
  </si>
  <si>
    <t>2315517794</t>
  </si>
  <si>
    <t>Anna Braghini</t>
  </si>
  <si>
    <t>Edificio recreo park, Balmaceda 1830, Recreo, VIÑA DEL MAR</t>
  </si>
  <si>
    <t>2026-06-11 10:37</t>
  </si>
  <si>
    <t>19072</t>
  </si>
  <si>
    <t>2315517735</t>
  </si>
  <si>
    <t>EUGENIO GARCÍA VIDAL</t>
  </si>
  <si>
    <t>Los Peumos 19, Condominio Los Bosques, Piedra Roja (Frente a la laguna)</t>
  </si>
  <si>
    <t>19071</t>
  </si>
  <si>
    <t>2315517676</t>
  </si>
  <si>
    <t>Ana Maria Ahumada</t>
  </si>
  <si>
    <t>Avenida Las Condes 12523 Edificio 1 Depto 702</t>
  </si>
  <si>
    <t>19070</t>
  </si>
  <si>
    <t>2315517632</t>
  </si>
  <si>
    <t>Hernán Salinas Muñoz</t>
  </si>
  <si>
    <t>San Martín 232, departamento 713, Santiago., San Martín 232, departamento 713, Santiago</t>
  </si>
  <si>
    <t>2026-06-10 18:27</t>
  </si>
  <si>
    <t>19069</t>
  </si>
  <si>
    <t>2315517562</t>
  </si>
  <si>
    <t>Depto 61 Las Hortensias 2895 Providencia</t>
  </si>
  <si>
    <t>2026-06-10 18:26</t>
  </si>
  <si>
    <t>19066</t>
  </si>
  <si>
    <t>2315517481</t>
  </si>
  <si>
    <t>Erika Parada leiva</t>
  </si>
  <si>
    <t>Rojas Magallanes 2085 depto 707</t>
  </si>
  <si>
    <t>2026-06-10 18:24</t>
  </si>
  <si>
    <t>19068</t>
  </si>
  <si>
    <t>2315517411</t>
  </si>
  <si>
    <t>Fabian Andres Elgueda Flores</t>
  </si>
  <si>
    <t>Pje. Las Facultades # 1884, Pje. Las Facultades # 1884</t>
  </si>
  <si>
    <t>2026-06-10 18:23</t>
  </si>
  <si>
    <t>18989</t>
  </si>
  <si>
    <t>2315503304</t>
  </si>
  <si>
    <t>Tamara Canessa</t>
  </si>
  <si>
    <t>Bramante 711-h</t>
  </si>
  <si>
    <t>11181</t>
  </si>
  <si>
    <t>2314602570</t>
  </si>
  <si>
    <t>Nicolas Williams</t>
  </si>
  <si>
    <t>Nilo Azul 1820 departamento 801, Vitacura</t>
  </si>
  <si>
    <t>2026-06-09 21:48</t>
  </si>
  <si>
    <t>19054</t>
  </si>
  <si>
    <t>2314466125</t>
  </si>
  <si>
    <t>Nicolás Miras</t>
  </si>
  <si>
    <t>dr felix raimann neumann 890, casa 49</t>
  </si>
  <si>
    <t>19064</t>
  </si>
  <si>
    <t>2314466103</t>
  </si>
  <si>
    <t>casaesquina spa</t>
  </si>
  <si>
    <t>zanghellini 296, pueblo malalcahuello, curacautin</t>
  </si>
  <si>
    <t>2026-06-10 10:33</t>
  </si>
  <si>
    <t>19056</t>
  </si>
  <si>
    <t>2314466033</t>
  </si>
  <si>
    <t>silvia ruiz garcia</t>
  </si>
  <si>
    <t>Altos del Parque sur 5590, casa 8, Altos del Parque sur 5590, casa 8</t>
  </si>
  <si>
    <t>2026-06-09 17:35</t>
  </si>
  <si>
    <t>19058</t>
  </si>
  <si>
    <t>2314466022</t>
  </si>
  <si>
    <t>OCTAVIO MIRANDA</t>
  </si>
  <si>
    <t>LAGUNA VERDE 540 CONDOMINIO NORTE, casa 31</t>
  </si>
  <si>
    <t>19057</t>
  </si>
  <si>
    <t>2314465823</t>
  </si>
  <si>
    <t>Beatriz Bolados</t>
  </si>
  <si>
    <t>Calle de La Luna 77, Concón, Chile, 227</t>
  </si>
  <si>
    <t>19061</t>
  </si>
  <si>
    <t>2314465786</t>
  </si>
  <si>
    <t>Javiera Villagran burgos</t>
  </si>
  <si>
    <t>Padre Harter 175 A Depto 102 B, Padre Harter 175 A Depto 102 B</t>
  </si>
  <si>
    <t>19055</t>
  </si>
  <si>
    <t>2314465705</t>
  </si>
  <si>
    <t>Emiliano Jarpa Pérez</t>
  </si>
  <si>
    <t>Manuel Montt 10, Edificio Punta Llanquihue -  Departamento 302</t>
  </si>
  <si>
    <t>19053</t>
  </si>
  <si>
    <t>2314465602</t>
  </si>
  <si>
    <t>Bárbara Arriagada Pérez</t>
  </si>
  <si>
    <t>Peatones Dos 5233</t>
  </si>
  <si>
    <t>servicio09062026</t>
  </si>
  <si>
    <t>2313420152</t>
  </si>
  <si>
    <t>Marco Escobar</t>
  </si>
  <si>
    <t>Presidente Riesco 6007. Depto 905  Las Condes.</t>
  </si>
  <si>
    <t>2026-06-09 13:39</t>
  </si>
  <si>
    <t>40384</t>
  </si>
  <si>
    <t>2313379014</t>
  </si>
  <si>
    <t>celso parra</t>
  </si>
  <si>
    <t>calle san pedro numero 148, comuna lota</t>
  </si>
  <si>
    <t>19042</t>
  </si>
  <si>
    <t>2313224690</t>
  </si>
  <si>
    <t>Boris Aravena</t>
  </si>
  <si>
    <t>Prat, 955</t>
  </si>
  <si>
    <t>19047</t>
  </si>
  <si>
    <t>2313224303</t>
  </si>
  <si>
    <t>Katalina Kehr Contreras</t>
  </si>
  <si>
    <t>Pedro Aguirre Cerda 361, Casa 2</t>
  </si>
  <si>
    <t>19038</t>
  </si>
  <si>
    <t>2312102564</t>
  </si>
  <si>
    <t>Distribuidora de Articulos Medicos Perez Spa</t>
  </si>
  <si>
    <t>Carlos Palacios 1033 Renca Santiago, Carlos Palacios 1033 Renca Santiago</t>
  </si>
  <si>
    <t>19013</t>
  </si>
  <si>
    <t>2312100976</t>
  </si>
  <si>
    <t>Maria Francisca Aguirre Moltedo</t>
  </si>
  <si>
    <t>Calafquen 605, Los Pinos, Reñaca</t>
  </si>
  <si>
    <t>19036</t>
  </si>
  <si>
    <t>2312096754</t>
  </si>
  <si>
    <t>Valeria Frohlich</t>
  </si>
  <si>
    <t>Volcán choshuenco 470</t>
  </si>
  <si>
    <t>19028</t>
  </si>
  <si>
    <t>2312096124</t>
  </si>
  <si>
    <t>Maria Jose Aguilar Burgos</t>
  </si>
  <si>
    <t>Avenida Baquedano 773, Avenida baquedano 773 local comercial</t>
  </si>
  <si>
    <t>19031</t>
  </si>
  <si>
    <t>2312095984</t>
  </si>
  <si>
    <t>Melody Orellana</t>
  </si>
  <si>
    <t>Pelantaro 46, Concepción</t>
  </si>
  <si>
    <t>19035</t>
  </si>
  <si>
    <t>2312095870</t>
  </si>
  <si>
    <t>Francisco Huenufil</t>
  </si>
  <si>
    <t>Alcalde Pedro Alarcón 932, Dpto 1909</t>
  </si>
  <si>
    <t>19033</t>
  </si>
  <si>
    <t>2312095866</t>
  </si>
  <si>
    <t>elizabeth albornoz</t>
  </si>
  <si>
    <t>Diego de losada. Barrio los conquistadores 02680, Diego de losada 02680</t>
  </si>
  <si>
    <t>19032</t>
  </si>
  <si>
    <t>2312095730</t>
  </si>
  <si>
    <t>Francisca Comber</t>
  </si>
  <si>
    <t>Av Raul Labbe 12413, 406c</t>
  </si>
  <si>
    <t>19026</t>
  </si>
  <si>
    <t>2312095726</t>
  </si>
  <si>
    <t>Katherine Valenzuela</t>
  </si>
  <si>
    <t>Pasaje Parque Las Flores 2 # 02687, Pasaje parque las flores 2 #02687</t>
  </si>
  <si>
    <t>19024</t>
  </si>
  <si>
    <t>2312095516</t>
  </si>
  <si>
    <t>Andrea Hanel</t>
  </si>
  <si>
    <t>Mar Negro 1834</t>
  </si>
  <si>
    <t>19025</t>
  </si>
  <si>
    <t>2312095424</t>
  </si>
  <si>
    <t>Myriam Bustamante Baeza</t>
  </si>
  <si>
    <t>Román Díaz 483. Depto 302, Depto 302</t>
  </si>
  <si>
    <t>19023</t>
  </si>
  <si>
    <t>2312082231</t>
  </si>
  <si>
    <t>María Constanza Soto Encina</t>
  </si>
  <si>
    <t>Calle Ocho, 8073</t>
  </si>
  <si>
    <t>19018</t>
  </si>
  <si>
    <t>2312082080</t>
  </si>
  <si>
    <t>Sebastián Alejandro Vargas vargas</t>
  </si>
  <si>
    <t>Av. Vicuña mackena 4927, Departamento 502, torre B</t>
  </si>
  <si>
    <t>19022</t>
  </si>
  <si>
    <t>2312081936</t>
  </si>
  <si>
    <t>Rosio Gonzalez</t>
  </si>
  <si>
    <t>Galvarino, 2429</t>
  </si>
  <si>
    <t>19019</t>
  </si>
  <si>
    <t>2312081881</t>
  </si>
  <si>
    <t>Jessica Caamaño Silva</t>
  </si>
  <si>
    <t>El Alamo 525, El Alamo 0525 San Fernando</t>
  </si>
  <si>
    <t>19016</t>
  </si>
  <si>
    <t>2312081634</t>
  </si>
  <si>
    <t>Nicholas Vanderput</t>
  </si>
  <si>
    <t>Ruta travesia km 76, Waze polen chile</t>
  </si>
  <si>
    <t>19014</t>
  </si>
  <si>
    <t>2312081472</t>
  </si>
  <si>
    <t>Bernardita Espinoza</t>
  </si>
  <si>
    <t>General Carrera 511</t>
  </si>
  <si>
    <t>19017</t>
  </si>
  <si>
    <t>2312081354</t>
  </si>
  <si>
    <t>Mateo Cofre</t>
  </si>
  <si>
    <t>Diagonal Paraguay 360, Diagonal Paraguay 360</t>
  </si>
  <si>
    <t>18856</t>
  </si>
  <si>
    <t>2312037593</t>
  </si>
  <si>
    <t>Sara Bustamante</t>
  </si>
  <si>
    <t>Ines de Suarez 7733 dpto 301, la Florida (dejar en conserjeria)</t>
  </si>
  <si>
    <t>2026-06-05 15:00</t>
  </si>
  <si>
    <t>11180</t>
  </si>
  <si>
    <t>2311978664</t>
  </si>
  <si>
    <t>Manuel Rodriguez Anch</t>
  </si>
  <si>
    <t>Casa 120</t>
  </si>
  <si>
    <t>2026-06-07 21:42</t>
  </si>
  <si>
    <t>11179</t>
  </si>
  <si>
    <t>2311977861</t>
  </si>
  <si>
    <t>Ivan Arteaga beltran</t>
  </si>
  <si>
    <t>Victor juri 1441</t>
  </si>
  <si>
    <t>11177</t>
  </si>
  <si>
    <t>2311975621</t>
  </si>
  <si>
    <t>Conny Nettle</t>
  </si>
  <si>
    <t>Andalien 7320, depto 202</t>
  </si>
  <si>
    <t>2311848744</t>
  </si>
  <si>
    <t>Patricia Burgos garrido</t>
  </si>
  <si>
    <t>El arrayan 287 villa manzanar 287, Curacautin (Referencia: camino internacional,181 klm 73)</t>
  </si>
  <si>
    <t>19012</t>
  </si>
  <si>
    <t>2309569463</t>
  </si>
  <si>
    <t>Jacqueline Torres Mora</t>
  </si>
  <si>
    <t>Pasaje Versalles 5718, Pasaje Versalles 5718</t>
  </si>
  <si>
    <t>2026-06-05 10:36</t>
  </si>
  <si>
    <t>19011</t>
  </si>
  <si>
    <t>2309569430</t>
  </si>
  <si>
    <t>Abigail Acevedo Astorga</t>
  </si>
  <si>
    <t>Acceso estadio marista 0162</t>
  </si>
  <si>
    <t>2026-06-05 10:15</t>
  </si>
  <si>
    <t>19009</t>
  </si>
  <si>
    <t>2309569404</t>
  </si>
  <si>
    <t>Carolain Gajardo</t>
  </si>
  <si>
    <t>Casablanca 7630, Casablanca 7630</t>
  </si>
  <si>
    <t>2026-06-05 10:14</t>
  </si>
  <si>
    <t>19008</t>
  </si>
  <si>
    <t>2309569371</t>
  </si>
  <si>
    <t>Juan Antonio Palomer Music</t>
  </si>
  <si>
    <t>Cardenal Caro 728, Litueche, Hospital de Litueche</t>
  </si>
  <si>
    <t>20768</t>
  </si>
  <si>
    <t>2309562964</t>
  </si>
  <si>
    <t>Consuelo Arias</t>
  </si>
  <si>
    <t>camino antuco km2, villa santa rosa, casa 9, los angeles, region biobio</t>
  </si>
  <si>
    <t>19006</t>
  </si>
  <si>
    <t>2309559792</t>
  </si>
  <si>
    <t>Roberto Breccia Viviani</t>
  </si>
  <si>
    <t>Manuel Rodriguez 1052 Santiago Centro, empresa</t>
  </si>
  <si>
    <t>19001</t>
  </si>
  <si>
    <t>2309558160</t>
  </si>
  <si>
    <t>JOSE MACAYA LAVANDEROS</t>
  </si>
  <si>
    <t>AV. PRESIDENTE RIESCO, Santa Victoria 155</t>
  </si>
  <si>
    <t>40084</t>
  </si>
  <si>
    <t>2309554612</t>
  </si>
  <si>
    <t>Sofia Reinstein</t>
  </si>
  <si>
    <t>los gomeros 1551 depto 303 vitacura</t>
  </si>
  <si>
    <t>2026-06-05 14:48</t>
  </si>
  <si>
    <t>20764</t>
  </si>
  <si>
    <t>2309552593</t>
  </si>
  <si>
    <t>Angélica Infante</t>
  </si>
  <si>
    <t>Bernarda Morin 488, Providencia</t>
  </si>
  <si>
    <t>servicio05062026(3)</t>
  </si>
  <si>
    <t>2309534533</t>
  </si>
  <si>
    <t>Avenida Américo Vespucio Norte 1300 depto 20</t>
  </si>
  <si>
    <t>2026-06-05 14:32</t>
  </si>
  <si>
    <t>servicio05062026(2)</t>
  </si>
  <si>
    <t>2309530333</t>
  </si>
  <si>
    <t>2026-06-05 14:30</t>
  </si>
  <si>
    <t>servicio05062026(1)</t>
  </si>
  <si>
    <t>2309527581</t>
  </si>
  <si>
    <t>Manuel Molina</t>
  </si>
  <si>
    <t>Zenteno 2707, D55</t>
  </si>
  <si>
    <t>2026-06-05 14:29</t>
  </si>
  <si>
    <t>18948</t>
  </si>
  <si>
    <t>2309520113</t>
  </si>
  <si>
    <t>Nancy Mendoza</t>
  </si>
  <si>
    <t>Simón Bolivar 3721 Maipu</t>
  </si>
  <si>
    <t>18947</t>
  </si>
  <si>
    <t>2309518610</t>
  </si>
  <si>
    <t>Cesar pablo Videla obligado</t>
  </si>
  <si>
    <t>Avda. 21 de mayo 3925 casa 48, Condominio Lomas de la cruz paradero 15 la cruz</t>
  </si>
  <si>
    <t>2309443721</t>
  </si>
  <si>
    <t>christian perez</t>
  </si>
  <si>
    <t>km 01. camino villarrica a pucon, villarica</t>
  </si>
  <si>
    <t>2026-06-05 09:53</t>
  </si>
  <si>
    <t>18997</t>
  </si>
  <si>
    <t>2309398254</t>
  </si>
  <si>
    <t>Marcos López</t>
  </si>
  <si>
    <t>Alvaro Santa María 573 Villa Mexico</t>
  </si>
  <si>
    <t>18995</t>
  </si>
  <si>
    <t>2309398184</t>
  </si>
  <si>
    <t>Carlos Salinas Pino</t>
  </si>
  <si>
    <t>Via azul 951, casa 33</t>
  </si>
  <si>
    <t>18994</t>
  </si>
  <si>
    <t>2309398092</t>
  </si>
  <si>
    <t>Ignacio Herrera</t>
  </si>
  <si>
    <t>Josefina Gavilán 296, Población Los Lirios</t>
  </si>
  <si>
    <t>18993</t>
  </si>
  <si>
    <t>2309398022</t>
  </si>
  <si>
    <t>Aragón 125 torre B depto 1001</t>
  </si>
  <si>
    <t>18992</t>
  </si>
  <si>
    <t>2309397996</t>
  </si>
  <si>
    <t>Katherine Cornejo</t>
  </si>
  <si>
    <t>Quinta avenida 1277, Depto 604</t>
  </si>
  <si>
    <t>18991</t>
  </si>
  <si>
    <t>2309397941</t>
  </si>
  <si>
    <t>Yarella Aguilar</t>
  </si>
  <si>
    <t>Francisco Bilbao 85, 513</t>
  </si>
  <si>
    <t>18990</t>
  </si>
  <si>
    <t>2309397871</t>
  </si>
  <si>
    <t>Hans Mandujano</t>
  </si>
  <si>
    <t>Lo Fontecilla 665 casa 23</t>
  </si>
  <si>
    <t>18988</t>
  </si>
  <si>
    <t>2309397764</t>
  </si>
  <si>
    <t>ricardo rosales</t>
  </si>
  <si>
    <t>fatima 1358</t>
  </si>
  <si>
    <t>18984</t>
  </si>
  <si>
    <t>2309397635</t>
  </si>
  <si>
    <t>Jeannette San martin</t>
  </si>
  <si>
    <t>Alameda 1309 Con Las Magnolias. Pbl. Siempre Unidos, Jvr negocio</t>
  </si>
  <si>
    <t>18981</t>
  </si>
  <si>
    <t>2309397510</t>
  </si>
  <si>
    <t>Doris Mariana Clericus Vásquez</t>
  </si>
  <si>
    <t>FRANCISCO PUELMA 20</t>
  </si>
  <si>
    <t>18977</t>
  </si>
  <si>
    <t>2309371223</t>
  </si>
  <si>
    <t>Hernán Zárate</t>
  </si>
  <si>
    <t>Pérez Canto 506, La Calera</t>
  </si>
  <si>
    <t>18975</t>
  </si>
  <si>
    <t>2309371164</t>
  </si>
  <si>
    <t>Jacquelinne Cerro muñoz</t>
  </si>
  <si>
    <t>Pasaje Canal Beagle 14096, San bernardo.</t>
  </si>
  <si>
    <t>18974</t>
  </si>
  <si>
    <t>2309371120</t>
  </si>
  <si>
    <t>Sebastian Madrid</t>
  </si>
  <si>
    <t>El vergel 2095 depto 504</t>
  </si>
  <si>
    <t>18973</t>
  </si>
  <si>
    <t>2309371072</t>
  </si>
  <si>
    <t>Rosita Perey</t>
  </si>
  <si>
    <t>Avenida borgoño 23600</t>
  </si>
  <si>
    <t>18972</t>
  </si>
  <si>
    <t>2309370980</t>
  </si>
  <si>
    <t>sylvia ramis</t>
  </si>
  <si>
    <t>martín de zamora 3796, código postal: 7550390</t>
  </si>
  <si>
    <t>18970</t>
  </si>
  <si>
    <t>2309370884</t>
  </si>
  <si>
    <t>Lesly Dinamarca</t>
  </si>
  <si>
    <t>C. Coya 162 portones de Machalí, Calle Coya 162 portones de Machalí</t>
  </si>
  <si>
    <t>18963</t>
  </si>
  <si>
    <t>2309370766</t>
  </si>
  <si>
    <t>GRACIELA ESCOBAR</t>
  </si>
  <si>
    <t>CALLE EL HARAS 43, ESTANCIA LIRAY</t>
  </si>
  <si>
    <t>18969</t>
  </si>
  <si>
    <t>2309370722</t>
  </si>
  <si>
    <t>Roberto León Velasco</t>
  </si>
  <si>
    <t>Jorge Matte Gormaz 2045 depto 702</t>
  </si>
  <si>
    <t>18966</t>
  </si>
  <si>
    <t>2309370630</t>
  </si>
  <si>
    <t>Carlos Correa</t>
  </si>
  <si>
    <t>Via Naranja 4241, Casa A</t>
  </si>
  <si>
    <t>18965</t>
  </si>
  <si>
    <t>2309370556</t>
  </si>
  <si>
    <t>CARLOS RODRIGUEZ ARAYA</t>
  </si>
  <si>
    <t>ARTURO PRAT 399 DEPTO 309</t>
  </si>
  <si>
    <t>18964</t>
  </si>
  <si>
    <t>2309370486</t>
  </si>
  <si>
    <t>Denisse Saavedra</t>
  </si>
  <si>
    <t>Romilio Burgos 2579, Romilio burgos 2579 vitacura</t>
  </si>
  <si>
    <t>18960</t>
  </si>
  <si>
    <t>2309370372</t>
  </si>
  <si>
    <t>Genoveva Cifuentes</t>
  </si>
  <si>
    <t>Holanda 699, depto 401</t>
  </si>
  <si>
    <t>18958</t>
  </si>
  <si>
    <t>2309370221</t>
  </si>
  <si>
    <t>Maria ignacia Von jentschyk</t>
  </si>
  <si>
    <t>Eusebio Lillo 1540, casa 15</t>
  </si>
  <si>
    <t>18957</t>
  </si>
  <si>
    <t>2309370195</t>
  </si>
  <si>
    <t>Enrique Valdes</t>
  </si>
  <si>
    <t>Pasaje Benjamin Diaz 02- Sarmiento, Pasaje Benjamin Diaz 02 -Sarmiento</t>
  </si>
  <si>
    <t>18956</t>
  </si>
  <si>
    <t>2309370173</t>
  </si>
  <si>
    <t>LUIS Bustamante</t>
  </si>
  <si>
    <t>Valle del Monasterio 2331 casa E</t>
  </si>
  <si>
    <t>18955</t>
  </si>
  <si>
    <t>2309370103</t>
  </si>
  <si>
    <t>Ignacio Galinovic</t>
  </si>
  <si>
    <t>Robles 12729 , C712</t>
  </si>
  <si>
    <t>18953</t>
  </si>
  <si>
    <t>2309369985</t>
  </si>
  <si>
    <t>Karis Hanson</t>
  </si>
  <si>
    <t>Las Lloicas 882</t>
  </si>
  <si>
    <t>18952</t>
  </si>
  <si>
    <t>2309369893</t>
  </si>
  <si>
    <t>Isla tenglo 1951, Isla tenglo 1951</t>
  </si>
  <si>
    <t>18951</t>
  </si>
  <si>
    <t>2309369845</t>
  </si>
  <si>
    <t>Fidias Lopez</t>
  </si>
  <si>
    <t>Juan Bahrs Gutierrez 1520</t>
  </si>
  <si>
    <t>18949</t>
  </si>
  <si>
    <t>2309369775</t>
  </si>
  <si>
    <t>Fabian Biderman</t>
  </si>
  <si>
    <t>Los Juglares 3880, Casa 10</t>
  </si>
  <si>
    <t>18944</t>
  </si>
  <si>
    <t>2309304966</t>
  </si>
  <si>
    <t>Juan Rivera</t>
  </si>
  <si>
    <t>Av. Libertad  63, of. 402</t>
  </si>
  <si>
    <t>18942</t>
  </si>
  <si>
    <t>2309304922</t>
  </si>
  <si>
    <t>Barbara Zlatar</t>
  </si>
  <si>
    <t>El Vergel 2749 d.502</t>
  </si>
  <si>
    <t>18941</t>
  </si>
  <si>
    <t>2309304782</t>
  </si>
  <si>
    <t>Patricio Zamora</t>
  </si>
  <si>
    <t>abdon cifuntes 284</t>
  </si>
  <si>
    <t>18939</t>
  </si>
  <si>
    <t>2309304745</t>
  </si>
  <si>
    <t>Pia Cabrera</t>
  </si>
  <si>
    <t>LOS MAITENES 16120, Casa 34</t>
  </si>
  <si>
    <t>18938</t>
  </si>
  <si>
    <t>2309304723</t>
  </si>
  <si>
    <t>Jaime Andrés Manterola V</t>
  </si>
  <si>
    <t>Camino La Fuente 1188, Las Condes.  Timbre malo, llamar 999792039, Camino La Fuente 1188.  Timbre malo, llamar 999792039</t>
  </si>
  <si>
    <t>18936</t>
  </si>
  <si>
    <t>2309296592</t>
  </si>
  <si>
    <t>marco villarroel</t>
  </si>
  <si>
    <t>Los tepues 487 techo para todos puerto Montt, Casa</t>
  </si>
  <si>
    <t>18935</t>
  </si>
  <si>
    <t>2309296452</t>
  </si>
  <si>
    <t>Macaren Klein Sandoval</t>
  </si>
  <si>
    <t>Pio XI  1140, Depto 504</t>
  </si>
  <si>
    <t>18932</t>
  </si>
  <si>
    <t>2309296404</t>
  </si>
  <si>
    <t>Rodrigo Gaete Astica</t>
  </si>
  <si>
    <t>Los Tres Antonios 191, depto 114</t>
  </si>
  <si>
    <t>18929</t>
  </si>
  <si>
    <t>2309296382</t>
  </si>
  <si>
    <t>Catalina del Rio</t>
  </si>
  <si>
    <t>Brown sur 48, depto 805</t>
  </si>
  <si>
    <t>18926</t>
  </si>
  <si>
    <t>2309296286</t>
  </si>
  <si>
    <t>katia cotoras</t>
  </si>
  <si>
    <t>cabildo  6183 comuna las condes  sector colon /manquehue, casa</t>
  </si>
  <si>
    <t>18925</t>
  </si>
  <si>
    <t>2309296216</t>
  </si>
  <si>
    <t>David Ochoa</t>
  </si>
  <si>
    <t>El Arrayán 155, Condominio lomas de arrayan</t>
  </si>
  <si>
    <t>18923</t>
  </si>
  <si>
    <t>2309296172</t>
  </si>
  <si>
    <t>Camila Klarian</t>
  </si>
  <si>
    <t>Vicuña Mackena 749 departamento 915, La cisterna</t>
  </si>
  <si>
    <t>18922</t>
  </si>
  <si>
    <t>2309296113</t>
  </si>
  <si>
    <t>Rodolfo Meier</t>
  </si>
  <si>
    <t>Avenida Costa de Montemar 710 depto 111, Concon</t>
  </si>
  <si>
    <t>18921</t>
  </si>
  <si>
    <t>2309296076</t>
  </si>
  <si>
    <t>Deivyson Roris</t>
  </si>
  <si>
    <t>Angamos 421, Valle de trinidad, Parcela 20</t>
  </si>
  <si>
    <t>18919</t>
  </si>
  <si>
    <t>2309265696</t>
  </si>
  <si>
    <t>Isabel Reyes</t>
  </si>
  <si>
    <t>Luis Thayer Ojeda 1620, Depto 3</t>
  </si>
  <si>
    <t>18920</t>
  </si>
  <si>
    <t>2309264090</t>
  </si>
  <si>
    <t>Patmos 940</t>
  </si>
  <si>
    <t>18918</t>
  </si>
  <si>
    <t>2309264075</t>
  </si>
  <si>
    <t>Paulette Lepeley</t>
  </si>
  <si>
    <t>Av balmaceda 2885 centro comercial Paseo Balmaceda farmacia Cruz verde</t>
  </si>
  <si>
    <t>18917</t>
  </si>
  <si>
    <t>2309264020</t>
  </si>
  <si>
    <t>María Cecilia González Rojas</t>
  </si>
  <si>
    <t>Vecinal 181, Dpto 52</t>
  </si>
  <si>
    <t>18916</t>
  </si>
  <si>
    <t>2309263961</t>
  </si>
  <si>
    <t>Caterine Cavour</t>
  </si>
  <si>
    <t>Avenida Libertad 750, KATEMI ROMERAL PUNTO BLUEXPRESS</t>
  </si>
  <si>
    <t>18915</t>
  </si>
  <si>
    <t>2309263832</t>
  </si>
  <si>
    <t>Paula Riveros Solís</t>
  </si>
  <si>
    <t>Avda obispo Valdés subercaseaux 1742, Casa 23</t>
  </si>
  <si>
    <t>18914</t>
  </si>
  <si>
    <t>2309263692</t>
  </si>
  <si>
    <t>Juan Guarda Meza</t>
  </si>
  <si>
    <t>Manuel Montt N°575, Casa</t>
  </si>
  <si>
    <t>18910</t>
  </si>
  <si>
    <t>2309248362</t>
  </si>
  <si>
    <t>German Arrate Gonzalez</t>
  </si>
  <si>
    <t>Tegula 261, Tegula 261</t>
  </si>
  <si>
    <t>11175</t>
  </si>
  <si>
    <t>2307662092</t>
  </si>
  <si>
    <t>Ignacio Sotomayor</t>
  </si>
  <si>
    <t>Calle Los Hermanos 11920</t>
  </si>
  <si>
    <t>2026-06-03 09:00</t>
  </si>
  <si>
    <t>11174</t>
  </si>
  <si>
    <t>2307661985</t>
  </si>
  <si>
    <t>Cristian Navarrete</t>
  </si>
  <si>
    <t>Valparaíso 502 casa 30</t>
  </si>
  <si>
    <t>2026-06-02 18:35</t>
  </si>
  <si>
    <t>20758</t>
  </si>
  <si>
    <t>2307630264</t>
  </si>
  <si>
    <t>Gaston Alonso</t>
  </si>
  <si>
    <t>Del Inca 5214, Las Condes</t>
  </si>
  <si>
    <t>18906</t>
  </si>
  <si>
    <t>2307485530</t>
  </si>
  <si>
    <t>Bruno gonzalez serrano</t>
  </si>
  <si>
    <t>Escriva de Balaguer 770, Apt. 1702</t>
  </si>
  <si>
    <t>18905</t>
  </si>
  <si>
    <t>2307485401</t>
  </si>
  <si>
    <t>Guillermo Olmedo</t>
  </si>
  <si>
    <t>Los Conquistadores, Calle El Alferez 041</t>
  </si>
  <si>
    <t>18892</t>
  </si>
  <si>
    <t>2307485320</t>
  </si>
  <si>
    <t>Romina Marianne Vasquez Diaz</t>
  </si>
  <si>
    <t>Ignacio Serrano 418</t>
  </si>
  <si>
    <t>18904</t>
  </si>
  <si>
    <t>2307475365</t>
  </si>
  <si>
    <t>M Teresa Esquivel</t>
  </si>
  <si>
    <t>General Gorostiaga 1033</t>
  </si>
  <si>
    <t>18903</t>
  </si>
  <si>
    <t>2307475273</t>
  </si>
  <si>
    <t>Camino El Milagro 524, Casa</t>
  </si>
  <si>
    <t>18900</t>
  </si>
  <si>
    <t>2307475155</t>
  </si>
  <si>
    <t>Nelson Espinoza</t>
  </si>
  <si>
    <t>Condominio Arcadia, Cuadro verde 160, departamento 143, torre 2.</t>
  </si>
  <si>
    <t>18898</t>
  </si>
  <si>
    <t>2307475052</t>
  </si>
  <si>
    <t>Pamela MENESES CORDERO</t>
  </si>
  <si>
    <t>Carmen Covarrubias 294 depto 301</t>
  </si>
  <si>
    <t>18896</t>
  </si>
  <si>
    <t>2307474956</t>
  </si>
  <si>
    <t>LUIS OSORIO</t>
  </si>
  <si>
    <t>LUIS URIBE 150, Apt. 42</t>
  </si>
  <si>
    <t>18895</t>
  </si>
  <si>
    <t>2307474816</t>
  </si>
  <si>
    <t>Felipe Muñoz Olivares</t>
  </si>
  <si>
    <t>Avenida El Parronal 302, casa 25</t>
  </si>
  <si>
    <t>18893</t>
  </si>
  <si>
    <t>2307474735</t>
  </si>
  <si>
    <t>Claudio Ide</t>
  </si>
  <si>
    <t>Camino a Melipilla 8853, Oficina</t>
  </si>
  <si>
    <t>18890</t>
  </si>
  <si>
    <t>2307474610</t>
  </si>
  <si>
    <t>Patricio Vernal</t>
  </si>
  <si>
    <t>Humberto Trucco 91, Departamento 36</t>
  </si>
  <si>
    <t>18888</t>
  </si>
  <si>
    <t>2306235363</t>
  </si>
  <si>
    <t>MARCELO Muñoz Castillo</t>
  </si>
  <si>
    <t>Rio Cisnes 8570</t>
  </si>
  <si>
    <t>18887</t>
  </si>
  <si>
    <t>2306235326</t>
  </si>
  <si>
    <t>Leonel Rivera</t>
  </si>
  <si>
    <t>Camino el mirador 13100, Casa. 33</t>
  </si>
  <si>
    <t>18883</t>
  </si>
  <si>
    <t>2306235245</t>
  </si>
  <si>
    <t>Mauro FIgueroa</t>
  </si>
  <si>
    <t>Rene Pienovi 1055, Dpto 203 M Agua Santa, Viña del Mar</t>
  </si>
  <si>
    <t>18882</t>
  </si>
  <si>
    <t>2306235175</t>
  </si>
  <si>
    <t>Elizabeth Caro</t>
  </si>
  <si>
    <t>avenida san juan 1554 casa 10 Machali, casa 10</t>
  </si>
  <si>
    <t>18880</t>
  </si>
  <si>
    <t>2306235083</t>
  </si>
  <si>
    <t>hector riquelme</t>
  </si>
  <si>
    <t>huechuraba 1486, HUECHURABA 1486</t>
  </si>
  <si>
    <t>18878</t>
  </si>
  <si>
    <t>2306234910</t>
  </si>
  <si>
    <t>Victor Gutiérrez</t>
  </si>
  <si>
    <t>Tesresa vial 1310, depto 142</t>
  </si>
  <si>
    <t>18877</t>
  </si>
  <si>
    <t>2306234792</t>
  </si>
  <si>
    <t>Sussy del Carmen Oteiza</t>
  </si>
  <si>
    <t>Río cisnes 0035</t>
  </si>
  <si>
    <t>18876</t>
  </si>
  <si>
    <t>2306234722</t>
  </si>
  <si>
    <t>Andres Vasquez</t>
  </si>
  <si>
    <t>Pedro Fontova 7712, Huechuraba</t>
  </si>
  <si>
    <t>18874</t>
  </si>
  <si>
    <t>2306234615</t>
  </si>
  <si>
    <t>Luis Meya</t>
  </si>
  <si>
    <t>Avenida Independencia 437</t>
  </si>
  <si>
    <t>18873</t>
  </si>
  <si>
    <t>2306234545</t>
  </si>
  <si>
    <t>Jose Tomas Aguirre Lyon</t>
  </si>
  <si>
    <t>Hamlet 4275, Departamento 55</t>
  </si>
  <si>
    <t>18871</t>
  </si>
  <si>
    <t>2306234486</t>
  </si>
  <si>
    <t>GALVARINO GALLARDO 2105, 702 TORRE A</t>
  </si>
  <si>
    <t>18870</t>
  </si>
  <si>
    <t>2306234416</t>
  </si>
  <si>
    <t>Daniel Medina Berrocal</t>
  </si>
  <si>
    <t>Los Manzanos 405</t>
  </si>
  <si>
    <t>18868</t>
  </si>
  <si>
    <t>2306209474</t>
  </si>
  <si>
    <t>FELIPE DIEGUEZ</t>
  </si>
  <si>
    <t>4 NORTE 1086, DEPTO 53C EDIFICIO MARBELLA</t>
  </si>
  <si>
    <t>18867</t>
  </si>
  <si>
    <t>2306209404</t>
  </si>
  <si>
    <t>Av la montaña 4603, Depto 129 H</t>
  </si>
  <si>
    <t>18864</t>
  </si>
  <si>
    <t>2306209286</t>
  </si>
  <si>
    <t>jorge andres mires munoz</t>
  </si>
  <si>
    <t>Camino interior punta de lobos 707, Tienda El container</t>
  </si>
  <si>
    <t>18862</t>
  </si>
  <si>
    <t>2306209194</t>
  </si>
  <si>
    <t>Francisco Lermanda Arias</t>
  </si>
  <si>
    <t>Av las perdices 4240, Casa 111</t>
  </si>
  <si>
    <t>18861</t>
  </si>
  <si>
    <t>2306209135</t>
  </si>
  <si>
    <t>Trojir 1763, Trojir 1763</t>
  </si>
  <si>
    <t>18860</t>
  </si>
  <si>
    <t>2306209054</t>
  </si>
  <si>
    <t>Américo Tralma</t>
  </si>
  <si>
    <t>Las Mulatas 360, Casa 70</t>
  </si>
  <si>
    <t>18855</t>
  </si>
  <si>
    <t>2306208914</t>
  </si>
  <si>
    <t>Fernando Saez</t>
  </si>
  <si>
    <t>Altos del parque sur 5590, casa 8</t>
  </si>
  <si>
    <t>18854</t>
  </si>
  <si>
    <t>2306208741</t>
  </si>
  <si>
    <t>Sebastian Alessandri</t>
  </si>
  <si>
    <t>Las Fresas 4444, Dpto 304</t>
  </si>
  <si>
    <t>18853</t>
  </si>
  <si>
    <t>2306208645</t>
  </si>
  <si>
    <t>Cristobal Roman</t>
  </si>
  <si>
    <t>San Carlos de Apoquindo 632</t>
  </si>
  <si>
    <t>18852</t>
  </si>
  <si>
    <t>2306208380</t>
  </si>
  <si>
    <t>ALEJANDRO CHRISTIAN URZUA</t>
  </si>
  <si>
    <t>maria angelica 4361 la florida, La Florida</t>
  </si>
  <si>
    <t>18851</t>
  </si>
  <si>
    <t>2306208284</t>
  </si>
  <si>
    <t>Abraham Salum</t>
  </si>
  <si>
    <t>Las Brisas Oriente 1475</t>
  </si>
  <si>
    <t>18849</t>
  </si>
  <si>
    <t>2306208122</t>
  </si>
  <si>
    <t>Sebastián López</t>
  </si>
  <si>
    <t>horizontes de apoquindo 522</t>
  </si>
  <si>
    <t>18848</t>
  </si>
  <si>
    <t>2306208030</t>
  </si>
  <si>
    <t>Edison Lopez hurtubia</t>
  </si>
  <si>
    <t>Rancagua 526, Rancagua 526</t>
  </si>
  <si>
    <t>18846</t>
  </si>
  <si>
    <t>2306207945</t>
  </si>
  <si>
    <t>Matthieu Kuentz</t>
  </si>
  <si>
    <t>Genova 2060,dpto 1001</t>
  </si>
  <si>
    <t>18843</t>
  </si>
  <si>
    <t>2306207794</t>
  </si>
  <si>
    <t>CECILIA MUÑOZ</t>
  </si>
  <si>
    <t>EL CORRALERO 839</t>
  </si>
  <si>
    <t>18820</t>
  </si>
  <si>
    <t>2305871164</t>
  </si>
  <si>
    <t>Francisco Huentenao</t>
  </si>
  <si>
    <t>Bombero Fuentes 45, depto 807</t>
  </si>
  <si>
    <t>18819</t>
  </si>
  <si>
    <t>2305871105</t>
  </si>
  <si>
    <t>Nathalie Torres</t>
  </si>
  <si>
    <t>Miguel Claro 585 Depto 402</t>
  </si>
  <si>
    <t>18814</t>
  </si>
  <si>
    <t>2305870965</t>
  </si>
  <si>
    <t>Juan Pablo Silva</t>
  </si>
  <si>
    <t>PINTOR COSME SAN MARTIN 2440</t>
  </si>
  <si>
    <t>18818</t>
  </si>
  <si>
    <t>2305861364</t>
  </si>
  <si>
    <t>Ana Maria Miñano</t>
  </si>
  <si>
    <t>Av Surcos de Aguas 1244, Curauma. Valparaiso</t>
  </si>
  <si>
    <t>18816</t>
  </si>
  <si>
    <t>2305861191</t>
  </si>
  <si>
    <t>Barbara Castro Kettkewitz</t>
  </si>
  <si>
    <t>Luis Thayer Ojeda 2185 depto 502 providencia</t>
  </si>
  <si>
    <t>18815</t>
  </si>
  <si>
    <t>2305860933</t>
  </si>
  <si>
    <t>Renato Iturrate</t>
  </si>
  <si>
    <t>Las Perdices 611 casa G, La Reina</t>
  </si>
  <si>
    <t>18813</t>
  </si>
  <si>
    <t>2305860826</t>
  </si>
  <si>
    <t>JAVIER CASTRO RIFFO</t>
  </si>
  <si>
    <t>CAMINO LORETO 2127, CONDOMINIO EL HARAS, P-6</t>
  </si>
  <si>
    <t>18842</t>
  </si>
  <si>
    <t>2305842700</t>
  </si>
  <si>
    <t>Francisco Herrera</t>
  </si>
  <si>
    <t>Principal 783</t>
  </si>
  <si>
    <t>2026-06-02 17:16</t>
  </si>
  <si>
    <t>18840</t>
  </si>
  <si>
    <t>2305842556</t>
  </si>
  <si>
    <t>JOHN JAMES GALLAHER HUCKE</t>
  </si>
  <si>
    <t>Edmundo Eluchans 1275</t>
  </si>
  <si>
    <t>18838</t>
  </si>
  <si>
    <t>2305842383</t>
  </si>
  <si>
    <t>maria luisa arecheta ojeda</t>
  </si>
  <si>
    <t>ruta 225 km 36,5 parcela 19, camino ensenada, ingresar al lago Frente al Tepú</t>
  </si>
  <si>
    <t>18836</t>
  </si>
  <si>
    <t>2305842243</t>
  </si>
  <si>
    <t>Patricio Cesar Morrison González</t>
  </si>
  <si>
    <t>Avenida San Juan, 2054 casa 12</t>
  </si>
  <si>
    <t>18835</t>
  </si>
  <si>
    <t>2305842081</t>
  </si>
  <si>
    <t>Felipe Vega</t>
  </si>
  <si>
    <t>Avenida Macul 2470, 908 Torre Macul</t>
  </si>
  <si>
    <t>18834</t>
  </si>
  <si>
    <t>2305841941</t>
  </si>
  <si>
    <t>Felipe Valladares</t>
  </si>
  <si>
    <t>vicuña mackenna 2155, 301A, vicuña mackenna 2155, 301A</t>
  </si>
  <si>
    <t>18833</t>
  </si>
  <si>
    <t>2305841801</t>
  </si>
  <si>
    <t>NICOLE ALEJANDRA MACAYA HAHN</t>
  </si>
  <si>
    <t>Avenida Las Tranqueras 230, Casa 125</t>
  </si>
  <si>
    <t>18832</t>
  </si>
  <si>
    <t>2305841624</t>
  </si>
  <si>
    <t>Francisco Cruz</t>
  </si>
  <si>
    <t>Av. Pocuro 3009, Departamento 32</t>
  </si>
  <si>
    <t>18831</t>
  </si>
  <si>
    <t>2305841392</t>
  </si>
  <si>
    <t>Magdalena Schmidt</t>
  </si>
  <si>
    <t>General John OBrien 3345, 22B</t>
  </si>
  <si>
    <t>18827</t>
  </si>
  <si>
    <t>2305841215</t>
  </si>
  <si>
    <t>Rodrigo Rojas Awad</t>
  </si>
  <si>
    <t>Las Encinas 3330, depto 105 D</t>
  </si>
  <si>
    <t>18826</t>
  </si>
  <si>
    <t>2305841086</t>
  </si>
  <si>
    <t>Angelina Mansilla</t>
  </si>
  <si>
    <t>6 Y MEDIO ORIENTE 151, DEPTO 702</t>
  </si>
  <si>
    <t>18825</t>
  </si>
  <si>
    <t>2305793803</t>
  </si>
  <si>
    <t>Carolina Guerrini</t>
  </si>
  <si>
    <t>Agustin del Castillo 2799, depto 25</t>
  </si>
  <si>
    <t>18823</t>
  </si>
  <si>
    <t>2305790583</t>
  </si>
  <si>
    <t>Paula Sánchez Godoy</t>
  </si>
  <si>
    <t>Avenida San Sebastián 476 Depto 501 B, Avenida San Sebastián 476 Depto 501 B</t>
  </si>
  <si>
    <t>18822</t>
  </si>
  <si>
    <t>2305783675</t>
  </si>
  <si>
    <t>Rodolfo Ponce</t>
  </si>
  <si>
    <t>juan enrique concha 210, departamento 503</t>
  </si>
  <si>
    <t>18821</t>
  </si>
  <si>
    <t>2305783336</t>
  </si>
  <si>
    <t>Marc Jux</t>
  </si>
  <si>
    <t>Fray Bentos 6099</t>
  </si>
  <si>
    <t>18771-2</t>
  </si>
  <si>
    <t>2305768662</t>
  </si>
  <si>
    <t>Luciano Picco</t>
  </si>
  <si>
    <t>Ruta F 30E, Hijuela El Parque, Aguas Claras,, Lote C3-3</t>
  </si>
  <si>
    <t>18809</t>
  </si>
  <si>
    <t>2305576140</t>
  </si>
  <si>
    <t>Francisco Cortes Castillo</t>
  </si>
  <si>
    <t>Avenida Estadio Colo Colo 2340, Avenida Estadio Colo Colo 2340</t>
  </si>
  <si>
    <t>18807</t>
  </si>
  <si>
    <t>2305576066</t>
  </si>
  <si>
    <t>Dante Donoso</t>
  </si>
  <si>
    <t>Nueva Recoleta 3657 301C</t>
  </si>
  <si>
    <t>18805</t>
  </si>
  <si>
    <t>2305567806</t>
  </si>
  <si>
    <t>Natalia Gomez Ortiz</t>
  </si>
  <si>
    <t>Jorge VI 152 dpto 1303, Las Condes</t>
  </si>
  <si>
    <t>18803</t>
  </si>
  <si>
    <t>2305567714</t>
  </si>
  <si>
    <t>Anelore Lanas Wlach</t>
  </si>
  <si>
    <t>Camino Cervera 1000 parcela 3a, Condominio club de golf las Araucarias Linderos</t>
  </si>
  <si>
    <t>18802</t>
  </si>
  <si>
    <t>2305567563</t>
  </si>
  <si>
    <t>Javiera Ibacache</t>
  </si>
  <si>
    <t>Victor Juri Henriquez 1529</t>
  </si>
  <si>
    <t>18800</t>
  </si>
  <si>
    <t>2305567456</t>
  </si>
  <si>
    <t>Camilo González Munita</t>
  </si>
  <si>
    <t>Evaristo Lillo 286</t>
  </si>
  <si>
    <t>18799</t>
  </si>
  <si>
    <t>2305567364</t>
  </si>
  <si>
    <t>Avda 8 Oriente 1740 Torre 5 dpto 402</t>
  </si>
  <si>
    <t>18796</t>
  </si>
  <si>
    <t>2305567272</t>
  </si>
  <si>
    <t>Joaquin Ruedi</t>
  </si>
  <si>
    <t>Francisco de Villagra 327 - 603 B, 603 B</t>
  </si>
  <si>
    <t>18794</t>
  </si>
  <si>
    <t>2305567213</t>
  </si>
  <si>
    <t>Helen Paredes</t>
  </si>
  <si>
    <t>Nahuelhuapi 437, Nahuelhuapi 437</t>
  </si>
  <si>
    <t>18793</t>
  </si>
  <si>
    <t>2305567121</t>
  </si>
  <si>
    <t>Maria Videla</t>
  </si>
  <si>
    <t>Pio Xi 1140, Departamento 304</t>
  </si>
  <si>
    <t>18791</t>
  </si>
  <si>
    <t>2305567036</t>
  </si>
  <si>
    <t>Karla Cartes</t>
  </si>
  <si>
    <t>La Castrina 6618, La Granja, La Castrina 6618, La Granja</t>
  </si>
  <si>
    <t>18790</t>
  </si>
  <si>
    <t>2305566970</t>
  </si>
  <si>
    <t>Noala Struque</t>
  </si>
  <si>
    <t>Las Acacias 115 Block 6, Estación Central Villa Portales</t>
  </si>
  <si>
    <t>18789</t>
  </si>
  <si>
    <t>2305566863</t>
  </si>
  <si>
    <t>Miguel Solano</t>
  </si>
  <si>
    <t>Las Heras 655, Veterinaria Puerto Pet</t>
  </si>
  <si>
    <t>18787</t>
  </si>
  <si>
    <t>2305566804</t>
  </si>
  <si>
    <t>Estefania López Chiti</t>
  </si>
  <si>
    <t>Varas Mena 771, Dpto 705</t>
  </si>
  <si>
    <t>18786</t>
  </si>
  <si>
    <t>2305566642</t>
  </si>
  <si>
    <t>Nicolás Flores</t>
  </si>
  <si>
    <t>San Sebastián 347, Casa</t>
  </si>
  <si>
    <t>18785</t>
  </si>
  <si>
    <t>2305566524</t>
  </si>
  <si>
    <t>Victor Muñoz</t>
  </si>
  <si>
    <t>Don Carlos 2898, Depto 92</t>
  </si>
  <si>
    <t>18784</t>
  </si>
  <si>
    <t>2305566421</t>
  </si>
  <si>
    <t>Cjon Las Gaviotas PC29, Quintero</t>
  </si>
  <si>
    <t>18783</t>
  </si>
  <si>
    <t>2305566292</t>
  </si>
  <si>
    <t>Eliseo Palma</t>
  </si>
  <si>
    <t>Calle Los Ángeles 417, Hacienda del Maule</t>
  </si>
  <si>
    <t>18781</t>
  </si>
  <si>
    <t>2305566200</t>
  </si>
  <si>
    <t>Elizabeth Cristina Curiqueo Barahona</t>
  </si>
  <si>
    <t>LLAGUEPULLI HJ. 4 PARTE, LLaguepulli s/n sector rural, Teodoro Schmidt, Region de La Araucanía</t>
  </si>
  <si>
    <t>18782</t>
  </si>
  <si>
    <t>2305565990</t>
  </si>
  <si>
    <t>Fernanda Hinojosa Muñoz</t>
  </si>
  <si>
    <t>Camilo Henriquez 2222 dpto 609</t>
  </si>
  <si>
    <t>18780</t>
  </si>
  <si>
    <t>2305565894</t>
  </si>
  <si>
    <t>Cristian Murua</t>
  </si>
  <si>
    <t>Huanque 2470, Huanque 2470</t>
  </si>
  <si>
    <t>18779</t>
  </si>
  <si>
    <t>2305565835</t>
  </si>
  <si>
    <t>Jaime Olate</t>
  </si>
  <si>
    <t>Toesca 2246, 8200000 Santiago, Región Metropolitana, Chile, 308</t>
  </si>
  <si>
    <t>18777</t>
  </si>
  <si>
    <t>2305481474</t>
  </si>
  <si>
    <t>JUAN ARAYA</t>
  </si>
  <si>
    <t>O'HIGGINS 345, QUILLOTA</t>
  </si>
  <si>
    <t>18748</t>
  </si>
  <si>
    <t>2305481382</t>
  </si>
  <si>
    <t>6 1/2 Oriente 151, Depto 702</t>
  </si>
  <si>
    <t>18778</t>
  </si>
  <si>
    <t>2305476751</t>
  </si>
  <si>
    <t>Eduardo Diaz</t>
  </si>
  <si>
    <t>Cerro Sombrero 01729, 302</t>
  </si>
  <si>
    <t>18776</t>
  </si>
  <si>
    <t>2305476692</t>
  </si>
  <si>
    <t>Maria Francisca Silva Sainz</t>
  </si>
  <si>
    <t>Carampangue 560</t>
  </si>
  <si>
    <t>18775</t>
  </si>
  <si>
    <t>2305476596</t>
  </si>
  <si>
    <t>kerstin riquelme</t>
  </si>
  <si>
    <t>Parlamento de Negrete 90, Parlamento de Negrete casa 90</t>
  </si>
  <si>
    <t>18772</t>
  </si>
  <si>
    <t>2305476526</t>
  </si>
  <si>
    <t>Macarena Peri</t>
  </si>
  <si>
    <t>Laura Barros 120, Calle el rodeo Casa 215 , condominio Altomar</t>
  </si>
  <si>
    <t>18769</t>
  </si>
  <si>
    <t>2305476386</t>
  </si>
  <si>
    <t>Briones luco 0355, Depto 511</t>
  </si>
  <si>
    <t>18768</t>
  </si>
  <si>
    <t>2305476331</t>
  </si>
  <si>
    <t>Sebastián Wikipedia Sandoval</t>
  </si>
  <si>
    <t>Bilbao 356 talcahuano, Balmaceda 520 talcahuano</t>
  </si>
  <si>
    <t>18765</t>
  </si>
  <si>
    <t>2305476224</t>
  </si>
  <si>
    <t>Constanza Undurraga</t>
  </si>
  <si>
    <t>Bordelago norte 538</t>
  </si>
  <si>
    <t>18764</t>
  </si>
  <si>
    <t>2305476213</t>
  </si>
  <si>
    <t>Katherine Ninoska Vásquez Muñoz</t>
  </si>
  <si>
    <t>Club Hípico 1528, Club Hípico 1528, Depto 1506</t>
  </si>
  <si>
    <t>18763</t>
  </si>
  <si>
    <t>2305475885</t>
  </si>
  <si>
    <t>Cristian Caruz Santibañez</t>
  </si>
  <si>
    <t>Av kennedy 1015, Timbre portón</t>
  </si>
  <si>
    <t>18760</t>
  </si>
  <si>
    <t>2305475524</t>
  </si>
  <si>
    <t>AV LOS LIBERTADORES 4733, C1 604B</t>
  </si>
  <si>
    <t>18759</t>
  </si>
  <si>
    <t>2305475314</t>
  </si>
  <si>
    <t>Felipe Dintrans</t>
  </si>
  <si>
    <t>Ruperto Correa 2335, casa 107</t>
  </si>
  <si>
    <t>18757</t>
  </si>
  <si>
    <t>2305475266</t>
  </si>
  <si>
    <t>María Teresa Cuevas</t>
  </si>
  <si>
    <t>Luis Thayer Ojeda 1144, depto 1601</t>
  </si>
  <si>
    <t>18756</t>
  </si>
  <si>
    <t>2305475023</t>
  </si>
  <si>
    <t>Marisol Pinto Guzmán</t>
  </si>
  <si>
    <t>Avenida Lomas de la Luz 3846, 411 torre i</t>
  </si>
  <si>
    <t>18752</t>
  </si>
  <si>
    <t>2305474916</t>
  </si>
  <si>
    <t>Josefa Antonia Hidalgo Perez</t>
  </si>
  <si>
    <t>Silvina Hurtado 1556, Departamento 401</t>
  </si>
  <si>
    <t>18751</t>
  </si>
  <si>
    <t>2305474791</t>
  </si>
  <si>
    <t>Fernanda Monardes</t>
  </si>
  <si>
    <t>Hamlet 4200, 1301</t>
  </si>
  <si>
    <t>18749</t>
  </si>
  <si>
    <t>2305474636</t>
  </si>
  <si>
    <t>Karen Tapia Gómez</t>
  </si>
  <si>
    <t>Av. Ossa 1156, Depto 804 T3</t>
  </si>
  <si>
    <t>18747</t>
  </si>
  <si>
    <t>2305474500</t>
  </si>
  <si>
    <t>Joaquin Soto Arenas</t>
  </si>
  <si>
    <t>Calle Aymara #3921, Condominio Puerta Norte II Torre 7 Dpto 102</t>
  </si>
  <si>
    <t>18745</t>
  </si>
  <si>
    <t>2305474452</t>
  </si>
  <si>
    <t>Consuelo Vitar</t>
  </si>
  <si>
    <t>Avenida Cristobal ColÓn 1104b, 1104b, 1104b</t>
  </si>
  <si>
    <t>18743</t>
  </si>
  <si>
    <t>2305416890</t>
  </si>
  <si>
    <t>yesenia sepulveda</t>
  </si>
  <si>
    <t>Thomas Edison, 260</t>
  </si>
  <si>
    <t>18742</t>
  </si>
  <si>
    <t>2305416794</t>
  </si>
  <si>
    <t>Matías de la Fuente Fernández</t>
  </si>
  <si>
    <t>Escandinavia 298, Dpto 704, Escandinavia 298, Dpto 704</t>
  </si>
  <si>
    <t>18741</t>
  </si>
  <si>
    <t>2305416735</t>
  </si>
  <si>
    <t>Francia Meneses</t>
  </si>
  <si>
    <t>Miraflores 7153, Miraflores7153</t>
  </si>
  <si>
    <t>18739</t>
  </si>
  <si>
    <t>2305416654</t>
  </si>
  <si>
    <t>Cristobal Zenteno</t>
  </si>
  <si>
    <t>av vicuña mackenna 4192, dpto 1708 torre 1</t>
  </si>
  <si>
    <t>18738</t>
  </si>
  <si>
    <t>2305416481</t>
  </si>
  <si>
    <t>Maria Ignacia Marchant</t>
  </si>
  <si>
    <t>El peral 920, Depto 107, Lo barnechea</t>
  </si>
  <si>
    <t>18732</t>
  </si>
  <si>
    <t>2305416326</t>
  </si>
  <si>
    <t>Vivian Aedo</t>
  </si>
  <si>
    <t>las dalias 2138</t>
  </si>
  <si>
    <t>18706</t>
  </si>
  <si>
    <t>2305405550</t>
  </si>
  <si>
    <t>Constanza Meza</t>
  </si>
  <si>
    <t>Camino El Algarrobo 23 Condom Los Algarrobos III casa 22, Chicureo</t>
  </si>
  <si>
    <t>2026-06-01 18:30</t>
  </si>
  <si>
    <t>20709</t>
  </si>
  <si>
    <t>2303939131</t>
  </si>
  <si>
    <t>Abraham Martinez</t>
  </si>
  <si>
    <t>Río guanaco #1271 cauquenes, región del maule</t>
  </si>
  <si>
    <t>18728</t>
  </si>
  <si>
    <t>2303379993</t>
  </si>
  <si>
    <t>Karinna Cofre</t>
  </si>
  <si>
    <t>Parcela 102 el triángulo, Empresa ollagua</t>
  </si>
  <si>
    <t>18727</t>
  </si>
  <si>
    <t>2303379820</t>
  </si>
  <si>
    <t>Tomas Ignacio Varela</t>
  </si>
  <si>
    <t>Avenida Principe de Gales 5800, La Reina, Avenida Principe de Gales 5800, La Reina</t>
  </si>
  <si>
    <t>18724</t>
  </si>
  <si>
    <t>2303379632</t>
  </si>
  <si>
    <t>Gerardo Kutscher Samaniego</t>
  </si>
  <si>
    <t>El Almendro Oriente 701</t>
  </si>
  <si>
    <t>18723</t>
  </si>
  <si>
    <t>2303367850</t>
  </si>
  <si>
    <t>Rosario Valderrama Tealdo</t>
  </si>
  <si>
    <t>SIMON BOLIVAR 4215, Apt. 111</t>
  </si>
  <si>
    <t>18722</t>
  </si>
  <si>
    <t>2303367603</t>
  </si>
  <si>
    <t>EXEQUIEL FERNANDEZ 1482, Departamento 501</t>
  </si>
  <si>
    <t>18717</t>
  </si>
  <si>
    <t>2303336453</t>
  </si>
  <si>
    <t>Belén Abásolo</t>
  </si>
  <si>
    <t>Camino Las Pataguas 16015, Casa 6</t>
  </si>
  <si>
    <t>18716</t>
  </si>
  <si>
    <t>2303336291</t>
  </si>
  <si>
    <t>Camila Silva Barriga</t>
  </si>
  <si>
    <t>Samuel Santana 810, Condominio el Lingue casa 29</t>
  </si>
  <si>
    <t>18714</t>
  </si>
  <si>
    <t>2303336136</t>
  </si>
  <si>
    <t>Catalina Gajardo granifo</t>
  </si>
  <si>
    <t>El Narval 4 Norte Casa 265, El Narval 4 Norte casa 265</t>
  </si>
  <si>
    <t>18713</t>
  </si>
  <si>
    <t>2303335926</t>
  </si>
  <si>
    <t>Alonso de Cordova 2681, Depto 203</t>
  </si>
  <si>
    <t>18710</t>
  </si>
  <si>
    <t>2303335613</t>
  </si>
  <si>
    <t>Ana Carmona</t>
  </si>
  <si>
    <t>Avenida Los espinos 2365, Condominio San José de Talagante Parcela 22</t>
  </si>
  <si>
    <t>18709</t>
  </si>
  <si>
    <t>2303312616</t>
  </si>
  <si>
    <t>Jose Llanes</t>
  </si>
  <si>
    <t>Pedro Fontova 8085, 21</t>
  </si>
  <si>
    <t>18705</t>
  </si>
  <si>
    <t>2303312550</t>
  </si>
  <si>
    <t>Raimundo Sanchez</t>
  </si>
  <si>
    <t>Reyes Lavalle 3160, Depto. 91</t>
  </si>
  <si>
    <t>18703</t>
  </si>
  <si>
    <t>2303312454</t>
  </si>
  <si>
    <t>stefi tamburrino</t>
  </si>
  <si>
    <t>victor rae 6023</t>
  </si>
  <si>
    <t>18702</t>
  </si>
  <si>
    <t>2303312384</t>
  </si>
  <si>
    <t>Santa Maria 5600, Avenida Presidente Riesco 6445, dp. 301-C</t>
  </si>
  <si>
    <t>18700</t>
  </si>
  <si>
    <t>2303312292</t>
  </si>
  <si>
    <t>Raul Guzman</t>
  </si>
  <si>
    <t>carampangue 1270, etapa 3 parcela 49</t>
  </si>
  <si>
    <t>18699</t>
  </si>
  <si>
    <t>2303312233</t>
  </si>
  <si>
    <t>Jacinta Iglesias</t>
  </si>
  <si>
    <t>av. cristobal colon 4152, 104</t>
  </si>
  <si>
    <t>18698</t>
  </si>
  <si>
    <t>2303312056</t>
  </si>
  <si>
    <t>Raimundo Alcalde Bercovich</t>
  </si>
  <si>
    <t>Av. Kennedy 3456, Depto 82</t>
  </si>
  <si>
    <t>18697</t>
  </si>
  <si>
    <t>2303311905</t>
  </si>
  <si>
    <t>Marcelo Sobarzo</t>
  </si>
  <si>
    <t>Madame Adriana Bolland 100, Depto 407, Madame Adriana Bolland 100, Depto 407</t>
  </si>
  <si>
    <t>11173</t>
  </si>
  <si>
    <t>2303246735</t>
  </si>
  <si>
    <t>Jose Ibacache Pinto</t>
  </si>
  <si>
    <t>Las Perdices 2900, 28</t>
  </si>
  <si>
    <t>2026-06-01 21:36</t>
  </si>
  <si>
    <t>11172</t>
  </si>
  <si>
    <t>2303244182</t>
  </si>
  <si>
    <t>Martín Kaltwasser</t>
  </si>
  <si>
    <t>Avenida Paseo los Bravos 5025 casa 4</t>
  </si>
  <si>
    <t>11171</t>
  </si>
  <si>
    <t>2303244016</t>
  </si>
  <si>
    <t>Condominio Los Condores 44 Chicureo</t>
  </si>
  <si>
    <t>18694</t>
  </si>
  <si>
    <t>2301584703</t>
  </si>
  <si>
    <t>Gonzalo Fernandez Vasconcello</t>
  </si>
  <si>
    <t>los platanos 2487, Los Platanos 2487</t>
  </si>
  <si>
    <t>2026-06-01 12:43</t>
  </si>
  <si>
    <t>18693</t>
  </si>
  <si>
    <t>2301584655</t>
  </si>
  <si>
    <t>Carolina Prieto Raby</t>
  </si>
  <si>
    <t>Las Hortensias 2444 depto 702</t>
  </si>
  <si>
    <t>18691</t>
  </si>
  <si>
    <t>2301584541</t>
  </si>
  <si>
    <t>Felipe Zamorano</t>
  </si>
  <si>
    <t>Fernando de Arguello 6699, depto. 504</t>
  </si>
  <si>
    <t>18690</t>
  </si>
  <si>
    <t>2301584412</t>
  </si>
  <si>
    <t>William Mora</t>
  </si>
  <si>
    <t>Pasaje Rio Maule Norte 3819, Peñalolen, Condominio Barrio Los Valles.</t>
  </si>
  <si>
    <t>18689</t>
  </si>
  <si>
    <t>2301584283</t>
  </si>
  <si>
    <t>Rodrigo Gallardo</t>
  </si>
  <si>
    <t>Tarapaca 876, Departamento 1902</t>
  </si>
  <si>
    <t>18688</t>
  </si>
  <si>
    <t>2301584235</t>
  </si>
  <si>
    <t>Carla Norambuena Loiza</t>
  </si>
  <si>
    <t>Graneros, Cuarta Hijuela, Camino Interior 105</t>
  </si>
  <si>
    <t>18685</t>
  </si>
  <si>
    <t>2301584154</t>
  </si>
  <si>
    <t>Santiago Aylwin</t>
  </si>
  <si>
    <t>europa 1963, depto 409</t>
  </si>
  <si>
    <t>18684</t>
  </si>
  <si>
    <t>2301584025</t>
  </si>
  <si>
    <t>doris ramos</t>
  </si>
  <si>
    <t>portal alameda 3 calle 3 casa 349</t>
  </si>
  <si>
    <t>18683</t>
  </si>
  <si>
    <t>2301583966</t>
  </si>
  <si>
    <t>Gastón González</t>
  </si>
  <si>
    <t>Alcalde Flores Millan 1871, Casa 56 - Condominio Montepiedra</t>
  </si>
  <si>
    <t>18677</t>
  </si>
  <si>
    <t>2301583885</t>
  </si>
  <si>
    <t>Michelle Denise Pereira Pereira</t>
  </si>
  <si>
    <t>El Peral viejo ruta m-50 constitución, Pasado revisión técnica a unos 4 minutos antes de bajar atrás de la garita</t>
  </si>
  <si>
    <t>18674</t>
  </si>
  <si>
    <t>2301583760</t>
  </si>
  <si>
    <t>Cristobal Kaltwasser Boetsch</t>
  </si>
  <si>
    <t>El Rincon 12464, Casa 2</t>
  </si>
  <si>
    <t>18673</t>
  </si>
  <si>
    <t>2301583524</t>
  </si>
  <si>
    <t>Alberto Araya</t>
  </si>
  <si>
    <t>Orinoco 99 Las Condes, Depto 707, Orinoco 99 Las Condes, Depto 707</t>
  </si>
  <si>
    <t>18681</t>
  </si>
  <si>
    <t>2301546251</t>
  </si>
  <si>
    <t>Jorge Venegas</t>
  </si>
  <si>
    <t>Camino del Roble 1757, Casa 46</t>
  </si>
  <si>
    <t>18676</t>
  </si>
  <si>
    <t>2301546192</t>
  </si>
  <si>
    <t>Avenida irarrazabal 5485 Ñuñoa, 807A</t>
  </si>
  <si>
    <t>18672</t>
  </si>
  <si>
    <t>2301546015</t>
  </si>
  <si>
    <t>maria Santidrián sime</t>
  </si>
  <si>
    <t>Cruz del sur 333, Depto 302</t>
  </si>
  <si>
    <t>18671</t>
  </si>
  <si>
    <t>2301068840</t>
  </si>
  <si>
    <t>Cristóbal Zúñiga</t>
  </si>
  <si>
    <t>Av. Tobalaba 1745, Depto 501</t>
  </si>
  <si>
    <t>18669</t>
  </si>
  <si>
    <t>2301068696</t>
  </si>
  <si>
    <t>Edmundo Ziede Rojas</t>
  </si>
  <si>
    <t>Eduardo Meyer Eggers 2754</t>
  </si>
  <si>
    <t>18668</t>
  </si>
  <si>
    <t>2301068464</t>
  </si>
  <si>
    <t>Laguna Verde 540 condominio norte, casa 31</t>
  </si>
  <si>
    <t>18664</t>
  </si>
  <si>
    <t>2301066471</t>
  </si>
  <si>
    <t>Braulio Contreras</t>
  </si>
  <si>
    <t>Lo Pinto S/N Condominio Los Jardines de Colina, Parcela 38, Frente Colegio Trewhelas Chicureo (Lo Pinto)</t>
  </si>
  <si>
    <t>18663</t>
  </si>
  <si>
    <t>2301031434</t>
  </si>
  <si>
    <t>Camila López Ortiz</t>
  </si>
  <si>
    <t>Escriva de Balaguer 725, depto 42, concon</t>
  </si>
  <si>
    <t>18662</t>
  </si>
  <si>
    <t>2301031213</t>
  </si>
  <si>
    <t>Marcelo Canessa</t>
  </si>
  <si>
    <t>General Gorostiaga 1259</t>
  </si>
  <si>
    <t>18661</t>
  </si>
  <si>
    <t>2301031062</t>
  </si>
  <si>
    <t>candy baez</t>
  </si>
  <si>
    <t>Rímac 8527, Pudahuel</t>
  </si>
  <si>
    <t>18660</t>
  </si>
  <si>
    <t>2301030966</t>
  </si>
  <si>
    <t>FEDERICO CHAIGNEAU</t>
  </si>
  <si>
    <t>El Matico 3770, departamento 406B, Vitacura</t>
  </si>
  <si>
    <t>18658</t>
  </si>
  <si>
    <t>2301030911</t>
  </si>
  <si>
    <t>Eduardo Inostroza</t>
  </si>
  <si>
    <t>guardia marina riquelme 4861, depto 406</t>
  </si>
  <si>
    <t>18654</t>
  </si>
  <si>
    <t>2301013072</t>
  </si>
  <si>
    <t>Jorge ORyan</t>
  </si>
  <si>
    <t>La Macarena 84, La Macarena 84</t>
  </si>
  <si>
    <t>18653</t>
  </si>
  <si>
    <t>2301012954</t>
  </si>
  <si>
    <t>Patricio Olate Bravo</t>
  </si>
  <si>
    <t>Cristo Redentor 594 Coronel, Cristo Redentor 594 Coronel</t>
  </si>
  <si>
    <t>18648</t>
  </si>
  <si>
    <t>2301012836</t>
  </si>
  <si>
    <t>Alejandro Gajardo Repetto</t>
  </si>
  <si>
    <t>Av. Egaña 897</t>
  </si>
  <si>
    <t>18643</t>
  </si>
  <si>
    <t>2301012626</t>
  </si>
  <si>
    <t>paul rolando marcacuzco rios</t>
  </si>
  <si>
    <t>laguna el laja norte 9078, laguna el laja norte 9078</t>
  </si>
  <si>
    <t>18641</t>
  </si>
  <si>
    <t>2301012512</t>
  </si>
  <si>
    <t>Alonso Segeur</t>
  </si>
  <si>
    <t>Camino Los Lirios 5661</t>
  </si>
  <si>
    <t>18640</t>
  </si>
  <si>
    <t>2301012416</t>
  </si>
  <si>
    <t>Jorge Crothers Palma</t>
  </si>
  <si>
    <t>Granaderos 4354, depto 31, calama, Calama, villa huaytiquina</t>
  </si>
  <si>
    <t>18638</t>
  </si>
  <si>
    <t>2301012221</t>
  </si>
  <si>
    <t>ERIKA LEIVA</t>
  </si>
  <si>
    <t>6 NORTE 1015 DPTO 904</t>
  </si>
  <si>
    <t>18637</t>
  </si>
  <si>
    <t>2301012092</t>
  </si>
  <si>
    <t>Carolina Cueto Diaz</t>
  </si>
  <si>
    <t>Ruta F-220,  Pucalan s/n Puchuncaví</t>
  </si>
  <si>
    <t>18635</t>
  </si>
  <si>
    <t>2301012033</t>
  </si>
  <si>
    <t>konrad luna</t>
  </si>
  <si>
    <t>nicolas 1755 , C-103. Cipreses de torreones 2</t>
  </si>
  <si>
    <t>18634</t>
  </si>
  <si>
    <t>2301011941</t>
  </si>
  <si>
    <t>Damian Iglesias Thomas</t>
  </si>
  <si>
    <t>California 2166</t>
  </si>
  <si>
    <t>18631</t>
  </si>
  <si>
    <t>2301011786</t>
  </si>
  <si>
    <t>María victoria Zuñiga</t>
  </si>
  <si>
    <t>Avenida el parronal 51b casa 24, Condominio la cosecha sur</t>
  </si>
  <si>
    <t>18630</t>
  </si>
  <si>
    <t>2301011683</t>
  </si>
  <si>
    <t>Cinthya Urbina Behrens</t>
  </si>
  <si>
    <t>Manuel Montt 950 A</t>
  </si>
  <si>
    <t>18628</t>
  </si>
  <si>
    <t>2301011532</t>
  </si>
  <si>
    <t>kevin avila</t>
  </si>
  <si>
    <t>avenida quillayquen s/n, coltauco, rinconada de parral sector el mutro</t>
  </si>
  <si>
    <t>18627</t>
  </si>
  <si>
    <t>2301011355</t>
  </si>
  <si>
    <t>María Constanza Carreño Sánchez</t>
  </si>
  <si>
    <t>Pasaje eucaliptus cinco #1496, 1496</t>
  </si>
  <si>
    <t>18624</t>
  </si>
  <si>
    <t>2301011171</t>
  </si>
  <si>
    <t>Luis Felipe Vargas Abarzua</t>
  </si>
  <si>
    <t>Av la trinidad 1266, Av la Trinidad esquina con latorre</t>
  </si>
  <si>
    <t>18622</t>
  </si>
  <si>
    <t>2301011101</t>
  </si>
  <si>
    <t>Sofia Iglesias Vargas</t>
  </si>
  <si>
    <t>Avenida San Juan Bosco 1863, 805</t>
  </si>
  <si>
    <t>18621</t>
  </si>
  <si>
    <t>2301010902</t>
  </si>
  <si>
    <t>Jorge Carrillo Plaza</t>
  </si>
  <si>
    <t>Los piñones 40, casa 50</t>
  </si>
  <si>
    <t>18620</t>
  </si>
  <si>
    <t>2301010843</t>
  </si>
  <si>
    <t>Astrid Barril Schuman</t>
  </si>
  <si>
    <t>Antofagasta 185 depto 1003A, Gómez Carreño</t>
  </si>
  <si>
    <t>18617</t>
  </si>
  <si>
    <t>2300901002</t>
  </si>
  <si>
    <t>Juan Pablo Rojas</t>
  </si>
  <si>
    <t>Costa de Montemar 50, Viña del Mar, Dpto 705</t>
  </si>
  <si>
    <t>11170</t>
  </si>
  <si>
    <t>2300888936</t>
  </si>
  <si>
    <t>Cristian Mahuzier</t>
  </si>
  <si>
    <t>Los Maitenes 970</t>
  </si>
  <si>
    <t>18619</t>
  </si>
  <si>
    <t>2300883115</t>
  </si>
  <si>
    <t>Natalia Baez</t>
  </si>
  <si>
    <t>Canal de la luz oriente 877</t>
  </si>
  <si>
    <t>18618</t>
  </si>
  <si>
    <t>2300882776</t>
  </si>
  <si>
    <t>ENTREGADO. Entregados: 5 de 6</t>
  </si>
  <si>
    <t>Pedro Pablo Cerda</t>
  </si>
  <si>
    <t>El Ciruelillo 4000, Vitacura, Chile</t>
  </si>
  <si>
    <t>18614</t>
  </si>
  <si>
    <t>2300882592</t>
  </si>
  <si>
    <t>William Byler</t>
  </si>
  <si>
    <t>Dieciocho de Septiembre 71</t>
  </si>
  <si>
    <t>18612</t>
  </si>
  <si>
    <t>2300882301</t>
  </si>
  <si>
    <t>alexis rozowski granierer</t>
  </si>
  <si>
    <t>fray leon 11560 dpto 1f</t>
  </si>
  <si>
    <t>18611</t>
  </si>
  <si>
    <t>2300881995</t>
  </si>
  <si>
    <t>Vicente Herrera Zwingel</t>
  </si>
  <si>
    <t>Av Macul 3198, depto 1017</t>
  </si>
  <si>
    <t>18610</t>
  </si>
  <si>
    <t>2300881693</t>
  </si>
  <si>
    <t>Ernesto Rencoret</t>
  </si>
  <si>
    <t>La Medialuna 210</t>
  </si>
  <si>
    <t>18609</t>
  </si>
  <si>
    <t>2300881450</t>
  </si>
  <si>
    <t>Luis Torres Valdebenito</t>
  </si>
  <si>
    <t>Hontaneda 735, depto 1607 torre poniente, hontaneda 735, Valparaiso chile</t>
  </si>
  <si>
    <t>18608</t>
  </si>
  <si>
    <t>2300881284</t>
  </si>
  <si>
    <t>Yordi Pena</t>
  </si>
  <si>
    <t>Rey Alberto 3651, Depto 804</t>
  </si>
  <si>
    <t>11169</t>
  </si>
  <si>
    <t>2300779854</t>
  </si>
  <si>
    <t>Hugo Lucero Correa</t>
  </si>
  <si>
    <t>Phillippi 680, depto 905</t>
  </si>
  <si>
    <t>2026-05-31 23:41</t>
  </si>
  <si>
    <t>18607</t>
  </si>
  <si>
    <t>2300714102</t>
  </si>
  <si>
    <t>Miguel Riquelme</t>
  </si>
  <si>
    <t>Pisagua 01980, Pisagua 01980</t>
  </si>
  <si>
    <t>18606</t>
  </si>
  <si>
    <t>2300714010</t>
  </si>
  <si>
    <t>Franco Zalavari</t>
  </si>
  <si>
    <t>Santa sofia 6810, casona 3 depto 502</t>
  </si>
  <si>
    <t>18605</t>
  </si>
  <si>
    <t>2300713925</t>
  </si>
  <si>
    <t>Mauricio Alexis Godoy Irarrazabal</t>
  </si>
  <si>
    <t>Los Arrecifes 316</t>
  </si>
  <si>
    <t>18604</t>
  </si>
  <si>
    <t>2300713822</t>
  </si>
  <si>
    <t>Belén Villagrán</t>
  </si>
  <si>
    <t>El Recurso 2000, parcela 56, lote 1f, buin, el recurso 2000, parcela 56, lote 1F, buin</t>
  </si>
  <si>
    <t>18603</t>
  </si>
  <si>
    <t>2300713693</t>
  </si>
  <si>
    <t>Tatiana Cardenas</t>
  </si>
  <si>
    <t>El Rosario, 4348</t>
  </si>
  <si>
    <t>18602</t>
  </si>
  <si>
    <t>2300712503</t>
  </si>
  <si>
    <t>clemente sanchez</t>
  </si>
  <si>
    <t>2 Norte 401 Viña del Mar, Apartamento 303</t>
  </si>
  <si>
    <t>18601</t>
  </si>
  <si>
    <t>2300711545</t>
  </si>
  <si>
    <t>PAMELA CHAVEZ</t>
  </si>
  <si>
    <t>av el bosque 433 dpto 402, DPTO 402</t>
  </si>
  <si>
    <t>18600</t>
  </si>
  <si>
    <t>2300710790</t>
  </si>
  <si>
    <t>Eduardo Garcés Riffo</t>
  </si>
  <si>
    <t>El Vergel 2744, Departamento 602</t>
  </si>
  <si>
    <t>18597</t>
  </si>
  <si>
    <t>2300710252</t>
  </si>
  <si>
    <t>María Angelica Concha</t>
  </si>
  <si>
    <t>Los médanos 191, Departamento 1201, edificio singular</t>
  </si>
  <si>
    <t>18595</t>
  </si>
  <si>
    <t>2300710053</t>
  </si>
  <si>
    <t>Vladimir Olivares</t>
  </si>
  <si>
    <t>San Eugenio 2005, Casa 3</t>
  </si>
  <si>
    <t>18594</t>
  </si>
  <si>
    <t>2300709950</t>
  </si>
  <si>
    <t>Francisca Lira</t>
  </si>
  <si>
    <t>La niña 3172</t>
  </si>
  <si>
    <t>18591</t>
  </si>
  <si>
    <t>2300709880</t>
  </si>
  <si>
    <t>Jessica Olate</t>
  </si>
  <si>
    <t>15 sur 3 y 3 y medio poniente .villa las palmas, 56</t>
  </si>
  <si>
    <t>39656</t>
  </si>
  <si>
    <t>2298189250</t>
  </si>
  <si>
    <t>Claudio Jaramillo</t>
  </si>
  <si>
    <t>Merced 68, depto 83.</t>
  </si>
  <si>
    <t>2026-05-29 13:29</t>
  </si>
  <si>
    <t>18587</t>
  </si>
  <si>
    <t>2297955855</t>
  </si>
  <si>
    <t>Humberto ibañez</t>
  </si>
  <si>
    <t>La marina 1400, Departamento 105A</t>
  </si>
  <si>
    <t>2026-05-29 10:14</t>
  </si>
  <si>
    <t>18585</t>
  </si>
  <si>
    <t>2297953696</t>
  </si>
  <si>
    <t>María José Bernasconi Mandiola</t>
  </si>
  <si>
    <t>Héroes de la Concepción 2460, Depto. 321</t>
  </si>
  <si>
    <t>2026-05-29 10:12</t>
  </si>
  <si>
    <t>18588</t>
  </si>
  <si>
    <t>2297953571</t>
  </si>
  <si>
    <t>GUSTAVO EDUARDO D'ACUÑA APABLAZA</t>
  </si>
  <si>
    <t>LAS LLAMAS 03548, CASA</t>
  </si>
  <si>
    <t>18582</t>
  </si>
  <si>
    <t>2297953545</t>
  </si>
  <si>
    <t>Juan Aguilera baeza</t>
  </si>
  <si>
    <t>33 oriente 1944, Entre 9 norte y 91/2 norte</t>
  </si>
  <si>
    <t>2026-05-28 18:09</t>
  </si>
  <si>
    <t>servicio28052026(2)</t>
  </si>
  <si>
    <t>2297344140</t>
  </si>
  <si>
    <t>Rodrigo López</t>
  </si>
  <si>
    <t>Ignacio Carrera Pinto 0356, Villa Alemana</t>
  </si>
  <si>
    <t>2026-05-28 14:15</t>
  </si>
  <si>
    <t>servicio28052026</t>
  </si>
  <si>
    <t>2297336101</t>
  </si>
  <si>
    <t>Alexis Cisterna</t>
  </si>
  <si>
    <t>Princesa diana 1680</t>
  </si>
  <si>
    <t>2026-05-28 14:06</t>
  </si>
  <si>
    <t>18581</t>
  </si>
  <si>
    <t>2297215174</t>
  </si>
  <si>
    <t>Isidora Vera</t>
  </si>
  <si>
    <t>Carlos Antúnez 2744, Depto 902</t>
  </si>
  <si>
    <t>2026-05-28 09:41</t>
  </si>
  <si>
    <t>18580</t>
  </si>
  <si>
    <t>2297215023</t>
  </si>
  <si>
    <t>Vivian Watkins</t>
  </si>
  <si>
    <t>VICENTE PEREZ ROSALES 1344 ⁠1344, Casa i</t>
  </si>
  <si>
    <t>18579</t>
  </si>
  <si>
    <t>2297214975</t>
  </si>
  <si>
    <t>Juan Rodríguez Medina</t>
  </si>
  <si>
    <t>Eduardo Castillo Velasco 4820, Depto 34</t>
  </si>
  <si>
    <t>18578</t>
  </si>
  <si>
    <t>2297214931</t>
  </si>
  <si>
    <t>Sergio Gálvez Valenzuela</t>
  </si>
  <si>
    <t>Lomas de la luz 3878 Torre Depto 612, Curauma</t>
  </si>
  <si>
    <t>18577</t>
  </si>
  <si>
    <t>2297214850</t>
  </si>
  <si>
    <t>Verónica Nilo</t>
  </si>
  <si>
    <t>Placilla 149 Estacion Central, Departamento 1115</t>
  </si>
  <si>
    <t>2026-05-28 09:36</t>
  </si>
  <si>
    <t>18575</t>
  </si>
  <si>
    <t>2297214765</t>
  </si>
  <si>
    <t>Eduardo Bunster Titsch</t>
  </si>
  <si>
    <t>Copihue 2820, Depto 701</t>
  </si>
  <si>
    <t>2026-05-28 09:30</t>
  </si>
  <si>
    <t>18574</t>
  </si>
  <si>
    <t>2297214721</t>
  </si>
  <si>
    <t>Jose Luis Navarro</t>
  </si>
  <si>
    <t>Avenida Los Leones 1425, Depto 1102</t>
  </si>
  <si>
    <t>2026-05-27 17:12</t>
  </si>
  <si>
    <t>18573</t>
  </si>
  <si>
    <t>2297214684</t>
  </si>
  <si>
    <t>Viviana Gaete</t>
  </si>
  <si>
    <t>Diego De Almagro 4765, Ñuñoa</t>
  </si>
  <si>
    <t>18572</t>
  </si>
  <si>
    <t>2297214581</t>
  </si>
  <si>
    <t>Michelle Elsaca Hadwah</t>
  </si>
  <si>
    <t>Avenida el tranque 12674 ⁠12674, Departamento 401-A</t>
  </si>
  <si>
    <t>18571</t>
  </si>
  <si>
    <t>2297214522</t>
  </si>
  <si>
    <t>Talía Silva Vallejos</t>
  </si>
  <si>
    <t>Horcón 4625 departamento 84</t>
  </si>
  <si>
    <t>18570</t>
  </si>
  <si>
    <t>2297214463</t>
  </si>
  <si>
    <t>Nicolas Pons Dominguez</t>
  </si>
  <si>
    <t>José María Escriva de Balaguer 720, Departamento 2004</t>
  </si>
  <si>
    <t>11168</t>
  </si>
  <si>
    <t>2297110981</t>
  </si>
  <si>
    <t>2026-05-27 11:02</t>
  </si>
  <si>
    <t>18567</t>
  </si>
  <si>
    <t>2296601786</t>
  </si>
  <si>
    <t>Maria Katalina Arancibia</t>
  </si>
  <si>
    <t>Cruz del Sur 399, Las Condes, Chile</t>
  </si>
  <si>
    <t>2026-05-27 11:07</t>
  </si>
  <si>
    <t>18566</t>
  </si>
  <si>
    <t>2296601720</t>
  </si>
  <si>
    <t>Daniela Sanhueza</t>
  </si>
  <si>
    <t>Román Díaz 2270, 56 A</t>
  </si>
  <si>
    <t>2026-05-27 09:30</t>
  </si>
  <si>
    <t>18565</t>
  </si>
  <si>
    <t>2296601661</t>
  </si>
  <si>
    <t>Nelson Vega</t>
  </si>
  <si>
    <t>Sendero Longavi 0540, El Polo de Machali</t>
  </si>
  <si>
    <t>18563</t>
  </si>
  <si>
    <t>2296601602</t>
  </si>
  <si>
    <t>Francisca Montaño</t>
  </si>
  <si>
    <t>Pontevedra 1101, Dpto 908</t>
  </si>
  <si>
    <t>18562</t>
  </si>
  <si>
    <t>2296601576</t>
  </si>
  <si>
    <t>Victor Puentes</t>
  </si>
  <si>
    <t>Chacabuco, 1140 depto 403</t>
  </si>
  <si>
    <t>18561</t>
  </si>
  <si>
    <t>2296601510</t>
  </si>
  <si>
    <t>Black Falabella</t>
  </si>
  <si>
    <t>Avenida Jorge Ross Ossa 1600, Casa 232</t>
  </si>
  <si>
    <t>18560</t>
  </si>
  <si>
    <t>2296601451</t>
  </si>
  <si>
    <t>Gabriela Figueroa Pincheira</t>
  </si>
  <si>
    <t>Estación lambert 604, Población los arrayanes</t>
  </si>
  <si>
    <t>18559</t>
  </si>
  <si>
    <t>2296601425</t>
  </si>
  <si>
    <t>Ana Rachel Moreno</t>
  </si>
  <si>
    <t>Curico 380 Depto.303</t>
  </si>
  <si>
    <t>18558</t>
  </si>
  <si>
    <t>2296601322</t>
  </si>
  <si>
    <t>Josefa Seissus Ercilla</t>
  </si>
  <si>
    <t>Jose Luis Araneda 222 Ñuñoa, Departamento 805</t>
  </si>
  <si>
    <t>18556</t>
  </si>
  <si>
    <t>2296601300</t>
  </si>
  <si>
    <t>Monica Sabugal</t>
  </si>
  <si>
    <t>Martin Lutero 03006 casa 87 Temuco, Martin Lutero 03006 casa 87 Temuco</t>
  </si>
  <si>
    <t>18553</t>
  </si>
  <si>
    <t>2296601252</t>
  </si>
  <si>
    <t>miguel garcia</t>
  </si>
  <si>
    <t>gaston hamel 25 reñaca viña del mar</t>
  </si>
  <si>
    <t>2026-05-26 17:09</t>
  </si>
  <si>
    <t>18552</t>
  </si>
  <si>
    <t>2296601215</t>
  </si>
  <si>
    <t>Humberto Valdivia Acevedo</t>
  </si>
  <si>
    <t>Calle dos 2273</t>
  </si>
  <si>
    <t>18551</t>
  </si>
  <si>
    <t>2296601145</t>
  </si>
  <si>
    <t>Claudio Flores Figueroa</t>
  </si>
  <si>
    <t>Etchever Alto 761, departamento 27</t>
  </si>
  <si>
    <t>18549</t>
  </si>
  <si>
    <t>2296601090</t>
  </si>
  <si>
    <t>Hector Riquelme Parra</t>
  </si>
  <si>
    <t>Diagonal Santa Elena 2565, Departamento</t>
  </si>
  <si>
    <t>18550</t>
  </si>
  <si>
    <t>2296581836</t>
  </si>
  <si>
    <t>Diego Leiva</t>
  </si>
  <si>
    <t>El litre 191, Santo Domingo</t>
  </si>
  <si>
    <t>18548</t>
  </si>
  <si>
    <t>2296572530</t>
  </si>
  <si>
    <t>Mario Canales</t>
  </si>
  <si>
    <t>agustinas 1850, Apt. 503 B</t>
  </si>
  <si>
    <t>18540</t>
  </si>
  <si>
    <t>2296572460</t>
  </si>
  <si>
    <t>RODRIGO ALONSO</t>
  </si>
  <si>
    <t>Amazonas 7373</t>
  </si>
  <si>
    <t>18535</t>
  </si>
  <si>
    <t>2296572375</t>
  </si>
  <si>
    <t>NELSON HERRERA ORTIZ</t>
  </si>
  <si>
    <t>San pablo 4050 depto 1706, Quinta normal</t>
  </si>
  <si>
    <t>18534</t>
  </si>
  <si>
    <t>2296572272</t>
  </si>
  <si>
    <t>rodrigo alvarado</t>
  </si>
  <si>
    <t>carrera  1443</t>
  </si>
  <si>
    <t>2026-05-26 10:52</t>
  </si>
  <si>
    <t>18533</t>
  </si>
  <si>
    <t>2296572246</t>
  </si>
  <si>
    <t>Ariel Galarce</t>
  </si>
  <si>
    <t>Avenida Luis Cousiño 6170, 221</t>
  </si>
  <si>
    <t>2026-05-26 09:44</t>
  </si>
  <si>
    <t>18543</t>
  </si>
  <si>
    <t>2296572191</t>
  </si>
  <si>
    <t>Diego Rivera Abarca</t>
  </si>
  <si>
    <t>San Juan De Luz 4060, Depto 703</t>
  </si>
  <si>
    <t>39218</t>
  </si>
  <si>
    <t>2296438406</t>
  </si>
  <si>
    <t>Kevin rios cuevas</t>
  </si>
  <si>
    <t>Calle proyectada el pino 111 (negocio 10%) 8va region bio bio (REFERENCIA (negocio 10%))</t>
  </si>
  <si>
    <t>2026-05-26 17:25</t>
  </si>
  <si>
    <t>18530</t>
  </si>
  <si>
    <t>2296375395</t>
  </si>
  <si>
    <t>Franco Ortega Hidalgo</t>
  </si>
  <si>
    <t>Serafin Zamora 87, Serafin Zamora 87</t>
  </si>
  <si>
    <t>2026-05-25 17:05</t>
  </si>
  <si>
    <t>18529</t>
  </si>
  <si>
    <t>2296374555</t>
  </si>
  <si>
    <t>Gran Avenida 4251, Gran Avenida 4251</t>
  </si>
  <si>
    <t>18527</t>
  </si>
  <si>
    <t>2296374415</t>
  </si>
  <si>
    <t>carmen simpson</t>
  </si>
  <si>
    <t>Holanda 2289</t>
  </si>
  <si>
    <t>18525</t>
  </si>
  <si>
    <t>2296374080</t>
  </si>
  <si>
    <t>marcela Llanos</t>
  </si>
  <si>
    <t>Gaspar Marin 67, Gaspar marin #67</t>
  </si>
  <si>
    <t>18524</t>
  </si>
  <si>
    <t>2296373881</t>
  </si>
  <si>
    <t>Patricia Poblete</t>
  </si>
  <si>
    <t>Avenida Escuela Agricola 1710, Depto 501 Torre A</t>
  </si>
  <si>
    <t>18523</t>
  </si>
  <si>
    <t>2296373822</t>
  </si>
  <si>
    <t>Creaciones Marvin</t>
  </si>
  <si>
    <t>Los Tamarindos 5500 Bloq 10 Dto A31</t>
  </si>
  <si>
    <t>18522</t>
  </si>
  <si>
    <t>2296373774</t>
  </si>
  <si>
    <t>Francisca Caro Figueroa</t>
  </si>
  <si>
    <t>Avenida los leones 760, Dpto 704</t>
  </si>
  <si>
    <t>18521</t>
  </si>
  <si>
    <t>2296373730</t>
  </si>
  <si>
    <t>Sebastian Munizaga</t>
  </si>
  <si>
    <t>JARDINES DEL BOSQUE 311 ⁠, CASA 75</t>
  </si>
  <si>
    <t>18517</t>
  </si>
  <si>
    <t>2296373682</t>
  </si>
  <si>
    <t>Mario Salas</t>
  </si>
  <si>
    <t>Alfonso lopez 1430-C quilpue, Quilpue</t>
  </si>
  <si>
    <t>18516</t>
  </si>
  <si>
    <t>2296373601</t>
  </si>
  <si>
    <t>Diego Alexis Arana Jiménez</t>
  </si>
  <si>
    <t>Pintor Velásquez 361, Casa a lado d amasanderia</t>
  </si>
  <si>
    <t>18513</t>
  </si>
  <si>
    <t>2296373553</t>
  </si>
  <si>
    <t>Luis Rojas alcayaga</t>
  </si>
  <si>
    <t>Las Heras 650 ⁠, Of 307</t>
  </si>
  <si>
    <t>18511</t>
  </si>
  <si>
    <t>2296373520</t>
  </si>
  <si>
    <t>Willy CABRERA</t>
  </si>
  <si>
    <t>Llanquihue 64, villa mónaco, Llanquihue 64, villa mónaco</t>
  </si>
  <si>
    <t>18510</t>
  </si>
  <si>
    <t>2296373472</t>
  </si>
  <si>
    <t>DENNIS JOSE SOTO BAPTISTA</t>
  </si>
  <si>
    <t>AV. GENERAL ARRIAGADA 1312</t>
  </si>
  <si>
    <t>18509</t>
  </si>
  <si>
    <t>2296373446</t>
  </si>
  <si>
    <t>Juan Pablo Bezanilla</t>
  </si>
  <si>
    <t>Camino Los Trapenses 4860, Casa 12</t>
  </si>
  <si>
    <t>18508</t>
  </si>
  <si>
    <t>2296373424</t>
  </si>
  <si>
    <t>Marcela Cortes</t>
  </si>
  <si>
    <t>Nuestra señora del rosario 455</t>
  </si>
  <si>
    <t>18507</t>
  </si>
  <si>
    <t>2296373365</t>
  </si>
  <si>
    <t>LUIZA Becerra</t>
  </si>
  <si>
    <t>Chacabuco 978, dpto 311 Edificio Defontana</t>
  </si>
  <si>
    <t>18506</t>
  </si>
  <si>
    <t>2296373284</t>
  </si>
  <si>
    <t>Tomas Orrego</t>
  </si>
  <si>
    <t>El Solar 8087, Casa 22</t>
  </si>
  <si>
    <t>18505</t>
  </si>
  <si>
    <t>2296373236</t>
  </si>
  <si>
    <t>DANIEL BAÑADOS</t>
  </si>
  <si>
    <t>AV CHAMISERO 11100, CASA 41</t>
  </si>
  <si>
    <t>18504</t>
  </si>
  <si>
    <t>2296373144</t>
  </si>
  <si>
    <t>Daniela Brancovich Tapia</t>
  </si>
  <si>
    <t>Avda San Luis de Macul 4355, Torre 3 Dpto 405</t>
  </si>
  <si>
    <t>18503</t>
  </si>
  <si>
    <t>2296373096</t>
  </si>
  <si>
    <t>edith Leal</t>
  </si>
  <si>
    <t>Los jardines 509, Los Jardines 509</t>
  </si>
  <si>
    <t>18502</t>
  </si>
  <si>
    <t>2296333970</t>
  </si>
  <si>
    <t>Josefina Arueste</t>
  </si>
  <si>
    <t>SAN José de la sierra 99, Depto 706</t>
  </si>
  <si>
    <t>18501</t>
  </si>
  <si>
    <t>2296333922</t>
  </si>
  <si>
    <t>Felipe Tobar Navarro</t>
  </si>
  <si>
    <t>Pedro de valdivia 3712 dpto 703, Avenida pedro de valdivia 3712 dpto.703</t>
  </si>
  <si>
    <t>2026-05-25 17:04</t>
  </si>
  <si>
    <t>18499</t>
  </si>
  <si>
    <t>2296333830</t>
  </si>
  <si>
    <t>Janis Aravena Saavedra</t>
  </si>
  <si>
    <t>Pje. Del Solar 202 Valle del Sol</t>
  </si>
  <si>
    <t>18498</t>
  </si>
  <si>
    <t>2296333723</t>
  </si>
  <si>
    <t>Pablo Leiva Mac-Namara</t>
  </si>
  <si>
    <t>Traiguen 2368, Departamento 507</t>
  </si>
  <si>
    <t>18497</t>
  </si>
  <si>
    <t>2296333686</t>
  </si>
  <si>
    <t>Matias Ponce Bascuñán</t>
  </si>
  <si>
    <t>Los pellines 1042, dpto 122, Concón</t>
  </si>
  <si>
    <t>18496</t>
  </si>
  <si>
    <t>2296333583</t>
  </si>
  <si>
    <t>Erwin Rute Luengo</t>
  </si>
  <si>
    <t>Ñielol 4593, Valle Volcanes</t>
  </si>
  <si>
    <t>18495</t>
  </si>
  <si>
    <t>2296333535</t>
  </si>
  <si>
    <t>Marco antonio Vasquez barrientos</t>
  </si>
  <si>
    <t>Camino los fresnos 1355, casa 18, condominio la llanura</t>
  </si>
  <si>
    <t>18494</t>
  </si>
  <si>
    <t>2296333465</t>
  </si>
  <si>
    <t>Ivannia Cordero Flores</t>
  </si>
  <si>
    <t>Avenida Los Humedales 501, Casa 80</t>
  </si>
  <si>
    <t>18493</t>
  </si>
  <si>
    <t>2296333421</t>
  </si>
  <si>
    <t>Eduardo Segovia Collyer</t>
  </si>
  <si>
    <t>Avenida Manuel Antonio Matta 99, Depto 2302</t>
  </si>
  <si>
    <t>18492</t>
  </si>
  <si>
    <t>2296333336</t>
  </si>
  <si>
    <t>Etien Tortora</t>
  </si>
  <si>
    <t>Av ricardo lyon 2440, Depto 1201</t>
  </si>
  <si>
    <t>18491</t>
  </si>
  <si>
    <t>2296333233</t>
  </si>
  <si>
    <t>Andrea Díaz Echeverría</t>
  </si>
  <si>
    <t>Avenida Quilín 4985, Depto i-41</t>
  </si>
  <si>
    <t>18490</t>
  </si>
  <si>
    <t>2296333196</t>
  </si>
  <si>
    <t>Andres Mora verguño</t>
  </si>
  <si>
    <t>Avenida María rozas Velásquez 65, 1214 oriente</t>
  </si>
  <si>
    <t>18489</t>
  </si>
  <si>
    <t>2296333104</t>
  </si>
  <si>
    <t>Cristian Hojas</t>
  </si>
  <si>
    <t>Tiahuanaco 1077, 205B</t>
  </si>
  <si>
    <t>18488</t>
  </si>
  <si>
    <t>2296333082</t>
  </si>
  <si>
    <t>Catalina Vargas González</t>
  </si>
  <si>
    <t>Berlín 1602, Torre B 404</t>
  </si>
  <si>
    <t>18487</t>
  </si>
  <si>
    <t>2296333045</t>
  </si>
  <si>
    <t>Josefina Morbelli</t>
  </si>
  <si>
    <t>Domingo bondi 1100 depto 41, 41</t>
  </si>
  <si>
    <t>18486</t>
  </si>
  <si>
    <t>2296333012</t>
  </si>
  <si>
    <t>Macarena Gajardo</t>
  </si>
  <si>
    <t>Los jardines 238, Ñuñoa casa G</t>
  </si>
  <si>
    <t>18484</t>
  </si>
  <si>
    <t>2296332916</t>
  </si>
  <si>
    <t>María Jesús Ponce</t>
  </si>
  <si>
    <t>Hernando de Aguirre 496 depto 92 torre B</t>
  </si>
  <si>
    <t>18483</t>
  </si>
  <si>
    <t>2296332850</t>
  </si>
  <si>
    <t>Benjamin Girardi Pico</t>
  </si>
  <si>
    <t>Avenida Americo Vespucio Sur 952, Depto. 103-B</t>
  </si>
  <si>
    <t>18482</t>
  </si>
  <si>
    <t>2296332791</t>
  </si>
  <si>
    <t>Luis Lizama</t>
  </si>
  <si>
    <t>LAS PETUNIAS 246</t>
  </si>
  <si>
    <t>18478</t>
  </si>
  <si>
    <t>2296308770</t>
  </si>
  <si>
    <t>Cristóbal Rios</t>
  </si>
  <si>
    <t>Vicuña Mackenna 2289</t>
  </si>
  <si>
    <t>2026-05-25 17:01</t>
  </si>
  <si>
    <t>18477</t>
  </si>
  <si>
    <t>2296308744</t>
  </si>
  <si>
    <t>Consuelo Galleguillos Rodríguez</t>
  </si>
  <si>
    <t>Bremen 1047 Depto 303</t>
  </si>
  <si>
    <t>18476</t>
  </si>
  <si>
    <t>2296308685</t>
  </si>
  <si>
    <t>Tiare Segura</t>
  </si>
  <si>
    <t>Roberto del Río 1222, Roberto del Río 1222 depto 42</t>
  </si>
  <si>
    <t>18475</t>
  </si>
  <si>
    <t>2296308641</t>
  </si>
  <si>
    <t>Maris Gortari Correa</t>
  </si>
  <si>
    <t>Av.Mexico 9011 Dpto. 44, Av. México 9011 Dpto. 44</t>
  </si>
  <si>
    <t>2026-05-25 16:51</t>
  </si>
  <si>
    <t>54907</t>
  </si>
  <si>
    <t>2295638505</t>
  </si>
  <si>
    <t>Ignacio Andres Gutierrez Danton</t>
  </si>
  <si>
    <t>Malen Oriente, 2591</t>
  </si>
  <si>
    <t>2026-05-26 14:49</t>
  </si>
  <si>
    <t>18474</t>
  </si>
  <si>
    <t>2295615571</t>
  </si>
  <si>
    <t>Jeffeson Johnston</t>
  </si>
  <si>
    <t>Presidente madero int 590 F ⁠590 F</t>
  </si>
  <si>
    <t>2026-05-25 14:15</t>
  </si>
  <si>
    <t>18473</t>
  </si>
  <si>
    <t>2295615490</t>
  </si>
  <si>
    <t>José Herrera Cortés</t>
  </si>
  <si>
    <t>Monterrey 2801, 414</t>
  </si>
  <si>
    <t>2026-05-25 14:13</t>
  </si>
  <si>
    <t>18472</t>
  </si>
  <si>
    <t>2295615420</t>
  </si>
  <si>
    <t>Ruben Quintero</t>
  </si>
  <si>
    <t>Alcalde Pedro Alarcón 851, Depto 205</t>
  </si>
  <si>
    <t>2026-05-25 14:12</t>
  </si>
  <si>
    <t>18471</t>
  </si>
  <si>
    <t>2295615276</t>
  </si>
  <si>
    <t>18469</t>
  </si>
  <si>
    <t>2295615162</t>
  </si>
  <si>
    <t>Constanza Gorena</t>
  </si>
  <si>
    <t>Martin De Zamora 5245, Dpto 44 torre 3</t>
  </si>
  <si>
    <t>2026-05-25 14:08</t>
  </si>
  <si>
    <t>18468</t>
  </si>
  <si>
    <t>2295615092</t>
  </si>
  <si>
    <t>Carlos Torrealba</t>
  </si>
  <si>
    <t>Parque Residencial Las Araucarias, Parcela 33</t>
  </si>
  <si>
    <t>18467</t>
  </si>
  <si>
    <t>2295615044</t>
  </si>
  <si>
    <t>Felipe Chacón Contreras</t>
  </si>
  <si>
    <t>Camino del roble 1578 dpto 105, Camino del roble 1578 dpto 105</t>
  </si>
  <si>
    <t>2026-05-25 14:06</t>
  </si>
  <si>
    <t>18466</t>
  </si>
  <si>
    <t>2295614963</t>
  </si>
  <si>
    <t>Renata Scanavini</t>
  </si>
  <si>
    <t>Navidad 1200, depto 706</t>
  </si>
  <si>
    <t>2026-05-25 14:05</t>
  </si>
  <si>
    <t>18465</t>
  </si>
  <si>
    <t>2295614860</t>
  </si>
  <si>
    <t>Juan Carlos salazar</t>
  </si>
  <si>
    <t>Puerto varas, Las lomas 1616</t>
  </si>
  <si>
    <t>2026-05-25 14:03</t>
  </si>
  <si>
    <t>18464</t>
  </si>
  <si>
    <t>2295614812</t>
  </si>
  <si>
    <t>Fernanda Huber</t>
  </si>
  <si>
    <t>Irarrázaval 1401 depto 1107</t>
  </si>
  <si>
    <t>2026-05-25 14:01</t>
  </si>
  <si>
    <t>18460</t>
  </si>
  <si>
    <t>2295614720</t>
  </si>
  <si>
    <t>Camila Hernández Sánchez</t>
  </si>
  <si>
    <t>Barros borgoño 360 ⁠360, Dpto 701</t>
  </si>
  <si>
    <t>18459</t>
  </si>
  <si>
    <t>2295592843</t>
  </si>
  <si>
    <t>Marianela Poblete Ramirez</t>
  </si>
  <si>
    <t>Avenida república 1718</t>
  </si>
  <si>
    <t>2026-05-25 13:58</t>
  </si>
  <si>
    <t>18458</t>
  </si>
  <si>
    <t>2295592795</t>
  </si>
  <si>
    <t>Josefina Perez Ruiz</t>
  </si>
  <si>
    <t>Fray Angelico 66, dpto 609</t>
  </si>
  <si>
    <t>18456</t>
  </si>
  <si>
    <t>2295592751</t>
  </si>
  <si>
    <t>Antonia Alvarez guevara</t>
  </si>
  <si>
    <t>Av San Juan 2934 Lo Gallardo, Av San Juan 2934</t>
  </si>
  <si>
    <t>2026-05-25 13:53</t>
  </si>
  <si>
    <t>18454</t>
  </si>
  <si>
    <t>2295592725</t>
  </si>
  <si>
    <t>Carolina Stevens Muñoz</t>
  </si>
  <si>
    <t>Raúl Bitran 1300, departamento D-403</t>
  </si>
  <si>
    <t>2026-05-25 13:06</t>
  </si>
  <si>
    <t>18453</t>
  </si>
  <si>
    <t>2295592666</t>
  </si>
  <si>
    <t>Jose Valente Ferran</t>
  </si>
  <si>
    <t>Avenida las condes 14181, Depto 405</t>
  </si>
  <si>
    <t>18452</t>
  </si>
  <si>
    <t>2295592611</t>
  </si>
  <si>
    <t>Pamela Escobar</t>
  </si>
  <si>
    <t>Avenida Urmeneta 1107, Departamento 652</t>
  </si>
  <si>
    <t>2026-05-25 13:03</t>
  </si>
  <si>
    <t>18451</t>
  </si>
  <si>
    <t>2295592176</t>
  </si>
  <si>
    <t>Fabiola Ramirez Avila</t>
  </si>
  <si>
    <t>Pasaje Los Crisantemos #4309, Pasaje Los Crisantemos #4309</t>
  </si>
  <si>
    <t>18450</t>
  </si>
  <si>
    <t>2295492371</t>
  </si>
  <si>
    <t>Constanza Venegas garrido</t>
  </si>
  <si>
    <t>Av Haydn 5880</t>
  </si>
  <si>
    <t>2026-05-25 12:56</t>
  </si>
  <si>
    <t>18449</t>
  </si>
  <si>
    <t>2295491763</t>
  </si>
  <si>
    <t>Milan 1437, Depto 303</t>
  </si>
  <si>
    <t>2026-05-25 12:55</t>
  </si>
  <si>
    <t>18448</t>
  </si>
  <si>
    <t>2295491726</t>
  </si>
  <si>
    <t>Torre B, Avenida Americo Vespucio 4641, Departamento 1110 torre B</t>
  </si>
  <si>
    <t>2026-05-25 12:54</t>
  </si>
  <si>
    <t>18447</t>
  </si>
  <si>
    <t>2295491623</t>
  </si>
  <si>
    <t>Maria Jose Leiva Galdamez</t>
  </si>
  <si>
    <t>las chinchillas 603</t>
  </si>
  <si>
    <t>2026-05-25 12:53</t>
  </si>
  <si>
    <t>18446</t>
  </si>
  <si>
    <t>2295491575</t>
  </si>
  <si>
    <t>Ana Domb Krauskopf</t>
  </si>
  <si>
    <t>Marcel Duhaut 2970, depto 401</t>
  </si>
  <si>
    <t>18445</t>
  </si>
  <si>
    <t>2295491310</t>
  </si>
  <si>
    <t>Valeria Cáceres Contreras</t>
  </si>
  <si>
    <t>Regina Pacis 750 depto 503</t>
  </si>
  <si>
    <t>18444</t>
  </si>
  <si>
    <t>2295490886</t>
  </si>
  <si>
    <t>Silvana Ferreiro</t>
  </si>
  <si>
    <t>Avenida Guanaco Norte 2000, casa 103</t>
  </si>
  <si>
    <t>18443</t>
  </si>
  <si>
    <t>2295490783</t>
  </si>
  <si>
    <t>Bastian Navia</t>
  </si>
  <si>
    <t>LAS RAICES 1251, Las Raices 1251 , Porton de Madera</t>
  </si>
  <si>
    <t>18442</t>
  </si>
  <si>
    <t>2295490702</t>
  </si>
  <si>
    <t>María Fernanda Marín Suárez</t>
  </si>
  <si>
    <t>Av. Blanca Estela 2207 - Depto. 502- Concón, Viña del Mar</t>
  </si>
  <si>
    <t>2026-05-25 12:47</t>
  </si>
  <si>
    <t>18441</t>
  </si>
  <si>
    <t>2295490595</t>
  </si>
  <si>
    <t>Juan Vásconez</t>
  </si>
  <si>
    <t>General José Artigas, 3121, departamento 202</t>
  </si>
  <si>
    <t>2026-05-25 12:46</t>
  </si>
  <si>
    <t>18439</t>
  </si>
  <si>
    <t>2295490282</t>
  </si>
  <si>
    <t>Francisca De la Barra</t>
  </si>
  <si>
    <t>Morris 776, 802</t>
  </si>
  <si>
    <t>2026-05-25 12:43</t>
  </si>
  <si>
    <t>18438</t>
  </si>
  <si>
    <t>2295490245</t>
  </si>
  <si>
    <t>Isobel Allegro Morrison</t>
  </si>
  <si>
    <t>Eleuterio Ramirez, 1147 depto 105</t>
  </si>
  <si>
    <t>18437</t>
  </si>
  <si>
    <t>2295470424</t>
  </si>
  <si>
    <t>Octavio Azócar</t>
  </si>
  <si>
    <t>La Pradera 2648, La Pradera 2648</t>
  </si>
  <si>
    <t>2026-05-25 12:35</t>
  </si>
  <si>
    <t>18436</t>
  </si>
  <si>
    <t>2295470332</t>
  </si>
  <si>
    <t>Ema Ubilla</t>
  </si>
  <si>
    <t>Av Alemania 30, viña del mar, Condominio buena vista torre 1 depto 56</t>
  </si>
  <si>
    <t>2026-05-25 12:33</t>
  </si>
  <si>
    <t>54812</t>
  </si>
  <si>
    <t>2294850036</t>
  </si>
  <si>
    <t>Valentina Lopresti Fuenzalida</t>
  </si>
  <si>
    <t>Ritoque, 4540, Dpto 42 Block 6E</t>
  </si>
  <si>
    <t>2026-05-25 17:47</t>
  </si>
  <si>
    <t>54814</t>
  </si>
  <si>
    <t>2294850025</t>
  </si>
  <si>
    <t>Tito Olivares</t>
  </si>
  <si>
    <t>San pablo, 01431</t>
  </si>
  <si>
    <t>2026-05-25 17:45</t>
  </si>
  <si>
    <t>54813</t>
  </si>
  <si>
    <t>2294850003</t>
  </si>
  <si>
    <t>Renato Hopfenblatt</t>
  </si>
  <si>
    <t>Los presidentes, 9901, Casa 13</t>
  </si>
  <si>
    <t>2026-05-25 17:44</t>
  </si>
  <si>
    <t>54811</t>
  </si>
  <si>
    <t>2294849981</t>
  </si>
  <si>
    <t>Kenneth Peet</t>
  </si>
  <si>
    <t>Amunategui, 1946, DEPTO 701A, Condominio gran océano torre A</t>
  </si>
  <si>
    <t>2026-05-25 17:42</t>
  </si>
  <si>
    <t>54809</t>
  </si>
  <si>
    <t>2294843305</t>
  </si>
  <si>
    <t>Italo Urrutia</t>
  </si>
  <si>
    <t>Victor Rae, 4638, DEPTO 702</t>
  </si>
  <si>
    <t>2026-05-25 17:38</t>
  </si>
  <si>
    <t>54808</t>
  </si>
  <si>
    <t>2294843250</t>
  </si>
  <si>
    <t>DAVID NAVARRO</t>
  </si>
  <si>
    <t>Nido de zorzal, 956</t>
  </si>
  <si>
    <t>2026-05-25 17:37</t>
  </si>
  <si>
    <t>54807</t>
  </si>
  <si>
    <t>2294843246</t>
  </si>
  <si>
    <t>Adolfo Meyer</t>
  </si>
  <si>
    <t>Bartolome Coleone, 7620,</t>
  </si>
  <si>
    <t>54805</t>
  </si>
  <si>
    <t>2294843202</t>
  </si>
  <si>
    <t>Marcela Meneses</t>
  </si>
  <si>
    <t>Pasaje pascua 0273</t>
  </si>
  <si>
    <t>2026-05-25 17:36</t>
  </si>
  <si>
    <t>54804</t>
  </si>
  <si>
    <t>2294843191</t>
  </si>
  <si>
    <t>Valentina Droguett</t>
  </si>
  <si>
    <t>Pasaje cerro la parva, 0334, Sector la cruz</t>
  </si>
  <si>
    <t>2026-05-25 17:35</t>
  </si>
  <si>
    <t>54803</t>
  </si>
  <si>
    <t>2294843154</t>
  </si>
  <si>
    <t>JUAN VARGAS</t>
  </si>
  <si>
    <t>Armando Moock, 3727, DEPTO 601</t>
  </si>
  <si>
    <t>54802</t>
  </si>
  <si>
    <t>2294843110</t>
  </si>
  <si>
    <t>Patricio Romero</t>
  </si>
  <si>
    <t>Lago Cochrane, 9263</t>
  </si>
  <si>
    <t>2026-05-25 17:34</t>
  </si>
  <si>
    <t>54801</t>
  </si>
  <si>
    <t>2294843084</t>
  </si>
  <si>
    <t>jacqueline Rodriguez</t>
  </si>
  <si>
    <t>av kennedy, 3342</t>
  </si>
  <si>
    <t>54800</t>
  </si>
  <si>
    <t>2294843051</t>
  </si>
  <si>
    <t>VINICIO CERVILLA OLTREMARI</t>
  </si>
  <si>
    <t>AVD GOLF LOMAS DE LA DEHESA 9716, Falso 2</t>
  </si>
  <si>
    <t>2026-05-25 17:33</t>
  </si>
  <si>
    <t>54799</t>
  </si>
  <si>
    <t>2294843014</t>
  </si>
  <si>
    <t>Renzo Gazzolo</t>
  </si>
  <si>
    <t>Mayflower, 2475,  Depto. 302</t>
  </si>
  <si>
    <t>2026-05-25 17:32</t>
  </si>
  <si>
    <t>54798</t>
  </si>
  <si>
    <t>2294842955</t>
  </si>
  <si>
    <t>Angelica Rivero M</t>
  </si>
  <si>
    <t>Pasaje Lanco, 4856,</t>
  </si>
  <si>
    <t>54797</t>
  </si>
  <si>
    <t>2294842900</t>
  </si>
  <si>
    <t>Juan Garcia</t>
  </si>
  <si>
    <t>Holanda, 3193, Depto 605</t>
  </si>
  <si>
    <t>2026-05-25 17:31</t>
  </si>
  <si>
    <t>54796</t>
  </si>
  <si>
    <t>2294842874</t>
  </si>
  <si>
    <t>Jacob Antonio Valdebenito Retamal</t>
  </si>
  <si>
    <t>Carvajal, 0499</t>
  </si>
  <si>
    <t>2026-05-25 17:30</t>
  </si>
  <si>
    <t>54795</t>
  </si>
  <si>
    <t>2294842830</t>
  </si>
  <si>
    <t>veronica kondor</t>
  </si>
  <si>
    <t>la rabida 5787.</t>
  </si>
  <si>
    <t>54794</t>
  </si>
  <si>
    <t>2294842712</t>
  </si>
  <si>
    <t>Natalia Andrea Espinoza Alvarez</t>
  </si>
  <si>
    <t>Presidente Eisenhower, 752</t>
  </si>
  <si>
    <t>2026-05-25 17:28</t>
  </si>
  <si>
    <t>54793</t>
  </si>
  <si>
    <t>2294842690</t>
  </si>
  <si>
    <t>Carlos Fontalba Carrasco</t>
  </si>
  <si>
    <t>Pasaje Quepe, 2728,</t>
  </si>
  <si>
    <t>54792</t>
  </si>
  <si>
    <t>2294842675</t>
  </si>
  <si>
    <t>Ximena Bugueno Pino</t>
  </si>
  <si>
    <t>Los Olmos, 3140, DEPTO 401</t>
  </si>
  <si>
    <t>2026-05-25 17:26</t>
  </si>
  <si>
    <t>54791</t>
  </si>
  <si>
    <t>2294842642</t>
  </si>
  <si>
    <t>Jorge Del Pedregal</t>
  </si>
  <si>
    <t>El Almendro Poniente, 576,  Casa A</t>
  </si>
  <si>
    <t>2026-05-25 17:25</t>
  </si>
  <si>
    <t>54790</t>
  </si>
  <si>
    <t>2294842620</t>
  </si>
  <si>
    <t>PABLO SEPULVEDA</t>
  </si>
  <si>
    <t>PARQUE MAIHUE, 5468</t>
  </si>
  <si>
    <t>2026-05-25 17:24</t>
  </si>
  <si>
    <t>54789</t>
  </si>
  <si>
    <t>2294842550</t>
  </si>
  <si>
    <t>Pamela Luengo</t>
  </si>
  <si>
    <t>Doctor sotero del Río, 290, DEPTO 6</t>
  </si>
  <si>
    <t>2026-05-25 17:23</t>
  </si>
  <si>
    <t>54788</t>
  </si>
  <si>
    <t>2294842336</t>
  </si>
  <si>
    <t>RICARDO MATTE PEREZ, 430</t>
  </si>
  <si>
    <t>2026-05-25 17:21</t>
  </si>
  <si>
    <t>54787</t>
  </si>
  <si>
    <t>2294842325</t>
  </si>
  <si>
    <t>Medinacelli, 1303</t>
  </si>
  <si>
    <t>2026-05-25 17:20</t>
  </si>
  <si>
    <t>54786</t>
  </si>
  <si>
    <t>2294842060</t>
  </si>
  <si>
    <t>JUAN CARLOS SAID</t>
  </si>
  <si>
    <t>PAUL CLAUDEL, 1312, DEPTO 703</t>
  </si>
  <si>
    <t>2026-05-25 17:19</t>
  </si>
  <si>
    <t>54785</t>
  </si>
  <si>
    <t>2294842023</t>
  </si>
  <si>
    <t>Carlos Alberto Zuniga Moraga</t>
  </si>
  <si>
    <t>Dublé Almeyda, 1617, DEPTO 906 A</t>
  </si>
  <si>
    <t>2026-05-25 17:18</t>
  </si>
  <si>
    <t>54784</t>
  </si>
  <si>
    <t>2294841990</t>
  </si>
  <si>
    <t>Bernardita Pinochet Becerra</t>
  </si>
  <si>
    <t>Cerro Caracol, 537</t>
  </si>
  <si>
    <t>18435</t>
  </si>
  <si>
    <t>2294661062</t>
  </si>
  <si>
    <t>2026-05-25 12:29</t>
  </si>
  <si>
    <t>18433</t>
  </si>
  <si>
    <t>2294661036</t>
  </si>
  <si>
    <t>Blanca Estela 1560, departamento B59</t>
  </si>
  <si>
    <t>18432</t>
  </si>
  <si>
    <t>2294660874</t>
  </si>
  <si>
    <t>Felipe Chamorro Alarcón</t>
  </si>
  <si>
    <t>Catedral 1582 ⁠1582, Departamento 1910</t>
  </si>
  <si>
    <t>18431</t>
  </si>
  <si>
    <t>2294660771</t>
  </si>
  <si>
    <t>Macarenna Vásquez</t>
  </si>
  <si>
    <t>Martín Alonso pinzon 5451 ⁠5451</t>
  </si>
  <si>
    <t>2026-05-25 12:23</t>
  </si>
  <si>
    <t>18430</t>
  </si>
  <si>
    <t>2294660690</t>
  </si>
  <si>
    <t>Maria Arteaga</t>
  </si>
  <si>
    <t>Moctezuma 2059 departamento 202.</t>
  </si>
  <si>
    <t>2026-05-25 12:22</t>
  </si>
  <si>
    <t>18429</t>
  </si>
  <si>
    <t>2294660631</t>
  </si>
  <si>
    <t>Loreto Droguett</t>
  </si>
  <si>
    <t>Avenida Italia 1860, Casa3</t>
  </si>
  <si>
    <t>18428</t>
  </si>
  <si>
    <t>2294660550</t>
  </si>
  <si>
    <t>Pabla Concha</t>
  </si>
  <si>
    <t>Camino de la naturaleza 6427</t>
  </si>
  <si>
    <t>18426</t>
  </si>
  <si>
    <t>2294651251</t>
  </si>
  <si>
    <t>MARCOLETA 328 DEPTO 142, Esquina Portugal, frente a hospital clínico universidad católica</t>
  </si>
  <si>
    <t>2026-05-25 12:17</t>
  </si>
  <si>
    <t>18425</t>
  </si>
  <si>
    <t>2294651074</t>
  </si>
  <si>
    <t>Riquelme 529</t>
  </si>
  <si>
    <t>18424</t>
  </si>
  <si>
    <t>2294651015</t>
  </si>
  <si>
    <t>Felipe Massardo Rojas</t>
  </si>
  <si>
    <t>44 Oriente 2326</t>
  </si>
  <si>
    <t>2026-05-25 12:11</t>
  </si>
  <si>
    <t>18423</t>
  </si>
  <si>
    <t>2294650993</t>
  </si>
  <si>
    <t>SEBA Oppliger</t>
  </si>
  <si>
    <t>Regimiento Cazadores 1222, depto 717, Regimiento Cazadores 1222, depto 717</t>
  </si>
  <si>
    <t>18422</t>
  </si>
  <si>
    <t>2294650971</t>
  </si>
  <si>
    <t>Francisco Pinochet Villalobos</t>
  </si>
  <si>
    <t>CHILE ESPANA 725 DPTO 1403</t>
  </si>
  <si>
    <t>2026-05-25 12:08</t>
  </si>
  <si>
    <t>18421</t>
  </si>
  <si>
    <t>2294650923</t>
  </si>
  <si>
    <t>Arcángel 1200 depto 708, Arcángel 1200 depto 708</t>
  </si>
  <si>
    <t>18420</t>
  </si>
  <si>
    <t>2294650875</t>
  </si>
  <si>
    <t>Loreto Cortés Ríos</t>
  </si>
  <si>
    <t>Luis Cruz Martínez 1842 ⁠</t>
  </si>
  <si>
    <t>18419</t>
  </si>
  <si>
    <t>2294650805</t>
  </si>
  <si>
    <t>NIEVES BALBONTIN</t>
  </si>
  <si>
    <t>Luis Thayer Ojeda 1623 ⁠1623, DEPTO 401</t>
  </si>
  <si>
    <t>2026-05-25 12:04</t>
  </si>
  <si>
    <t>18418</t>
  </si>
  <si>
    <t>2294650724</t>
  </si>
  <si>
    <t>Ernesto Santos Hernández</t>
  </si>
  <si>
    <t>Chacabuco 1120 dp 1303</t>
  </si>
  <si>
    <t>2026-05-25 12:01</t>
  </si>
  <si>
    <t>18416</t>
  </si>
  <si>
    <t>2294576174</t>
  </si>
  <si>
    <t>Marjorie Oteiza</t>
  </si>
  <si>
    <t>Sgto. Aldea 194, Casa</t>
  </si>
  <si>
    <t>18415</t>
  </si>
  <si>
    <t>2294576060</t>
  </si>
  <si>
    <t>christofer contreras</t>
  </si>
  <si>
    <t>Calle Alcalde Rodolfo Galleguillo 2114, 16</t>
  </si>
  <si>
    <t>18414</t>
  </si>
  <si>
    <t>2294576034</t>
  </si>
  <si>
    <t>Dévora Gómez Lazo</t>
  </si>
  <si>
    <t>Fray Camilo Henríquez 621, Fray camilo henriquez 621</t>
  </si>
  <si>
    <t>2026-05-25 11:57</t>
  </si>
  <si>
    <t>18413</t>
  </si>
  <si>
    <t>2294575861</t>
  </si>
  <si>
    <t>Ximena Oliveros</t>
  </si>
  <si>
    <t>Carlos silva vildosola 9580, Casa E</t>
  </si>
  <si>
    <t>2026-05-25 11:55</t>
  </si>
  <si>
    <t>18411</t>
  </si>
  <si>
    <t>2294564790</t>
  </si>
  <si>
    <t>Mariajosé Jaque</t>
  </si>
  <si>
    <t>av suecia 1524 depto 504, av suecia 1524 depto 504</t>
  </si>
  <si>
    <t>18410</t>
  </si>
  <si>
    <t>2294564731</t>
  </si>
  <si>
    <t>Martin Anguita</t>
  </si>
  <si>
    <t>Av. Américo Vespucio 948, Depto 1306</t>
  </si>
  <si>
    <t>18409</t>
  </si>
  <si>
    <t>2294560321</t>
  </si>
  <si>
    <t>carolina herrera</t>
  </si>
  <si>
    <t>pasaje el polu mz 22 casa 21 mirdaor de puerto varas, pasaje el polu mz 22 casa 21 mirdaor de puerto varas</t>
  </si>
  <si>
    <t>2026-05-25 11:45</t>
  </si>
  <si>
    <t>18408</t>
  </si>
  <si>
    <t>2294560273</t>
  </si>
  <si>
    <t>Víctor Saavedra</t>
  </si>
  <si>
    <t>Amapolas 1637, Depto. 602</t>
  </si>
  <si>
    <t>2026-05-25 11:43</t>
  </si>
  <si>
    <t>18407</t>
  </si>
  <si>
    <t>2294560240</t>
  </si>
  <si>
    <t>Norbey Restrepo</t>
  </si>
  <si>
    <t>Canal kirke edificio parque mirador 3, departamento 208, Canal kirke edificio parque mirador 3, departamento 208</t>
  </si>
  <si>
    <t>2026-05-25 11:32</t>
  </si>
  <si>
    <t>18405</t>
  </si>
  <si>
    <t>2294560214</t>
  </si>
  <si>
    <t>Karel Almonacid Morales</t>
  </si>
  <si>
    <t>Av. Ejército Libertador 75</t>
  </si>
  <si>
    <t>2026-05-25 11:31</t>
  </si>
  <si>
    <t>18404</t>
  </si>
  <si>
    <t>2294560144</t>
  </si>
  <si>
    <t>Isidora montes mesina</t>
  </si>
  <si>
    <t>Avenida Ricardo Lyon 1717, dpto 502</t>
  </si>
  <si>
    <t>2026-05-25 11:30</t>
  </si>
  <si>
    <t>18402</t>
  </si>
  <si>
    <t>2294560096</t>
  </si>
  <si>
    <t>DIEGO MEDINA CEBALLOS</t>
  </si>
  <si>
    <t>Av Rukan 315 casa 114 Colina, Santiago, Chile</t>
  </si>
  <si>
    <t>2026-05-25 11:28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</si>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</sst>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4" fontId="6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2" fillId="0" borderId="13" xfId="0" applyFont="1" applyBorder="1"/>
    <xf numFmtId="1" fontId="0" fillId="0" borderId="0" xfId="0" applyNumberFormat="1"/>
    <xf numFmtId="165" fontId="0" fillId="0" borderId="0" xfId="42" applyNumberFormat="1" applyFont="1"/>
    <xf numFmtId="165" fontId="2" fillId="2" borderId="12" xfId="42" applyNumberFormat="1" applyFont="1" applyFill="1" applyBorder="1"/>
    <xf numFmtId="165" fontId="2" fillId="0" borderId="12" xfId="42" applyNumberFormat="1" applyFont="1" applyBorder="1"/>
    <xf numFmtId="165" fontId="4" fillId="0" borderId="12" xfId="42" applyNumberFormat="1" applyFont="1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5" fontId="5" fillId="0" borderId="12" xfId="42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2" fillId="0" borderId="15" xfId="42" applyNumberFormat="1" applyFont="1" applyBorder="1"/>
    <xf numFmtId="0" fontId="2" fillId="0" borderId="18" xfId="0" applyFont="1" applyBorder="1"/>
    <xf numFmtId="0" fontId="2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0" fillId="0" borderId="0" xfId="0" applyNumberFormat="1"/>
    <xf numFmtId="0" fontId="5" fillId="0" borderId="1" xfId="0" applyFont="1" applyBorder="1"/>
    <xf numFmtId="0" fontId="5" fillId="0" borderId="13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19" formatCode="dd/mm/yyyy"/>
    </dxf>
    <dxf>
      <numFmt numFmtId="19" formatCode="dd/mm/yyyy"/>
    </dxf>
    <dxf>
      <fill>
        <patternFill>
          <bgColor rgb="FFFFFF00"/>
        </patternFill>
      </fill>
    </dxf>
    <dxf>
      <font>
        <color theme="0"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06592-16FA-432F-A4E5-942214379582}" name="Tabla1" displayName="Tabla1" ref="A1:W1100" totalsRowShown="0">
  <autoFilter ref="A1:W1100" xr:uid="{01F06592-16FA-432F-A4E5-942214379582}">
    <filterColumn colId="18">
      <filters>
        <dateGroupItem year="2026" month="6" day="5" dateTimeGrouping="day"/>
        <dateGroupItem year="2026" month="6" day="7" dateTimeGrouping="day"/>
        <dateGroupItem year="2026" month="6" day="8" dateTimeGrouping="day"/>
        <dateGroupItem year="2026" month="6" day="9" dateTimeGrouping="day"/>
        <dateGroupItem year="2026" month="6" day="10" dateTimeGrouping="day"/>
      </filters>
    </filterColumn>
  </autoFilter>
  <tableColumns count="23">
    <tableColumn id="1" xr3:uid="{43E64352-83B6-47B9-80FE-8BD7556D3F04}" name="company_id"/>
    <tableColumn id="2" xr3:uid="{B2092EB7-3A14-4293-BB24-708BC0836E0A}" name="id"/>
    <tableColumn id="3" xr3:uid="{8628C7C6-3B13-418E-B496-06B01271D974}" name="imported_id"/>
    <tableColumn id="4" xr3:uid="{B9B8FBE6-6FEB-48A0-A927-B9746CBF1CD6}" name="tracking_number" dataDxfId="4"/>
    <tableColumn id="5" xr3:uid="{9D419CA8-BCBD-4412-A7B0-B81F0B0C60D7}" name="company"/>
    <tableColumn id="6" xr3:uid="{9E9317F1-100B-4552-8306-DA93A9958339}" name="mkp"/>
    <tableColumn id="7" xr3:uid="{8C5743E5-CB5A-487B-B369-3FE66F795F93}" name="carrier"/>
    <tableColumn id="8" xr3:uid="{B892778B-AC60-4AC1-A07F-01EFC67F791C}" name="carrier_code"/>
    <tableColumn id="9" xr3:uid="{2766BB45-D899-4FF0-ACBD-257D20417D0D}" name="contract_type"/>
    <tableColumn id="10" xr3:uid="{613D4D6E-5119-4028-89DA-B381CF6F1912}" name="carrier_service_name"/>
    <tableColumn id="11" xr3:uid="{12458E37-9C4D-4356-B006-D92A04740E56}" name="status"/>
    <tableColumn id="12" xr3:uid="{956A5287-1EEC-433C-A918-836E5C450336}" name="comment"/>
    <tableColumn id="13" xr3:uid="{E351B3CB-11B8-4ADE-91F6-3EB7A7EF8218}" name="name_person"/>
    <tableColumn id="14" xr3:uid="{9B5B918B-089F-409B-B1EE-F6F425C7B4DF}" name="dir_origen"/>
    <tableColumn id="15" xr3:uid="{CE8F6A7F-7252-41B2-BF13-960D6C455B91}" name="com_origen"/>
    <tableColumn id="16" xr3:uid="{A7DA91C0-EF80-40A1-AB45-ABB0C33869E9}" name="dir_destino"/>
    <tableColumn id="17" xr3:uid="{BFC89C2D-5C05-4A05-9E3E-67C271D9B9DE}" name="com_destino"/>
    <tableColumn id="18" xr3:uid="{10436556-C870-4E55-9624-171AB9598CCB}" name="created_at" dataDxfId="1"/>
    <tableColumn id="23" xr3:uid="{320C1035-E472-43F3-982B-510C974D393D}" name="Columna1" dataDxfId="0"/>
    <tableColumn id="19" xr3:uid="{59F78D41-2FD9-492C-B642-65719FA6754C}" name="peso informado por carrier"/>
    <tableColumn id="20" xr3:uid="{82EC12A1-7ACE-40AE-A38A-89E6F809EE5B}" name="precio"/>
    <tableColumn id="21" xr3:uid="{66B33723-7EEB-4998-9945-328779E36FD6}" name="seguro"/>
    <tableColumn id="22" xr3:uid="{4C1C62E1-A31F-43EF-8037-D613D9F7B958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2"/>
  <sheetViews>
    <sheetView showGridLines="0" zoomScale="90" zoomScaleNormal="90" workbookViewId="0">
      <selection activeCell="E19" sqref="E19"/>
    </sheetView>
  </sheetViews>
  <sheetFormatPr baseColWidth="10" defaultRowHeight="15" x14ac:dyDescent="0.25"/>
  <cols>
    <col min="2" max="2" width="16.7109375" customWidth="1"/>
    <col min="3" max="3" width="34.5703125" bestFit="1" customWidth="1"/>
    <col min="4" max="4" width="44.140625" style="13" bestFit="1" customWidth="1"/>
    <col min="5" max="5" width="16.42578125" style="9" customWidth="1"/>
  </cols>
  <sheetData>
    <row r="2" spans="3:5" ht="21" x14ac:dyDescent="0.35">
      <c r="C2" s="1" t="s">
        <v>3</v>
      </c>
      <c r="D2" s="15" t="str">
        <f>IF(Detalle!F2="",Detalle!E2,Detalle!F2)</f>
        <v>Kaltemp</v>
      </c>
      <c r="E2" s="4">
        <v>46213</v>
      </c>
    </row>
    <row r="3" spans="3:5" x14ac:dyDescent="0.25">
      <c r="C3" s="5"/>
    </row>
    <row r="4" spans="3:5" ht="15.75" x14ac:dyDescent="0.25">
      <c r="C4" s="6" t="s">
        <v>38</v>
      </c>
      <c r="D4" s="21" t="s">
        <v>2</v>
      </c>
      <c r="E4" s="10"/>
    </row>
    <row r="5" spans="3:5" ht="15.75" x14ac:dyDescent="0.25">
      <c r="C5" s="24" t="s">
        <v>28</v>
      </c>
      <c r="D5" s="22">
        <f>COUNTIF(Detalle!I:I,"Servicio Enviame Connect")</f>
        <v>0</v>
      </c>
      <c r="E5" s="16">
        <f>SUMIF(Detalle!I:I,"Servicio Enviame Connect",Detalle!W:W)</f>
        <v>0</v>
      </c>
    </row>
    <row r="6" spans="3:5" ht="15.75" x14ac:dyDescent="0.25">
      <c r="C6" s="24" t="s">
        <v>29</v>
      </c>
      <c r="D6" s="22">
        <f>COUNTIF(Detalle!I:I,"Servicio Enviame Connect Plus")</f>
        <v>0</v>
      </c>
      <c r="E6" s="16">
        <f>SUMIF(Detalle!I:I,"Servicio Enviame Connect Plus",Detalle!W:W)</f>
        <v>0</v>
      </c>
    </row>
    <row r="7" spans="3:5" ht="15.75" x14ac:dyDescent="0.25">
      <c r="C7" s="24" t="s">
        <v>30</v>
      </c>
      <c r="D7" s="22">
        <f>COUNTIF(Detalle!I:I,"Servicio Enviame Distribucion")</f>
        <v>1099</v>
      </c>
      <c r="E7" s="16">
        <f>SUMIF(Detalle!I:I,"Servicio Enviame Distribucion",Detalle!W:W)</f>
        <v>14955747.159999909</v>
      </c>
    </row>
    <row r="8" spans="3:5" ht="15.75" x14ac:dyDescent="0.25">
      <c r="C8" s="24" t="s">
        <v>31</v>
      </c>
      <c r="D8" s="22">
        <f>COUNTIF(Detalle!I:I,"Servicio Enviame Enviatrack")</f>
        <v>0</v>
      </c>
      <c r="E8" s="16">
        <f>SUMIF(Detalle!I:I,"Servicio Enviame Enviatrack",Detalle!W:W)</f>
        <v>0</v>
      </c>
    </row>
    <row r="9" spans="3:5" ht="15.75" x14ac:dyDescent="0.25">
      <c r="C9" s="24" t="s">
        <v>32</v>
      </c>
      <c r="D9" s="22">
        <f>COUNTIF(Detalle!I:I,"Servicio Enviame Flex")</f>
        <v>0</v>
      </c>
      <c r="E9" s="16">
        <f>SUMIF(Detalle!I:I,"Servicio Enviame Flex",Detalle!W:W)</f>
        <v>0</v>
      </c>
    </row>
    <row r="10" spans="3:5" ht="15.75" x14ac:dyDescent="0.25">
      <c r="C10" s="24" t="s">
        <v>33</v>
      </c>
      <c r="D10" s="22">
        <f>COUNTIF(Detalle!I:I,"Servicio Enviame Marketcenter")</f>
        <v>0</v>
      </c>
      <c r="E10" s="16">
        <f>SUMIF(Detalle!I:I,"Servicio Enviame Marketcenter",Detalle!W:W)</f>
        <v>0</v>
      </c>
    </row>
    <row r="11" spans="3:5" ht="15.75" x14ac:dyDescent="0.25">
      <c r="C11" s="24" t="s">
        <v>39</v>
      </c>
      <c r="D11" s="22">
        <f>COUNTIF(Detalle!I:I,"Servicio Enviame Notificaciones")</f>
        <v>0</v>
      </c>
      <c r="E11" s="16">
        <f>SUMIF(Detalle!I:I,"Servicio Enviame Notificaciones",Detalle!W:W)</f>
        <v>0</v>
      </c>
    </row>
    <row r="12" spans="3:5" ht="15.75" x14ac:dyDescent="0.25">
      <c r="C12" s="24" t="s">
        <v>34</v>
      </c>
      <c r="D12" s="22">
        <f>COUNTIF(Detalle!I:I,"Servicio Enviame por Pagar")</f>
        <v>0</v>
      </c>
      <c r="E12" s="16">
        <f>SUMIF(Detalle!I:I,"Servicio Enviame por Pagar",Detalle!W:W)</f>
        <v>0</v>
      </c>
    </row>
    <row r="13" spans="3:5" ht="15.75" x14ac:dyDescent="0.25">
      <c r="C13" s="24" t="s">
        <v>35</v>
      </c>
      <c r="D13" s="22">
        <f>COUNTIF(Detalle!I:I,"Servicio Enviame Retiros")</f>
        <v>0</v>
      </c>
      <c r="E13" s="16">
        <f>SUMIF(Detalle!I:I,"Servicio Enviame Retiros",Detalle!W:W)</f>
        <v>0</v>
      </c>
    </row>
    <row r="14" spans="3:5" ht="15.75" x14ac:dyDescent="0.25">
      <c r="C14" s="24" t="s">
        <v>36</v>
      </c>
      <c r="D14" s="22">
        <f>COUNTIF(Detalle!I:I,"Servicio Enviame Soporte Tecnico")</f>
        <v>0</v>
      </c>
      <c r="E14" s="16">
        <f>SUMIF(Detalle!I:I,"Servicio Enviame Soporte Tecnico",Detalle!W:W)</f>
        <v>0</v>
      </c>
    </row>
    <row r="15" spans="3:5" ht="15.75" x14ac:dyDescent="0.25">
      <c r="C15" s="24" t="s">
        <v>159</v>
      </c>
      <c r="D15" s="22">
        <f>COUNTIF(Detalle!I:I,"Servicio Enviame Modelo Cross Dock")</f>
        <v>0</v>
      </c>
      <c r="E15" s="16">
        <f>SUMIF(Detalle!I:I,"Sevicio Enviame Modelo Cross Dock",Detalle!W:W)</f>
        <v>0</v>
      </c>
    </row>
    <row r="16" spans="3:5" ht="15.75" x14ac:dyDescent="0.25">
      <c r="C16" s="25" t="s">
        <v>40</v>
      </c>
      <c r="D16" s="22">
        <f>COUNTIF(Detalle!I:I,"Servicio Enviame Adicional")</f>
        <v>0</v>
      </c>
      <c r="E16" s="16">
        <f>SUMIF(Detalle!I:I,"Servicio Enviame Adicional",Detalle!W:W)</f>
        <v>0</v>
      </c>
    </row>
    <row r="17" spans="3:5" ht="15.75" x14ac:dyDescent="0.25">
      <c r="C17" s="25" t="s">
        <v>41</v>
      </c>
      <c r="D17" s="22">
        <f>COUNTIF(Detalle!I:I,"Servicio Enviame Marketplace")</f>
        <v>0</v>
      </c>
      <c r="E17" s="16">
        <f>SUMIF(Detalle!I:I,"Servicio Enviame Marketplace",Detalle!W:W)</f>
        <v>0</v>
      </c>
    </row>
    <row r="18" spans="3:5" ht="15.75" x14ac:dyDescent="0.25">
      <c r="C18" s="25" t="s">
        <v>42</v>
      </c>
      <c r="D18" s="22">
        <f>COUNTIF(Detalle!I:I,"Servicio Enviame Logistica Inversa")</f>
        <v>0</v>
      </c>
      <c r="E18" s="16">
        <f>SUMIF(Detalle!I:I,"Servicio Enviame Logistica Inversa",Detalle!W:W)</f>
        <v>0</v>
      </c>
    </row>
    <row r="19" spans="3:5" ht="15.75" x14ac:dyDescent="0.25">
      <c r="C19" s="20" t="s">
        <v>4</v>
      </c>
      <c r="D19" s="17"/>
      <c r="E19" s="11">
        <f>SUM(E5:E18)</f>
        <v>14955747.159999909</v>
      </c>
    </row>
    <row r="20" spans="3:5" ht="17.25" customHeight="1" x14ac:dyDescent="0.25">
      <c r="C20" s="2"/>
      <c r="D20" s="14"/>
      <c r="E20" s="11"/>
    </row>
    <row r="21" spans="3:5" ht="15.75" x14ac:dyDescent="0.25">
      <c r="C21" s="7" t="s">
        <v>0</v>
      </c>
      <c r="D21" s="18"/>
      <c r="E21" s="19">
        <f>E19*0.19</f>
        <v>2841591.9603999825</v>
      </c>
    </row>
    <row r="22" spans="3:5" ht="15.75" x14ac:dyDescent="0.25">
      <c r="C22" s="3" t="s">
        <v>1</v>
      </c>
      <c r="D22" s="14"/>
      <c r="E22" s="12">
        <f>+E19+E21</f>
        <v>17797339.120399892</v>
      </c>
    </row>
  </sheetData>
  <conditionalFormatting sqref="C5:E18">
    <cfRule type="expression" dxfId="3" priority="1">
      <formula>$E5=0</formula>
    </cfRule>
  </conditionalFormatting>
  <conditionalFormatting sqref="D2">
    <cfRule type="duplicateValues" dxfId="2" priority="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00"/>
  <sheetViews>
    <sheetView tabSelected="1" topLeftCell="E1" zoomScale="90" zoomScaleNormal="90" workbookViewId="0">
      <selection activeCell="C619" sqref="C619"/>
    </sheetView>
  </sheetViews>
  <sheetFormatPr baseColWidth="10" defaultColWidth="12.140625" defaultRowHeight="15" x14ac:dyDescent="0.25"/>
  <cols>
    <col min="1" max="1" width="13.42578125" customWidth="1"/>
    <col min="2" max="2" width="11.140625" bestFit="1" customWidth="1"/>
    <col min="3" max="3" width="14" customWidth="1"/>
    <col min="4" max="4" width="18" style="8" customWidth="1"/>
    <col min="5" max="5" width="18" bestFit="1" customWidth="1"/>
    <col min="8" max="8" width="14" customWidth="1"/>
    <col min="9" max="9" width="26.7109375" bestFit="1" customWidth="1"/>
    <col min="10" max="10" width="21.7109375" customWidth="1"/>
    <col min="13" max="13" width="15.140625" customWidth="1"/>
    <col min="15" max="15" width="13.28515625" customWidth="1"/>
    <col min="16" max="16" width="13" customWidth="1"/>
    <col min="17" max="17" width="14.28515625" customWidth="1"/>
    <col min="18" max="18" width="16.7109375" style="23" bestFit="1" customWidth="1"/>
    <col min="19" max="19" width="16.7109375" style="23" customWidth="1"/>
    <col min="20" max="20" width="26.5703125" customWidth="1"/>
  </cols>
  <sheetData>
    <row r="1" spans="1:23" x14ac:dyDescent="0.25">
      <c r="A1" t="s">
        <v>19</v>
      </c>
      <c r="B1" t="s">
        <v>18</v>
      </c>
      <c r="C1" t="s">
        <v>5</v>
      </c>
      <c r="D1" s="8" t="s">
        <v>6</v>
      </c>
      <c r="E1" t="s">
        <v>16</v>
      </c>
      <c r="F1" t="s">
        <v>24</v>
      </c>
      <c r="G1" t="s">
        <v>7</v>
      </c>
      <c r="H1" t="s">
        <v>8</v>
      </c>
      <c r="I1" t="s">
        <v>22</v>
      </c>
      <c r="J1" t="s">
        <v>25</v>
      </c>
      <c r="K1" t="s">
        <v>15</v>
      </c>
      <c r="L1" t="s">
        <v>9</v>
      </c>
      <c r="M1" t="s">
        <v>10</v>
      </c>
      <c r="N1" t="s">
        <v>17</v>
      </c>
      <c r="O1" t="s">
        <v>11</v>
      </c>
      <c r="P1" t="s">
        <v>12</v>
      </c>
      <c r="Q1" t="s">
        <v>13</v>
      </c>
      <c r="R1" s="23" t="s">
        <v>14</v>
      </c>
      <c r="S1" s="23" t="s">
        <v>5791</v>
      </c>
      <c r="T1" t="s">
        <v>23</v>
      </c>
      <c r="U1" t="s">
        <v>20</v>
      </c>
      <c r="V1" t="s">
        <v>26</v>
      </c>
      <c r="W1" t="s">
        <v>21</v>
      </c>
    </row>
    <row r="2" spans="1:23" hidden="1" x14ac:dyDescent="0.25">
      <c r="A2">
        <v>15741</v>
      </c>
      <c r="B2">
        <v>456252281</v>
      </c>
      <c r="C2" t="s">
        <v>642</v>
      </c>
      <c r="D2" s="8" t="s">
        <v>643</v>
      </c>
      <c r="E2" t="s">
        <v>644</v>
      </c>
      <c r="G2" t="s">
        <v>53</v>
      </c>
      <c r="H2" t="s">
        <v>54</v>
      </c>
      <c r="I2" t="s">
        <v>30</v>
      </c>
      <c r="J2" t="s">
        <v>55</v>
      </c>
      <c r="K2" t="s">
        <v>37</v>
      </c>
      <c r="L2" t="s">
        <v>60</v>
      </c>
      <c r="M2" t="s">
        <v>645</v>
      </c>
      <c r="N2" t="s">
        <v>646</v>
      </c>
      <c r="O2" t="s">
        <v>83</v>
      </c>
      <c r="P2" t="s">
        <v>647</v>
      </c>
      <c r="Q2" t="s">
        <v>424</v>
      </c>
      <c r="R2" s="23" t="s">
        <v>648</v>
      </c>
      <c r="S2" s="23">
        <v>46177</v>
      </c>
      <c r="T2">
        <v>222.4</v>
      </c>
      <c r="U2">
        <v>72657.56</v>
      </c>
      <c r="V2">
        <v>11999.94</v>
      </c>
      <c r="W2">
        <v>84657.5</v>
      </c>
    </row>
    <row r="3" spans="1:23" hidden="1" x14ac:dyDescent="0.25">
      <c r="A3">
        <v>15741</v>
      </c>
      <c r="B3">
        <v>456225725</v>
      </c>
      <c r="C3" t="s">
        <v>649</v>
      </c>
      <c r="D3" s="8" t="s">
        <v>650</v>
      </c>
      <c r="E3" t="s">
        <v>644</v>
      </c>
      <c r="G3" t="s">
        <v>53</v>
      </c>
      <c r="H3" t="s">
        <v>54</v>
      </c>
      <c r="I3" t="s">
        <v>30</v>
      </c>
      <c r="J3" t="s">
        <v>55</v>
      </c>
      <c r="K3" t="s">
        <v>37</v>
      </c>
      <c r="L3" t="s">
        <v>60</v>
      </c>
      <c r="M3" t="s">
        <v>651</v>
      </c>
      <c r="N3" t="s">
        <v>646</v>
      </c>
      <c r="O3" t="s">
        <v>83</v>
      </c>
      <c r="P3" t="s">
        <v>652</v>
      </c>
      <c r="Q3" t="s">
        <v>48</v>
      </c>
      <c r="R3" s="23" t="s">
        <v>383</v>
      </c>
      <c r="S3" s="23">
        <v>46177</v>
      </c>
      <c r="T3">
        <v>2.1</v>
      </c>
      <c r="U3">
        <v>5816</v>
      </c>
      <c r="V3">
        <v>0</v>
      </c>
      <c r="W3">
        <v>5816</v>
      </c>
    </row>
    <row r="4" spans="1:23" hidden="1" x14ac:dyDescent="0.25">
      <c r="A4">
        <v>15741</v>
      </c>
      <c r="B4">
        <v>456993228</v>
      </c>
      <c r="C4" t="s">
        <v>653</v>
      </c>
      <c r="D4" s="8" t="s">
        <v>654</v>
      </c>
      <c r="E4" t="s">
        <v>644</v>
      </c>
      <c r="G4" t="s">
        <v>53</v>
      </c>
      <c r="H4" t="s">
        <v>54</v>
      </c>
      <c r="I4" t="s">
        <v>30</v>
      </c>
      <c r="J4" t="s">
        <v>55</v>
      </c>
      <c r="K4" t="s">
        <v>27</v>
      </c>
      <c r="L4" t="s">
        <v>655</v>
      </c>
      <c r="M4" t="s">
        <v>656</v>
      </c>
      <c r="N4" t="s">
        <v>646</v>
      </c>
      <c r="O4" t="s">
        <v>83</v>
      </c>
      <c r="P4" t="s">
        <v>657</v>
      </c>
      <c r="Q4" t="s">
        <v>52</v>
      </c>
      <c r="R4" s="23" t="s">
        <v>458</v>
      </c>
      <c r="S4" s="23">
        <v>46196</v>
      </c>
      <c r="T4">
        <v>2.1</v>
      </c>
      <c r="U4">
        <v>5816</v>
      </c>
      <c r="V4">
        <v>0</v>
      </c>
      <c r="W4">
        <v>5816</v>
      </c>
    </row>
    <row r="5" spans="1:23" hidden="1" x14ac:dyDescent="0.25">
      <c r="A5">
        <v>15741</v>
      </c>
      <c r="B5">
        <v>456993013</v>
      </c>
      <c r="C5" t="s">
        <v>658</v>
      </c>
      <c r="D5" s="8" t="s">
        <v>659</v>
      </c>
      <c r="E5" t="s">
        <v>644</v>
      </c>
      <c r="G5" t="s">
        <v>53</v>
      </c>
      <c r="H5" t="s">
        <v>54</v>
      </c>
      <c r="I5" t="s">
        <v>30</v>
      </c>
      <c r="J5" t="s">
        <v>55</v>
      </c>
      <c r="K5" t="s">
        <v>27</v>
      </c>
      <c r="L5" t="s">
        <v>660</v>
      </c>
      <c r="M5" t="s">
        <v>661</v>
      </c>
      <c r="N5" t="s">
        <v>646</v>
      </c>
      <c r="O5" t="s">
        <v>83</v>
      </c>
      <c r="P5" t="s">
        <v>662</v>
      </c>
      <c r="Q5" t="s">
        <v>47</v>
      </c>
      <c r="R5" s="23" t="s">
        <v>395</v>
      </c>
      <c r="S5" s="23">
        <v>46196</v>
      </c>
      <c r="T5">
        <v>2.1</v>
      </c>
      <c r="U5">
        <v>5816</v>
      </c>
      <c r="V5">
        <v>0</v>
      </c>
      <c r="W5">
        <v>5816</v>
      </c>
    </row>
    <row r="6" spans="1:23" hidden="1" x14ac:dyDescent="0.25">
      <c r="A6">
        <v>15741</v>
      </c>
      <c r="B6">
        <v>457025291</v>
      </c>
      <c r="C6" t="s">
        <v>663</v>
      </c>
      <c r="D6" s="8" t="s">
        <v>664</v>
      </c>
      <c r="E6" t="s">
        <v>644</v>
      </c>
      <c r="G6" t="s">
        <v>53</v>
      </c>
      <c r="H6" t="s">
        <v>54</v>
      </c>
      <c r="I6" t="s">
        <v>30</v>
      </c>
      <c r="J6" t="s">
        <v>55</v>
      </c>
      <c r="K6" t="s">
        <v>27</v>
      </c>
      <c r="L6" t="s">
        <v>665</v>
      </c>
      <c r="M6" t="s">
        <v>666</v>
      </c>
      <c r="N6" t="s">
        <v>646</v>
      </c>
      <c r="O6" t="s">
        <v>83</v>
      </c>
      <c r="P6" t="s">
        <v>667</v>
      </c>
      <c r="Q6" t="s">
        <v>212</v>
      </c>
      <c r="R6" s="23" t="s">
        <v>668</v>
      </c>
      <c r="S6" s="23">
        <v>46197</v>
      </c>
      <c r="T6">
        <v>2.5499999999999998</v>
      </c>
      <c r="U6">
        <v>11780</v>
      </c>
      <c r="V6">
        <v>0</v>
      </c>
      <c r="W6">
        <v>11780</v>
      </c>
    </row>
    <row r="7" spans="1:23" hidden="1" x14ac:dyDescent="0.25">
      <c r="A7">
        <v>15741</v>
      </c>
      <c r="B7">
        <v>457005586</v>
      </c>
      <c r="C7" t="s">
        <v>669</v>
      </c>
      <c r="D7" s="8" t="s">
        <v>670</v>
      </c>
      <c r="E7" t="s">
        <v>644</v>
      </c>
      <c r="G7" t="s">
        <v>53</v>
      </c>
      <c r="H7" t="s">
        <v>54</v>
      </c>
      <c r="I7" t="s">
        <v>30</v>
      </c>
      <c r="J7" t="s">
        <v>55</v>
      </c>
      <c r="K7" t="s">
        <v>27</v>
      </c>
      <c r="L7" t="s">
        <v>671</v>
      </c>
      <c r="M7" t="s">
        <v>672</v>
      </c>
      <c r="N7" t="s">
        <v>646</v>
      </c>
      <c r="O7" t="s">
        <v>83</v>
      </c>
      <c r="P7" t="s">
        <v>673</v>
      </c>
      <c r="Q7" t="s">
        <v>46</v>
      </c>
      <c r="R7" s="23" t="s">
        <v>674</v>
      </c>
      <c r="S7" s="23">
        <v>46196</v>
      </c>
      <c r="T7">
        <v>2.1</v>
      </c>
      <c r="U7">
        <v>5816</v>
      </c>
      <c r="V7">
        <v>0</v>
      </c>
      <c r="W7">
        <v>5816</v>
      </c>
    </row>
    <row r="8" spans="1:23" hidden="1" x14ac:dyDescent="0.25">
      <c r="A8">
        <v>15741</v>
      </c>
      <c r="B8">
        <v>457005360</v>
      </c>
      <c r="C8" t="s">
        <v>675</v>
      </c>
      <c r="D8" s="8" t="s">
        <v>676</v>
      </c>
      <c r="E8" t="s">
        <v>644</v>
      </c>
      <c r="G8" t="s">
        <v>53</v>
      </c>
      <c r="H8" t="s">
        <v>54</v>
      </c>
      <c r="I8" t="s">
        <v>30</v>
      </c>
      <c r="J8" t="s">
        <v>55</v>
      </c>
      <c r="K8" t="s">
        <v>27</v>
      </c>
      <c r="L8" t="s">
        <v>677</v>
      </c>
      <c r="M8" t="s">
        <v>678</v>
      </c>
      <c r="N8" t="s">
        <v>646</v>
      </c>
      <c r="O8" t="s">
        <v>83</v>
      </c>
      <c r="P8" t="s">
        <v>679</v>
      </c>
      <c r="Q8" t="s">
        <v>50</v>
      </c>
      <c r="R8" s="23" t="s">
        <v>459</v>
      </c>
      <c r="S8" s="23">
        <v>46196</v>
      </c>
      <c r="T8">
        <v>4.74</v>
      </c>
      <c r="U8">
        <v>6450</v>
      </c>
      <c r="V8">
        <v>0</v>
      </c>
      <c r="W8">
        <v>6450</v>
      </c>
    </row>
    <row r="9" spans="1:23" hidden="1" x14ac:dyDescent="0.25">
      <c r="A9">
        <v>15741</v>
      </c>
      <c r="B9">
        <v>457005315</v>
      </c>
      <c r="C9" t="s">
        <v>680</v>
      </c>
      <c r="D9" s="8" t="s">
        <v>681</v>
      </c>
      <c r="E9" t="s">
        <v>644</v>
      </c>
      <c r="G9" t="s">
        <v>53</v>
      </c>
      <c r="H9" t="s">
        <v>54</v>
      </c>
      <c r="I9" t="s">
        <v>30</v>
      </c>
      <c r="J9" t="s">
        <v>55</v>
      </c>
      <c r="K9" t="s">
        <v>27</v>
      </c>
      <c r="L9" t="s">
        <v>682</v>
      </c>
      <c r="M9" t="s">
        <v>683</v>
      </c>
      <c r="N9" t="s">
        <v>646</v>
      </c>
      <c r="O9" t="s">
        <v>83</v>
      </c>
      <c r="P9" t="s">
        <v>684</v>
      </c>
      <c r="Q9" t="s">
        <v>71</v>
      </c>
      <c r="R9" s="23" t="s">
        <v>110</v>
      </c>
      <c r="S9" s="23">
        <v>46196</v>
      </c>
      <c r="T9">
        <v>2.1</v>
      </c>
      <c r="U9">
        <v>5816</v>
      </c>
      <c r="V9">
        <v>0</v>
      </c>
      <c r="W9">
        <v>5816</v>
      </c>
    </row>
    <row r="10" spans="1:23" hidden="1" x14ac:dyDescent="0.25">
      <c r="A10">
        <v>15741</v>
      </c>
      <c r="B10">
        <v>457005202</v>
      </c>
      <c r="C10" t="s">
        <v>685</v>
      </c>
      <c r="D10" s="8" t="s">
        <v>686</v>
      </c>
      <c r="E10" t="s">
        <v>644</v>
      </c>
      <c r="G10" t="s">
        <v>53</v>
      </c>
      <c r="H10" t="s">
        <v>54</v>
      </c>
      <c r="I10" t="s">
        <v>30</v>
      </c>
      <c r="J10" t="s">
        <v>55</v>
      </c>
      <c r="K10" t="s">
        <v>27</v>
      </c>
      <c r="L10" t="s">
        <v>687</v>
      </c>
      <c r="M10" t="s">
        <v>688</v>
      </c>
      <c r="N10" t="s">
        <v>646</v>
      </c>
      <c r="O10" t="s">
        <v>83</v>
      </c>
      <c r="P10" t="s">
        <v>689</v>
      </c>
      <c r="Q10" t="s">
        <v>48</v>
      </c>
      <c r="R10" s="23" t="s">
        <v>690</v>
      </c>
      <c r="S10" s="23">
        <v>46196</v>
      </c>
      <c r="T10">
        <v>2</v>
      </c>
      <c r="U10">
        <v>5504</v>
      </c>
      <c r="V10">
        <v>0</v>
      </c>
      <c r="W10">
        <v>5504</v>
      </c>
    </row>
    <row r="11" spans="1:23" hidden="1" x14ac:dyDescent="0.25">
      <c r="A11">
        <v>15741</v>
      </c>
      <c r="B11">
        <v>457025443</v>
      </c>
      <c r="C11" t="s">
        <v>691</v>
      </c>
      <c r="D11" s="8" t="s">
        <v>692</v>
      </c>
      <c r="E11" t="s">
        <v>644</v>
      </c>
      <c r="G11" t="s">
        <v>53</v>
      </c>
      <c r="H11" t="s">
        <v>54</v>
      </c>
      <c r="I11" t="s">
        <v>30</v>
      </c>
      <c r="J11" t="s">
        <v>55</v>
      </c>
      <c r="K11" t="s">
        <v>27</v>
      </c>
      <c r="L11" t="s">
        <v>693</v>
      </c>
      <c r="M11" t="s">
        <v>694</v>
      </c>
      <c r="N11" t="s">
        <v>646</v>
      </c>
      <c r="O11" t="s">
        <v>83</v>
      </c>
      <c r="P11" t="s">
        <v>695</v>
      </c>
      <c r="Q11" t="s">
        <v>81</v>
      </c>
      <c r="R11" s="23" t="s">
        <v>696</v>
      </c>
      <c r="S11" s="23">
        <v>46197</v>
      </c>
      <c r="T11">
        <v>2.1</v>
      </c>
      <c r="U11">
        <v>5816</v>
      </c>
      <c r="V11">
        <v>0</v>
      </c>
      <c r="W11">
        <v>5816</v>
      </c>
    </row>
    <row r="12" spans="1:23" hidden="1" x14ac:dyDescent="0.25">
      <c r="A12">
        <v>15741</v>
      </c>
      <c r="B12">
        <v>457025494</v>
      </c>
      <c r="C12" t="s">
        <v>697</v>
      </c>
      <c r="D12" s="8" t="s">
        <v>698</v>
      </c>
      <c r="E12" t="s">
        <v>644</v>
      </c>
      <c r="G12" t="s">
        <v>53</v>
      </c>
      <c r="H12" t="s">
        <v>54</v>
      </c>
      <c r="I12" t="s">
        <v>30</v>
      </c>
      <c r="J12" t="s">
        <v>55</v>
      </c>
      <c r="K12" t="s">
        <v>196</v>
      </c>
      <c r="L12" t="s">
        <v>197</v>
      </c>
      <c r="M12" t="s">
        <v>699</v>
      </c>
      <c r="N12" t="s">
        <v>646</v>
      </c>
      <c r="O12" t="s">
        <v>83</v>
      </c>
      <c r="P12" t="s">
        <v>700</v>
      </c>
      <c r="Q12" t="s">
        <v>51</v>
      </c>
      <c r="R12" s="23" t="s">
        <v>701</v>
      </c>
      <c r="S12" s="23">
        <v>46197</v>
      </c>
      <c r="T12">
        <v>32.4</v>
      </c>
      <c r="U12">
        <v>13488</v>
      </c>
      <c r="V12">
        <v>0</v>
      </c>
      <c r="W12">
        <v>13488</v>
      </c>
    </row>
    <row r="13" spans="1:23" hidden="1" x14ac:dyDescent="0.25">
      <c r="A13">
        <v>15741</v>
      </c>
      <c r="B13">
        <v>457005284</v>
      </c>
      <c r="C13" t="s">
        <v>702</v>
      </c>
      <c r="D13" s="8" t="s">
        <v>703</v>
      </c>
      <c r="E13" t="s">
        <v>644</v>
      </c>
      <c r="G13" t="s">
        <v>53</v>
      </c>
      <c r="H13" t="s">
        <v>54</v>
      </c>
      <c r="I13" t="s">
        <v>30</v>
      </c>
      <c r="J13" t="s">
        <v>55</v>
      </c>
      <c r="K13" t="s">
        <v>27</v>
      </c>
      <c r="L13" t="s">
        <v>704</v>
      </c>
      <c r="M13" t="s">
        <v>705</v>
      </c>
      <c r="N13" t="s">
        <v>646</v>
      </c>
      <c r="O13" t="s">
        <v>83</v>
      </c>
      <c r="P13" t="s">
        <v>706</v>
      </c>
      <c r="Q13" t="s">
        <v>45</v>
      </c>
      <c r="R13" s="23" t="s">
        <v>272</v>
      </c>
      <c r="S13" s="23">
        <v>46196</v>
      </c>
      <c r="T13">
        <v>4.74</v>
      </c>
      <c r="U13">
        <v>6450</v>
      </c>
      <c r="V13">
        <v>0</v>
      </c>
      <c r="W13">
        <v>6450</v>
      </c>
    </row>
    <row r="14" spans="1:23" hidden="1" x14ac:dyDescent="0.25">
      <c r="A14">
        <v>15741</v>
      </c>
      <c r="B14">
        <v>457005185</v>
      </c>
      <c r="C14" t="s">
        <v>707</v>
      </c>
      <c r="D14" s="8" t="s">
        <v>708</v>
      </c>
      <c r="E14" t="s">
        <v>644</v>
      </c>
      <c r="G14" t="s">
        <v>53</v>
      </c>
      <c r="H14" t="s">
        <v>54</v>
      </c>
      <c r="I14" t="s">
        <v>30</v>
      </c>
      <c r="J14" t="s">
        <v>55</v>
      </c>
      <c r="K14" t="s">
        <v>27</v>
      </c>
      <c r="L14" t="s">
        <v>709</v>
      </c>
      <c r="M14" t="s">
        <v>371</v>
      </c>
      <c r="N14" t="s">
        <v>646</v>
      </c>
      <c r="O14" t="s">
        <v>83</v>
      </c>
      <c r="P14" t="s">
        <v>710</v>
      </c>
      <c r="Q14" t="s">
        <v>86</v>
      </c>
      <c r="R14" s="23" t="s">
        <v>711</v>
      </c>
      <c r="S14" s="23">
        <v>46196</v>
      </c>
      <c r="T14">
        <v>2</v>
      </c>
      <c r="U14">
        <v>5504</v>
      </c>
      <c r="V14">
        <v>0</v>
      </c>
      <c r="W14">
        <v>5504</v>
      </c>
    </row>
    <row r="15" spans="1:23" hidden="1" x14ac:dyDescent="0.25">
      <c r="A15">
        <v>15741</v>
      </c>
      <c r="B15">
        <v>457005470</v>
      </c>
      <c r="C15" t="s">
        <v>712</v>
      </c>
      <c r="D15" s="8" t="s">
        <v>713</v>
      </c>
      <c r="E15" t="s">
        <v>644</v>
      </c>
      <c r="G15" t="s">
        <v>53</v>
      </c>
      <c r="H15" t="s">
        <v>54</v>
      </c>
      <c r="I15" t="s">
        <v>30</v>
      </c>
      <c r="J15" t="s">
        <v>55</v>
      </c>
      <c r="K15" t="s">
        <v>27</v>
      </c>
      <c r="L15" t="s">
        <v>714</v>
      </c>
      <c r="M15" t="s">
        <v>715</v>
      </c>
      <c r="N15" t="s">
        <v>646</v>
      </c>
      <c r="O15" t="s">
        <v>83</v>
      </c>
      <c r="P15" t="s">
        <v>716</v>
      </c>
      <c r="Q15" t="s">
        <v>45</v>
      </c>
      <c r="R15" s="23" t="s">
        <v>717</v>
      </c>
      <c r="S15" s="23">
        <v>46196</v>
      </c>
      <c r="T15">
        <v>2.1</v>
      </c>
      <c r="U15">
        <v>5816</v>
      </c>
      <c r="V15">
        <v>0</v>
      </c>
      <c r="W15">
        <v>5816</v>
      </c>
    </row>
    <row r="16" spans="1:23" hidden="1" x14ac:dyDescent="0.25">
      <c r="A16">
        <v>15741</v>
      </c>
      <c r="B16">
        <v>457005346</v>
      </c>
      <c r="C16" t="s">
        <v>718</v>
      </c>
      <c r="D16" s="8" t="s">
        <v>719</v>
      </c>
      <c r="E16" t="s">
        <v>644</v>
      </c>
      <c r="G16" t="s">
        <v>53</v>
      </c>
      <c r="H16" t="s">
        <v>54</v>
      </c>
      <c r="I16" t="s">
        <v>30</v>
      </c>
      <c r="J16" t="s">
        <v>55</v>
      </c>
      <c r="K16" t="s">
        <v>27</v>
      </c>
      <c r="L16" t="s">
        <v>720</v>
      </c>
      <c r="M16" t="s">
        <v>721</v>
      </c>
      <c r="N16" t="s">
        <v>646</v>
      </c>
      <c r="O16" t="s">
        <v>83</v>
      </c>
      <c r="P16" t="s">
        <v>722</v>
      </c>
      <c r="Q16" t="s">
        <v>43</v>
      </c>
      <c r="R16" s="23" t="s">
        <v>110</v>
      </c>
      <c r="S16" s="23">
        <v>46196</v>
      </c>
      <c r="T16">
        <v>4.74</v>
      </c>
      <c r="U16">
        <v>6450</v>
      </c>
      <c r="V16">
        <v>0</v>
      </c>
      <c r="W16">
        <v>6450</v>
      </c>
    </row>
    <row r="17" spans="1:23" hidden="1" x14ac:dyDescent="0.25">
      <c r="A17">
        <v>15741</v>
      </c>
      <c r="B17">
        <v>456993371</v>
      </c>
      <c r="C17" t="s">
        <v>723</v>
      </c>
      <c r="D17" s="8" t="s">
        <v>724</v>
      </c>
      <c r="E17" t="s">
        <v>644</v>
      </c>
      <c r="G17" t="s">
        <v>53</v>
      </c>
      <c r="H17" t="s">
        <v>54</v>
      </c>
      <c r="I17" t="s">
        <v>30</v>
      </c>
      <c r="J17" t="s">
        <v>55</v>
      </c>
      <c r="K17" t="s">
        <v>27</v>
      </c>
      <c r="L17" t="s">
        <v>725</v>
      </c>
      <c r="M17" t="s">
        <v>726</v>
      </c>
      <c r="N17" t="s">
        <v>646</v>
      </c>
      <c r="O17" t="s">
        <v>83</v>
      </c>
      <c r="P17" t="s">
        <v>727</v>
      </c>
      <c r="Q17" t="s">
        <v>107</v>
      </c>
      <c r="R17" s="23" t="s">
        <v>728</v>
      </c>
      <c r="S17" s="23">
        <v>46196</v>
      </c>
      <c r="T17">
        <v>81</v>
      </c>
      <c r="U17">
        <v>29239</v>
      </c>
      <c r="V17">
        <v>5999.7</v>
      </c>
      <c r="W17">
        <v>35238.699999999997</v>
      </c>
    </row>
    <row r="18" spans="1:23" hidden="1" x14ac:dyDescent="0.25">
      <c r="A18">
        <v>15741</v>
      </c>
      <c r="B18">
        <v>457025347</v>
      </c>
      <c r="C18" t="s">
        <v>729</v>
      </c>
      <c r="D18" s="8" t="s">
        <v>730</v>
      </c>
      <c r="E18" t="s">
        <v>644</v>
      </c>
      <c r="G18" t="s">
        <v>53</v>
      </c>
      <c r="H18" t="s">
        <v>54</v>
      </c>
      <c r="I18" t="s">
        <v>30</v>
      </c>
      <c r="J18" t="s">
        <v>55</v>
      </c>
      <c r="K18" t="s">
        <v>27</v>
      </c>
      <c r="L18" t="s">
        <v>731</v>
      </c>
      <c r="M18" t="s">
        <v>732</v>
      </c>
      <c r="N18" t="s">
        <v>646</v>
      </c>
      <c r="O18" t="s">
        <v>83</v>
      </c>
      <c r="P18" t="s">
        <v>733</v>
      </c>
      <c r="Q18" t="s">
        <v>43</v>
      </c>
      <c r="R18" s="23" t="s">
        <v>734</v>
      </c>
      <c r="S18" s="23">
        <v>46197</v>
      </c>
      <c r="T18">
        <v>6.1</v>
      </c>
      <c r="U18">
        <v>7086</v>
      </c>
      <c r="V18">
        <v>0</v>
      </c>
      <c r="W18">
        <v>7086</v>
      </c>
    </row>
    <row r="19" spans="1:23" hidden="1" x14ac:dyDescent="0.25">
      <c r="A19">
        <v>15741</v>
      </c>
      <c r="B19">
        <v>456993122</v>
      </c>
      <c r="C19" t="s">
        <v>735</v>
      </c>
      <c r="D19" s="8" t="s">
        <v>736</v>
      </c>
      <c r="E19" t="s">
        <v>644</v>
      </c>
      <c r="G19" t="s">
        <v>53</v>
      </c>
      <c r="H19" t="s">
        <v>54</v>
      </c>
      <c r="I19" t="s">
        <v>30</v>
      </c>
      <c r="J19" t="s">
        <v>55</v>
      </c>
      <c r="K19" t="s">
        <v>27</v>
      </c>
      <c r="L19" t="s">
        <v>737</v>
      </c>
      <c r="M19" t="s">
        <v>498</v>
      </c>
      <c r="N19" t="s">
        <v>646</v>
      </c>
      <c r="O19" t="s">
        <v>83</v>
      </c>
      <c r="P19" t="s">
        <v>738</v>
      </c>
      <c r="Q19" t="s">
        <v>148</v>
      </c>
      <c r="R19" s="23" t="s">
        <v>235</v>
      </c>
      <c r="S19" s="23">
        <v>46196</v>
      </c>
      <c r="T19">
        <v>2.1</v>
      </c>
      <c r="U19">
        <v>5816</v>
      </c>
      <c r="V19">
        <v>0</v>
      </c>
      <c r="W19">
        <v>5816</v>
      </c>
    </row>
    <row r="20" spans="1:23" hidden="1" x14ac:dyDescent="0.25">
      <c r="A20">
        <v>15741</v>
      </c>
      <c r="B20">
        <v>456993054</v>
      </c>
      <c r="C20" t="s">
        <v>739</v>
      </c>
      <c r="D20" s="8" t="s">
        <v>740</v>
      </c>
      <c r="E20" t="s">
        <v>644</v>
      </c>
      <c r="G20" t="s">
        <v>53</v>
      </c>
      <c r="H20" t="s">
        <v>54</v>
      </c>
      <c r="I20" t="s">
        <v>30</v>
      </c>
      <c r="J20" t="s">
        <v>55</v>
      </c>
      <c r="K20" t="s">
        <v>27</v>
      </c>
      <c r="L20" t="s">
        <v>741</v>
      </c>
      <c r="M20" t="s">
        <v>742</v>
      </c>
      <c r="N20" t="s">
        <v>646</v>
      </c>
      <c r="O20" t="s">
        <v>83</v>
      </c>
      <c r="P20" t="s">
        <v>743</v>
      </c>
      <c r="Q20" t="s">
        <v>45</v>
      </c>
      <c r="R20" s="23" t="s">
        <v>236</v>
      </c>
      <c r="S20" s="23">
        <v>46196</v>
      </c>
      <c r="T20">
        <v>2.1</v>
      </c>
      <c r="U20">
        <v>5816</v>
      </c>
      <c r="V20">
        <v>0</v>
      </c>
      <c r="W20">
        <v>5816</v>
      </c>
    </row>
    <row r="21" spans="1:23" hidden="1" x14ac:dyDescent="0.25">
      <c r="A21">
        <v>15741</v>
      </c>
      <c r="B21">
        <v>457025528</v>
      </c>
      <c r="C21" t="s">
        <v>744</v>
      </c>
      <c r="D21" s="8" t="s">
        <v>745</v>
      </c>
      <c r="E21" t="s">
        <v>644</v>
      </c>
      <c r="G21" t="s">
        <v>53</v>
      </c>
      <c r="H21" t="s">
        <v>54</v>
      </c>
      <c r="I21" t="s">
        <v>30</v>
      </c>
      <c r="J21" t="s">
        <v>55</v>
      </c>
      <c r="K21" t="s">
        <v>27</v>
      </c>
      <c r="L21" t="s">
        <v>746</v>
      </c>
      <c r="M21" t="s">
        <v>747</v>
      </c>
      <c r="N21" t="s">
        <v>646</v>
      </c>
      <c r="O21" t="s">
        <v>83</v>
      </c>
      <c r="P21" t="s">
        <v>748</v>
      </c>
      <c r="Q21" t="s">
        <v>50</v>
      </c>
      <c r="R21" s="23" t="s">
        <v>749</v>
      </c>
      <c r="S21" s="23">
        <v>46197</v>
      </c>
      <c r="T21">
        <v>2.1</v>
      </c>
      <c r="U21">
        <v>5816</v>
      </c>
      <c r="V21">
        <v>0</v>
      </c>
      <c r="W21">
        <v>5816</v>
      </c>
    </row>
    <row r="22" spans="1:23" hidden="1" x14ac:dyDescent="0.25">
      <c r="A22">
        <v>15741</v>
      </c>
      <c r="B22">
        <v>456993305</v>
      </c>
      <c r="C22" t="s">
        <v>750</v>
      </c>
      <c r="D22" s="8" t="s">
        <v>751</v>
      </c>
      <c r="E22" t="s">
        <v>644</v>
      </c>
      <c r="G22" t="s">
        <v>53</v>
      </c>
      <c r="H22" t="s">
        <v>54</v>
      </c>
      <c r="I22" t="s">
        <v>30</v>
      </c>
      <c r="J22" t="s">
        <v>55</v>
      </c>
      <c r="K22" t="s">
        <v>27</v>
      </c>
      <c r="L22" t="s">
        <v>752</v>
      </c>
      <c r="M22" t="s">
        <v>753</v>
      </c>
      <c r="N22" t="s">
        <v>646</v>
      </c>
      <c r="O22" t="s">
        <v>83</v>
      </c>
      <c r="P22" t="s">
        <v>754</v>
      </c>
      <c r="Q22" t="s">
        <v>68</v>
      </c>
      <c r="R22" s="23" t="s">
        <v>432</v>
      </c>
      <c r="S22" s="23">
        <v>46196</v>
      </c>
      <c r="T22">
        <v>13</v>
      </c>
      <c r="U22">
        <v>8993</v>
      </c>
      <c r="V22">
        <v>0</v>
      </c>
      <c r="W22">
        <v>8993</v>
      </c>
    </row>
    <row r="23" spans="1:23" hidden="1" x14ac:dyDescent="0.25">
      <c r="A23">
        <v>15741</v>
      </c>
      <c r="B23">
        <v>456993180</v>
      </c>
      <c r="C23" t="s">
        <v>755</v>
      </c>
      <c r="D23" s="8" t="s">
        <v>756</v>
      </c>
      <c r="E23" t="s">
        <v>644</v>
      </c>
      <c r="G23" t="s">
        <v>53</v>
      </c>
      <c r="H23" t="s">
        <v>54</v>
      </c>
      <c r="I23" t="s">
        <v>30</v>
      </c>
      <c r="J23" t="s">
        <v>55</v>
      </c>
      <c r="K23" t="s">
        <v>27</v>
      </c>
      <c r="L23" t="s">
        <v>757</v>
      </c>
      <c r="M23" t="s">
        <v>758</v>
      </c>
      <c r="N23" t="s">
        <v>646</v>
      </c>
      <c r="O23" t="s">
        <v>83</v>
      </c>
      <c r="P23" t="s">
        <v>759</v>
      </c>
      <c r="Q23" t="s">
        <v>44</v>
      </c>
      <c r="R23" s="23" t="s">
        <v>760</v>
      </c>
      <c r="S23" s="23">
        <v>46196</v>
      </c>
      <c r="T23">
        <v>2</v>
      </c>
      <c r="U23">
        <v>5504</v>
      </c>
      <c r="V23">
        <v>0</v>
      </c>
      <c r="W23">
        <v>5504</v>
      </c>
    </row>
    <row r="24" spans="1:23" hidden="1" x14ac:dyDescent="0.25">
      <c r="A24">
        <v>15741</v>
      </c>
      <c r="B24">
        <v>457005196</v>
      </c>
      <c r="C24" t="s">
        <v>761</v>
      </c>
      <c r="D24" s="8" t="s">
        <v>762</v>
      </c>
      <c r="E24" t="s">
        <v>644</v>
      </c>
      <c r="G24" t="s">
        <v>53</v>
      </c>
      <c r="H24" t="s">
        <v>54</v>
      </c>
      <c r="I24" t="s">
        <v>30</v>
      </c>
      <c r="J24" t="s">
        <v>55</v>
      </c>
      <c r="K24" t="s">
        <v>27</v>
      </c>
      <c r="L24" t="s">
        <v>763</v>
      </c>
      <c r="M24" t="s">
        <v>764</v>
      </c>
      <c r="N24" t="s">
        <v>646</v>
      </c>
      <c r="O24" t="s">
        <v>83</v>
      </c>
      <c r="P24" t="s">
        <v>765</v>
      </c>
      <c r="Q24" t="s">
        <v>83</v>
      </c>
      <c r="R24" s="23" t="s">
        <v>711</v>
      </c>
      <c r="S24" s="23">
        <v>46196</v>
      </c>
      <c r="T24">
        <v>2.1</v>
      </c>
      <c r="U24">
        <v>5816</v>
      </c>
      <c r="V24">
        <v>0</v>
      </c>
      <c r="W24">
        <v>5816</v>
      </c>
    </row>
    <row r="25" spans="1:23" hidden="1" x14ac:dyDescent="0.25">
      <c r="A25">
        <v>15741</v>
      </c>
      <c r="B25">
        <v>457025417</v>
      </c>
      <c r="C25" t="s">
        <v>766</v>
      </c>
      <c r="D25" s="8" t="s">
        <v>767</v>
      </c>
      <c r="E25" t="s">
        <v>644</v>
      </c>
      <c r="G25" t="s">
        <v>53</v>
      </c>
      <c r="H25" t="s">
        <v>54</v>
      </c>
      <c r="I25" t="s">
        <v>30</v>
      </c>
      <c r="J25" t="s">
        <v>55</v>
      </c>
      <c r="K25" t="s">
        <v>27</v>
      </c>
      <c r="L25" t="s">
        <v>768</v>
      </c>
      <c r="M25" t="s">
        <v>769</v>
      </c>
      <c r="N25" t="s">
        <v>646</v>
      </c>
      <c r="O25" t="s">
        <v>83</v>
      </c>
      <c r="P25" t="s">
        <v>770</v>
      </c>
      <c r="Q25" t="s">
        <v>44</v>
      </c>
      <c r="R25" s="23" t="s">
        <v>771</v>
      </c>
      <c r="S25" s="23">
        <v>46197</v>
      </c>
      <c r="T25">
        <v>13.3</v>
      </c>
      <c r="U25">
        <v>9304</v>
      </c>
      <c r="V25">
        <v>0</v>
      </c>
      <c r="W25">
        <v>9304</v>
      </c>
    </row>
    <row r="26" spans="1:23" hidden="1" x14ac:dyDescent="0.25">
      <c r="A26">
        <v>15741</v>
      </c>
      <c r="B26">
        <v>456254900</v>
      </c>
      <c r="C26" t="s">
        <v>772</v>
      </c>
      <c r="D26" s="8" t="s">
        <v>773</v>
      </c>
      <c r="E26" t="s">
        <v>644</v>
      </c>
      <c r="G26" t="s">
        <v>53</v>
      </c>
      <c r="H26" t="s">
        <v>54</v>
      </c>
      <c r="I26" t="s">
        <v>30</v>
      </c>
      <c r="J26" t="s">
        <v>55</v>
      </c>
      <c r="K26" t="s">
        <v>27</v>
      </c>
      <c r="L26" t="s">
        <v>774</v>
      </c>
      <c r="M26" t="s">
        <v>775</v>
      </c>
      <c r="N26" t="s">
        <v>646</v>
      </c>
      <c r="O26" t="s">
        <v>83</v>
      </c>
      <c r="P26" t="s">
        <v>776</v>
      </c>
      <c r="Q26" t="s">
        <v>175</v>
      </c>
      <c r="R26" s="23" t="s">
        <v>777</v>
      </c>
      <c r="S26" s="23">
        <v>46177</v>
      </c>
      <c r="T26">
        <v>222.4</v>
      </c>
      <c r="U26">
        <v>73607</v>
      </c>
      <c r="V26">
        <v>11399.94</v>
      </c>
      <c r="W26">
        <v>85006.94</v>
      </c>
    </row>
    <row r="27" spans="1:23" hidden="1" x14ac:dyDescent="0.25">
      <c r="A27">
        <v>15741</v>
      </c>
      <c r="B27">
        <v>456993102</v>
      </c>
      <c r="C27" t="s">
        <v>778</v>
      </c>
      <c r="D27" s="8" t="s">
        <v>779</v>
      </c>
      <c r="E27" t="s">
        <v>644</v>
      </c>
      <c r="G27" t="s">
        <v>53</v>
      </c>
      <c r="H27" t="s">
        <v>54</v>
      </c>
      <c r="I27" t="s">
        <v>30</v>
      </c>
      <c r="J27" t="s">
        <v>55</v>
      </c>
      <c r="K27" t="s">
        <v>27</v>
      </c>
      <c r="L27" t="s">
        <v>780</v>
      </c>
      <c r="M27" t="s">
        <v>781</v>
      </c>
      <c r="N27" t="s">
        <v>646</v>
      </c>
      <c r="O27" t="s">
        <v>83</v>
      </c>
      <c r="P27" t="s">
        <v>782</v>
      </c>
      <c r="Q27" t="s">
        <v>44</v>
      </c>
      <c r="R27" s="23" t="s">
        <v>236</v>
      </c>
      <c r="S27" s="23">
        <v>46196</v>
      </c>
      <c r="T27">
        <v>2</v>
      </c>
      <c r="U27">
        <v>5504</v>
      </c>
      <c r="V27">
        <v>0</v>
      </c>
      <c r="W27">
        <v>5504</v>
      </c>
    </row>
    <row r="28" spans="1:23" hidden="1" x14ac:dyDescent="0.25">
      <c r="A28">
        <v>15741</v>
      </c>
      <c r="B28">
        <v>457025587</v>
      </c>
      <c r="C28" t="s">
        <v>783</v>
      </c>
      <c r="D28" s="8" t="s">
        <v>784</v>
      </c>
      <c r="E28" t="s">
        <v>644</v>
      </c>
      <c r="G28" t="s">
        <v>53</v>
      </c>
      <c r="H28" t="s">
        <v>54</v>
      </c>
      <c r="I28" t="s">
        <v>30</v>
      </c>
      <c r="J28" t="s">
        <v>55</v>
      </c>
      <c r="K28" t="s">
        <v>27</v>
      </c>
      <c r="L28" t="s">
        <v>785</v>
      </c>
      <c r="M28" t="s">
        <v>786</v>
      </c>
      <c r="N28" t="s">
        <v>646</v>
      </c>
      <c r="O28" t="s">
        <v>83</v>
      </c>
      <c r="P28" t="s">
        <v>787</v>
      </c>
      <c r="Q28" t="s">
        <v>47</v>
      </c>
      <c r="R28" s="23" t="s">
        <v>788</v>
      </c>
      <c r="S28" s="23">
        <v>46197</v>
      </c>
      <c r="T28">
        <v>32.4</v>
      </c>
      <c r="U28">
        <v>13488</v>
      </c>
      <c r="V28">
        <v>0</v>
      </c>
      <c r="W28">
        <v>13488</v>
      </c>
    </row>
    <row r="29" spans="1:23" hidden="1" x14ac:dyDescent="0.25">
      <c r="A29">
        <v>15741</v>
      </c>
      <c r="B29">
        <v>456993151</v>
      </c>
      <c r="C29" t="s">
        <v>789</v>
      </c>
      <c r="D29" s="8" t="s">
        <v>790</v>
      </c>
      <c r="E29" t="s">
        <v>644</v>
      </c>
      <c r="G29" t="s">
        <v>53</v>
      </c>
      <c r="H29" t="s">
        <v>54</v>
      </c>
      <c r="I29" t="s">
        <v>30</v>
      </c>
      <c r="J29" t="s">
        <v>55</v>
      </c>
      <c r="K29" t="s">
        <v>27</v>
      </c>
      <c r="L29" t="s">
        <v>791</v>
      </c>
      <c r="M29" t="s">
        <v>792</v>
      </c>
      <c r="N29" t="s">
        <v>646</v>
      </c>
      <c r="O29" t="s">
        <v>83</v>
      </c>
      <c r="P29" t="s">
        <v>793</v>
      </c>
      <c r="Q29" t="s">
        <v>86</v>
      </c>
      <c r="R29" s="23" t="s">
        <v>139</v>
      </c>
      <c r="S29" s="23">
        <v>46196</v>
      </c>
      <c r="T29">
        <v>2.1</v>
      </c>
      <c r="U29">
        <v>5816</v>
      </c>
      <c r="V29">
        <v>0</v>
      </c>
      <c r="W29">
        <v>5816</v>
      </c>
    </row>
    <row r="30" spans="1:23" hidden="1" x14ac:dyDescent="0.25">
      <c r="A30">
        <v>15741</v>
      </c>
      <c r="B30">
        <v>457005436</v>
      </c>
      <c r="C30" t="s">
        <v>794</v>
      </c>
      <c r="D30" s="8" t="s">
        <v>795</v>
      </c>
      <c r="E30" t="s">
        <v>644</v>
      </c>
      <c r="G30" t="s">
        <v>53</v>
      </c>
      <c r="H30" t="s">
        <v>54</v>
      </c>
      <c r="I30" t="s">
        <v>30</v>
      </c>
      <c r="J30" t="s">
        <v>55</v>
      </c>
      <c r="K30" t="s">
        <v>27</v>
      </c>
      <c r="L30" t="s">
        <v>796</v>
      </c>
      <c r="M30" t="s">
        <v>797</v>
      </c>
      <c r="N30" t="s">
        <v>646</v>
      </c>
      <c r="O30" t="s">
        <v>83</v>
      </c>
      <c r="P30" t="s">
        <v>798</v>
      </c>
      <c r="Q30" t="s">
        <v>50</v>
      </c>
      <c r="R30" s="23" t="s">
        <v>717</v>
      </c>
      <c r="S30" s="23">
        <v>46196</v>
      </c>
      <c r="T30">
        <v>2.1</v>
      </c>
      <c r="U30">
        <v>5816</v>
      </c>
      <c r="V30">
        <v>0</v>
      </c>
      <c r="W30">
        <v>5816</v>
      </c>
    </row>
    <row r="31" spans="1:23" hidden="1" x14ac:dyDescent="0.25">
      <c r="A31">
        <v>15741</v>
      </c>
      <c r="B31">
        <v>457025372</v>
      </c>
      <c r="C31" t="s">
        <v>799</v>
      </c>
      <c r="D31" s="8" t="s">
        <v>800</v>
      </c>
      <c r="E31" t="s">
        <v>644</v>
      </c>
      <c r="G31" t="s">
        <v>53</v>
      </c>
      <c r="H31" t="s">
        <v>54</v>
      </c>
      <c r="I31" t="s">
        <v>30</v>
      </c>
      <c r="J31" t="s">
        <v>55</v>
      </c>
      <c r="K31" t="s">
        <v>27</v>
      </c>
      <c r="L31" t="s">
        <v>801</v>
      </c>
      <c r="M31" t="s">
        <v>802</v>
      </c>
      <c r="N31" t="s">
        <v>646</v>
      </c>
      <c r="O31" t="s">
        <v>83</v>
      </c>
      <c r="P31" t="s">
        <v>803</v>
      </c>
      <c r="Q31" t="s">
        <v>104</v>
      </c>
      <c r="R31" s="23" t="s">
        <v>160</v>
      </c>
      <c r="S31" s="23">
        <v>46197</v>
      </c>
      <c r="T31">
        <v>1.8</v>
      </c>
      <c r="U31">
        <v>6193</v>
      </c>
      <c r="V31">
        <v>0</v>
      </c>
      <c r="W31">
        <v>6193</v>
      </c>
    </row>
    <row r="32" spans="1:23" hidden="1" x14ac:dyDescent="0.25">
      <c r="A32">
        <v>15741</v>
      </c>
      <c r="B32">
        <v>457005259</v>
      </c>
      <c r="C32" t="s">
        <v>804</v>
      </c>
      <c r="D32" s="8" t="s">
        <v>805</v>
      </c>
      <c r="E32" t="s">
        <v>644</v>
      </c>
      <c r="G32" t="s">
        <v>53</v>
      </c>
      <c r="H32" t="s">
        <v>54</v>
      </c>
      <c r="I32" t="s">
        <v>30</v>
      </c>
      <c r="J32" t="s">
        <v>55</v>
      </c>
      <c r="K32" t="s">
        <v>27</v>
      </c>
      <c r="L32" t="s">
        <v>806</v>
      </c>
      <c r="M32" t="s">
        <v>807</v>
      </c>
      <c r="N32" t="s">
        <v>646</v>
      </c>
      <c r="O32" t="s">
        <v>83</v>
      </c>
      <c r="P32" t="s">
        <v>808</v>
      </c>
      <c r="Q32" t="s">
        <v>43</v>
      </c>
      <c r="R32" s="23" t="s">
        <v>809</v>
      </c>
      <c r="S32" s="23">
        <v>46196</v>
      </c>
      <c r="T32">
        <v>4.74</v>
      </c>
      <c r="U32">
        <v>6450</v>
      </c>
      <c r="V32">
        <v>0</v>
      </c>
      <c r="W32">
        <v>6450</v>
      </c>
    </row>
    <row r="33" spans="1:23" hidden="1" x14ac:dyDescent="0.25">
      <c r="A33">
        <v>15741</v>
      </c>
      <c r="B33">
        <v>457025315</v>
      </c>
      <c r="C33" t="s">
        <v>810</v>
      </c>
      <c r="D33" s="8" t="s">
        <v>811</v>
      </c>
      <c r="E33" t="s">
        <v>644</v>
      </c>
      <c r="G33" t="s">
        <v>53</v>
      </c>
      <c r="H33" t="s">
        <v>54</v>
      </c>
      <c r="I33" t="s">
        <v>30</v>
      </c>
      <c r="J33" t="s">
        <v>55</v>
      </c>
      <c r="K33" t="s">
        <v>27</v>
      </c>
      <c r="L33" t="s">
        <v>812</v>
      </c>
      <c r="M33" t="s">
        <v>813</v>
      </c>
      <c r="N33" t="s">
        <v>646</v>
      </c>
      <c r="O33" t="s">
        <v>83</v>
      </c>
      <c r="P33" t="s">
        <v>814</v>
      </c>
      <c r="Q33" t="s">
        <v>50</v>
      </c>
      <c r="R33" s="23" t="s">
        <v>537</v>
      </c>
      <c r="S33" s="23">
        <v>46197</v>
      </c>
      <c r="T33">
        <v>2.1</v>
      </c>
      <c r="U33">
        <v>5816</v>
      </c>
      <c r="V33">
        <v>0</v>
      </c>
      <c r="W33">
        <v>5816</v>
      </c>
    </row>
    <row r="34" spans="1:23" hidden="1" x14ac:dyDescent="0.25">
      <c r="A34">
        <v>15741</v>
      </c>
      <c r="B34">
        <v>456993333</v>
      </c>
      <c r="C34" t="s">
        <v>815</v>
      </c>
      <c r="D34" s="8" t="s">
        <v>816</v>
      </c>
      <c r="E34" t="s">
        <v>644</v>
      </c>
      <c r="G34" t="s">
        <v>53</v>
      </c>
      <c r="H34" t="s">
        <v>54</v>
      </c>
      <c r="I34" t="s">
        <v>30</v>
      </c>
      <c r="J34" t="s">
        <v>55</v>
      </c>
      <c r="K34" t="s">
        <v>27</v>
      </c>
      <c r="L34" t="s">
        <v>817</v>
      </c>
      <c r="M34" t="s">
        <v>818</v>
      </c>
      <c r="N34" t="s">
        <v>646</v>
      </c>
      <c r="O34" t="s">
        <v>83</v>
      </c>
      <c r="P34" t="s">
        <v>819</v>
      </c>
      <c r="Q34" t="s">
        <v>144</v>
      </c>
      <c r="R34" s="23" t="s">
        <v>820</v>
      </c>
      <c r="S34" s="23">
        <v>46196</v>
      </c>
      <c r="T34">
        <v>13</v>
      </c>
      <c r="U34">
        <v>8993</v>
      </c>
      <c r="V34">
        <v>0</v>
      </c>
      <c r="W34">
        <v>8993</v>
      </c>
    </row>
    <row r="35" spans="1:23" hidden="1" x14ac:dyDescent="0.25">
      <c r="A35">
        <v>15741</v>
      </c>
      <c r="B35">
        <v>457005218</v>
      </c>
      <c r="C35" t="s">
        <v>821</v>
      </c>
      <c r="D35" s="8" t="s">
        <v>822</v>
      </c>
      <c r="E35" t="s">
        <v>644</v>
      </c>
      <c r="G35" t="s">
        <v>53</v>
      </c>
      <c r="H35" t="s">
        <v>54</v>
      </c>
      <c r="I35" t="s">
        <v>30</v>
      </c>
      <c r="J35" t="s">
        <v>55</v>
      </c>
      <c r="K35" t="s">
        <v>27</v>
      </c>
      <c r="L35" t="s">
        <v>823</v>
      </c>
      <c r="M35" t="s">
        <v>824</v>
      </c>
      <c r="N35" t="s">
        <v>646</v>
      </c>
      <c r="O35" t="s">
        <v>83</v>
      </c>
      <c r="P35" t="s">
        <v>825</v>
      </c>
      <c r="Q35" t="s">
        <v>187</v>
      </c>
      <c r="R35" s="23" t="s">
        <v>690</v>
      </c>
      <c r="S35" s="23">
        <v>46196</v>
      </c>
      <c r="T35">
        <v>2.2000000000000002</v>
      </c>
      <c r="U35">
        <v>5816</v>
      </c>
      <c r="V35">
        <v>0</v>
      </c>
      <c r="W35">
        <v>5816</v>
      </c>
    </row>
    <row r="36" spans="1:23" hidden="1" x14ac:dyDescent="0.25">
      <c r="A36">
        <v>15741</v>
      </c>
      <c r="B36">
        <v>456988182</v>
      </c>
      <c r="C36" t="s">
        <v>826</v>
      </c>
      <c r="D36" s="8" t="s">
        <v>827</v>
      </c>
      <c r="E36" t="s">
        <v>644</v>
      </c>
      <c r="G36" t="s">
        <v>53</v>
      </c>
      <c r="H36" t="s">
        <v>54</v>
      </c>
      <c r="I36" t="s">
        <v>30</v>
      </c>
      <c r="J36" t="s">
        <v>55</v>
      </c>
      <c r="K36" t="s">
        <v>27</v>
      </c>
      <c r="L36" t="s">
        <v>828</v>
      </c>
      <c r="M36" t="s">
        <v>829</v>
      </c>
      <c r="N36" t="s">
        <v>646</v>
      </c>
      <c r="O36" t="s">
        <v>83</v>
      </c>
      <c r="P36" t="s">
        <v>830</v>
      </c>
      <c r="Q36" t="s">
        <v>109</v>
      </c>
      <c r="R36" s="23" t="s">
        <v>346</v>
      </c>
      <c r="S36" s="23">
        <v>46196</v>
      </c>
      <c r="T36">
        <v>101.25</v>
      </c>
      <c r="U36">
        <v>41743</v>
      </c>
      <c r="V36">
        <v>0</v>
      </c>
      <c r="W36">
        <v>41743</v>
      </c>
    </row>
    <row r="37" spans="1:23" x14ac:dyDescent="0.25">
      <c r="A37">
        <v>15741</v>
      </c>
      <c r="B37">
        <v>456572353</v>
      </c>
      <c r="C37" t="s">
        <v>831</v>
      </c>
      <c r="D37" s="8" t="s">
        <v>832</v>
      </c>
      <c r="E37" t="s">
        <v>644</v>
      </c>
      <c r="G37" t="s">
        <v>53</v>
      </c>
      <c r="H37" t="s">
        <v>54</v>
      </c>
      <c r="I37" t="s">
        <v>30</v>
      </c>
      <c r="J37" t="s">
        <v>55</v>
      </c>
      <c r="K37" t="s">
        <v>27</v>
      </c>
      <c r="L37" t="s">
        <v>833</v>
      </c>
      <c r="M37" t="s">
        <v>834</v>
      </c>
      <c r="N37" t="s">
        <v>646</v>
      </c>
      <c r="O37" t="s">
        <v>83</v>
      </c>
      <c r="P37" t="s">
        <v>835</v>
      </c>
      <c r="Q37" t="s">
        <v>109</v>
      </c>
      <c r="R37" s="23" t="s">
        <v>452</v>
      </c>
      <c r="S37" s="23">
        <v>46183</v>
      </c>
      <c r="T37">
        <v>16.2</v>
      </c>
      <c r="U37">
        <v>13871</v>
      </c>
      <c r="V37">
        <v>0</v>
      </c>
      <c r="W37">
        <v>13871</v>
      </c>
    </row>
    <row r="38" spans="1:23" hidden="1" x14ac:dyDescent="0.25">
      <c r="A38">
        <v>15741</v>
      </c>
      <c r="B38">
        <v>456878872</v>
      </c>
      <c r="C38" t="s">
        <v>836</v>
      </c>
      <c r="D38" s="8" t="s">
        <v>837</v>
      </c>
      <c r="E38" t="s">
        <v>644</v>
      </c>
      <c r="G38" t="s">
        <v>53</v>
      </c>
      <c r="H38" t="s">
        <v>54</v>
      </c>
      <c r="I38" t="s">
        <v>30</v>
      </c>
      <c r="J38" t="s">
        <v>55</v>
      </c>
      <c r="K38" t="s">
        <v>219</v>
      </c>
      <c r="L38" t="s">
        <v>199</v>
      </c>
      <c r="M38" t="s">
        <v>838</v>
      </c>
      <c r="N38" t="s">
        <v>646</v>
      </c>
      <c r="O38" t="s">
        <v>83</v>
      </c>
      <c r="P38" t="s">
        <v>839</v>
      </c>
      <c r="Q38" t="s">
        <v>104</v>
      </c>
      <c r="R38" s="23" t="s">
        <v>374</v>
      </c>
      <c r="S38" s="23">
        <v>46192</v>
      </c>
      <c r="T38">
        <v>52.3</v>
      </c>
      <c r="U38">
        <v>22545</v>
      </c>
      <c r="V38">
        <v>0</v>
      </c>
      <c r="W38">
        <v>22545</v>
      </c>
    </row>
    <row r="39" spans="1:23" hidden="1" x14ac:dyDescent="0.25">
      <c r="A39">
        <v>15741</v>
      </c>
      <c r="B39">
        <v>456762163</v>
      </c>
      <c r="C39" t="s">
        <v>840</v>
      </c>
      <c r="D39" s="8" t="s">
        <v>841</v>
      </c>
      <c r="E39" t="s">
        <v>644</v>
      </c>
      <c r="G39" t="s">
        <v>53</v>
      </c>
      <c r="H39" t="s">
        <v>54</v>
      </c>
      <c r="I39" t="s">
        <v>30</v>
      </c>
      <c r="J39" t="s">
        <v>55</v>
      </c>
      <c r="K39" t="s">
        <v>198</v>
      </c>
      <c r="L39" t="s">
        <v>199</v>
      </c>
      <c r="M39" t="s">
        <v>842</v>
      </c>
      <c r="N39" t="s">
        <v>646</v>
      </c>
      <c r="O39" t="s">
        <v>83</v>
      </c>
      <c r="P39" t="s">
        <v>843</v>
      </c>
      <c r="Q39" t="s">
        <v>103</v>
      </c>
      <c r="R39" s="23" t="s">
        <v>463</v>
      </c>
      <c r="S39" s="23">
        <v>46189</v>
      </c>
      <c r="T39">
        <v>198.5</v>
      </c>
      <c r="U39">
        <v>79805</v>
      </c>
      <c r="V39">
        <v>31799.94</v>
      </c>
      <c r="W39">
        <v>111604.94</v>
      </c>
    </row>
    <row r="40" spans="1:23" hidden="1" x14ac:dyDescent="0.25">
      <c r="A40">
        <v>15741</v>
      </c>
      <c r="B40">
        <v>456843128</v>
      </c>
      <c r="C40" t="s">
        <v>844</v>
      </c>
      <c r="D40" s="8" t="s">
        <v>845</v>
      </c>
      <c r="E40" t="s">
        <v>644</v>
      </c>
      <c r="G40" t="s">
        <v>53</v>
      </c>
      <c r="H40" t="s">
        <v>54</v>
      </c>
      <c r="I40" t="s">
        <v>30</v>
      </c>
      <c r="J40" t="s">
        <v>55</v>
      </c>
      <c r="K40" t="s">
        <v>27</v>
      </c>
      <c r="L40" t="s">
        <v>846</v>
      </c>
      <c r="M40" t="s">
        <v>847</v>
      </c>
      <c r="N40" t="s">
        <v>646</v>
      </c>
      <c r="O40" t="s">
        <v>83</v>
      </c>
      <c r="P40" t="s">
        <v>848</v>
      </c>
      <c r="Q40" t="s">
        <v>44</v>
      </c>
      <c r="R40" s="23" t="s">
        <v>849</v>
      </c>
      <c r="S40" s="23">
        <v>46191</v>
      </c>
      <c r="T40">
        <v>2</v>
      </c>
      <c r="U40">
        <v>5504</v>
      </c>
      <c r="V40">
        <v>0</v>
      </c>
      <c r="W40">
        <v>5504</v>
      </c>
    </row>
    <row r="41" spans="1:23" hidden="1" x14ac:dyDescent="0.25">
      <c r="A41">
        <v>15741</v>
      </c>
      <c r="B41">
        <v>456843398</v>
      </c>
      <c r="C41" t="s">
        <v>850</v>
      </c>
      <c r="D41" s="8" t="s">
        <v>851</v>
      </c>
      <c r="E41" t="s">
        <v>644</v>
      </c>
      <c r="G41" t="s">
        <v>53</v>
      </c>
      <c r="H41" t="s">
        <v>54</v>
      </c>
      <c r="I41" t="s">
        <v>30</v>
      </c>
      <c r="J41" t="s">
        <v>55</v>
      </c>
      <c r="K41" t="s">
        <v>27</v>
      </c>
      <c r="L41" t="s">
        <v>852</v>
      </c>
      <c r="M41" t="s">
        <v>853</v>
      </c>
      <c r="N41" t="s">
        <v>646</v>
      </c>
      <c r="O41" t="s">
        <v>83</v>
      </c>
      <c r="P41" t="s">
        <v>854</v>
      </c>
      <c r="Q41" t="s">
        <v>50</v>
      </c>
      <c r="R41" s="23" t="s">
        <v>855</v>
      </c>
      <c r="S41" s="23">
        <v>46191</v>
      </c>
      <c r="T41">
        <v>2</v>
      </c>
      <c r="U41">
        <v>5504</v>
      </c>
      <c r="V41">
        <v>0</v>
      </c>
      <c r="W41">
        <v>5504</v>
      </c>
    </row>
    <row r="42" spans="1:23" hidden="1" x14ac:dyDescent="0.25">
      <c r="A42">
        <v>15741</v>
      </c>
      <c r="B42">
        <v>456843372</v>
      </c>
      <c r="C42" t="s">
        <v>856</v>
      </c>
      <c r="D42" s="8" t="s">
        <v>857</v>
      </c>
      <c r="E42" t="s">
        <v>644</v>
      </c>
      <c r="G42" t="s">
        <v>53</v>
      </c>
      <c r="H42" t="s">
        <v>54</v>
      </c>
      <c r="I42" t="s">
        <v>30</v>
      </c>
      <c r="J42" t="s">
        <v>55</v>
      </c>
      <c r="K42" t="s">
        <v>27</v>
      </c>
      <c r="L42" t="s">
        <v>852</v>
      </c>
      <c r="M42" t="s">
        <v>853</v>
      </c>
      <c r="N42" t="s">
        <v>646</v>
      </c>
      <c r="O42" t="s">
        <v>83</v>
      </c>
      <c r="P42" t="s">
        <v>854</v>
      </c>
      <c r="Q42" t="s">
        <v>50</v>
      </c>
      <c r="R42" s="23" t="s">
        <v>858</v>
      </c>
      <c r="S42" s="23">
        <v>46191</v>
      </c>
      <c r="T42">
        <v>2</v>
      </c>
      <c r="U42">
        <v>5504</v>
      </c>
      <c r="V42">
        <v>0</v>
      </c>
      <c r="W42">
        <v>5504</v>
      </c>
    </row>
    <row r="43" spans="1:23" x14ac:dyDescent="0.25">
      <c r="A43">
        <v>15741</v>
      </c>
      <c r="B43">
        <v>456571492</v>
      </c>
      <c r="C43" t="s">
        <v>859</v>
      </c>
      <c r="D43" s="8" t="s">
        <v>860</v>
      </c>
      <c r="E43" t="s">
        <v>644</v>
      </c>
      <c r="G43" t="s">
        <v>53</v>
      </c>
      <c r="H43" t="s">
        <v>54</v>
      </c>
      <c r="I43" t="s">
        <v>30</v>
      </c>
      <c r="J43" t="s">
        <v>55</v>
      </c>
      <c r="K43" t="s">
        <v>27</v>
      </c>
      <c r="L43" t="s">
        <v>861</v>
      </c>
      <c r="M43" t="s">
        <v>862</v>
      </c>
      <c r="N43" t="s">
        <v>646</v>
      </c>
      <c r="O43" t="s">
        <v>83</v>
      </c>
      <c r="P43" t="s">
        <v>863</v>
      </c>
      <c r="Q43" t="s">
        <v>152</v>
      </c>
      <c r="R43" s="23" t="s">
        <v>474</v>
      </c>
      <c r="S43" s="23">
        <v>46183</v>
      </c>
      <c r="T43">
        <v>46.7</v>
      </c>
      <c r="U43">
        <v>56468</v>
      </c>
      <c r="V43">
        <v>0</v>
      </c>
      <c r="W43">
        <v>56468</v>
      </c>
    </row>
    <row r="44" spans="1:23" hidden="1" x14ac:dyDescent="0.25">
      <c r="A44">
        <v>15741</v>
      </c>
      <c r="B44">
        <v>456814524</v>
      </c>
      <c r="C44" t="s">
        <v>864</v>
      </c>
      <c r="D44" s="8" t="s">
        <v>865</v>
      </c>
      <c r="E44" t="s">
        <v>644</v>
      </c>
      <c r="G44" t="s">
        <v>53</v>
      </c>
      <c r="H44" t="s">
        <v>54</v>
      </c>
      <c r="I44" t="s">
        <v>30</v>
      </c>
      <c r="J44" t="s">
        <v>55</v>
      </c>
      <c r="K44" t="s">
        <v>27</v>
      </c>
      <c r="L44" t="s">
        <v>866</v>
      </c>
      <c r="M44" t="s">
        <v>867</v>
      </c>
      <c r="N44" t="s">
        <v>646</v>
      </c>
      <c r="O44" t="s">
        <v>83</v>
      </c>
      <c r="P44" t="s">
        <v>868</v>
      </c>
      <c r="Q44" t="s">
        <v>46</v>
      </c>
      <c r="R44" s="23" t="s">
        <v>379</v>
      </c>
      <c r="S44" s="23">
        <v>46190</v>
      </c>
      <c r="T44">
        <v>16.52</v>
      </c>
      <c r="U44">
        <v>10263</v>
      </c>
      <c r="V44">
        <v>0</v>
      </c>
      <c r="W44">
        <v>10263</v>
      </c>
    </row>
    <row r="45" spans="1:23" hidden="1" x14ac:dyDescent="0.25">
      <c r="A45">
        <v>15741</v>
      </c>
      <c r="B45">
        <v>456814954</v>
      </c>
      <c r="C45" t="s">
        <v>869</v>
      </c>
      <c r="D45" s="8" t="s">
        <v>870</v>
      </c>
      <c r="E45" t="s">
        <v>644</v>
      </c>
      <c r="G45" t="s">
        <v>53</v>
      </c>
      <c r="H45" t="s">
        <v>54</v>
      </c>
      <c r="I45" t="s">
        <v>30</v>
      </c>
      <c r="J45" t="s">
        <v>55</v>
      </c>
      <c r="K45" t="s">
        <v>27</v>
      </c>
      <c r="L45" t="s">
        <v>871</v>
      </c>
      <c r="M45" t="s">
        <v>872</v>
      </c>
      <c r="N45" t="s">
        <v>646</v>
      </c>
      <c r="O45" t="s">
        <v>83</v>
      </c>
      <c r="P45" t="s">
        <v>873</v>
      </c>
      <c r="Q45" t="s">
        <v>46</v>
      </c>
      <c r="R45" s="23" t="s">
        <v>874</v>
      </c>
      <c r="S45" s="23">
        <v>46190</v>
      </c>
      <c r="T45">
        <v>2</v>
      </c>
      <c r="U45">
        <v>5504</v>
      </c>
      <c r="V45">
        <v>0</v>
      </c>
      <c r="W45">
        <v>5504</v>
      </c>
    </row>
    <row r="46" spans="1:23" hidden="1" x14ac:dyDescent="0.25">
      <c r="A46">
        <v>15741</v>
      </c>
      <c r="B46">
        <v>456814599</v>
      </c>
      <c r="C46" t="s">
        <v>875</v>
      </c>
      <c r="D46" s="8" t="s">
        <v>876</v>
      </c>
      <c r="E46" t="s">
        <v>644</v>
      </c>
      <c r="G46" t="s">
        <v>53</v>
      </c>
      <c r="H46" t="s">
        <v>54</v>
      </c>
      <c r="I46" t="s">
        <v>30</v>
      </c>
      <c r="J46" t="s">
        <v>55</v>
      </c>
      <c r="K46" t="s">
        <v>27</v>
      </c>
      <c r="L46" t="s">
        <v>877</v>
      </c>
      <c r="M46" t="s">
        <v>878</v>
      </c>
      <c r="N46" t="s">
        <v>646</v>
      </c>
      <c r="O46" t="s">
        <v>83</v>
      </c>
      <c r="P46" t="s">
        <v>879</v>
      </c>
      <c r="Q46" t="s">
        <v>50</v>
      </c>
      <c r="R46" s="23" t="s">
        <v>880</v>
      </c>
      <c r="S46" s="23">
        <v>46190</v>
      </c>
      <c r="T46">
        <v>2</v>
      </c>
      <c r="U46">
        <v>5504</v>
      </c>
      <c r="V46">
        <v>0</v>
      </c>
      <c r="W46">
        <v>5504</v>
      </c>
    </row>
    <row r="47" spans="1:23" hidden="1" x14ac:dyDescent="0.25">
      <c r="A47">
        <v>15741</v>
      </c>
      <c r="B47">
        <v>456843234</v>
      </c>
      <c r="C47" t="s">
        <v>881</v>
      </c>
      <c r="D47" s="8" t="s">
        <v>882</v>
      </c>
      <c r="E47" t="s">
        <v>644</v>
      </c>
      <c r="G47" t="s">
        <v>53</v>
      </c>
      <c r="H47" t="s">
        <v>54</v>
      </c>
      <c r="I47" t="s">
        <v>30</v>
      </c>
      <c r="J47" t="s">
        <v>55</v>
      </c>
      <c r="K47" t="s">
        <v>27</v>
      </c>
      <c r="L47" t="s">
        <v>883</v>
      </c>
      <c r="M47" t="s">
        <v>884</v>
      </c>
      <c r="N47" t="s">
        <v>646</v>
      </c>
      <c r="O47" t="s">
        <v>83</v>
      </c>
      <c r="P47" t="s">
        <v>885</v>
      </c>
      <c r="Q47" t="s">
        <v>44</v>
      </c>
      <c r="R47" s="23" t="s">
        <v>595</v>
      </c>
      <c r="S47" s="23">
        <v>46191</v>
      </c>
      <c r="T47">
        <v>2</v>
      </c>
      <c r="U47">
        <v>5504</v>
      </c>
      <c r="V47">
        <v>0</v>
      </c>
      <c r="W47">
        <v>5504</v>
      </c>
    </row>
    <row r="48" spans="1:23" hidden="1" x14ac:dyDescent="0.25">
      <c r="A48">
        <v>15741</v>
      </c>
      <c r="B48">
        <v>456848958</v>
      </c>
      <c r="C48" t="s">
        <v>850</v>
      </c>
      <c r="D48" s="8" t="s">
        <v>886</v>
      </c>
      <c r="E48" t="s">
        <v>644</v>
      </c>
      <c r="G48" t="s">
        <v>53</v>
      </c>
      <c r="H48" t="s">
        <v>54</v>
      </c>
      <c r="I48" t="s">
        <v>30</v>
      </c>
      <c r="J48" t="s">
        <v>55</v>
      </c>
      <c r="K48" t="s">
        <v>27</v>
      </c>
      <c r="L48" t="s">
        <v>887</v>
      </c>
      <c r="M48" t="s">
        <v>888</v>
      </c>
      <c r="N48" t="s">
        <v>646</v>
      </c>
      <c r="O48" t="s">
        <v>83</v>
      </c>
      <c r="P48" t="s">
        <v>889</v>
      </c>
      <c r="Q48" t="s">
        <v>47</v>
      </c>
      <c r="R48" s="23" t="s">
        <v>437</v>
      </c>
      <c r="S48" s="23">
        <v>46191</v>
      </c>
      <c r="T48">
        <v>11.1</v>
      </c>
      <c r="U48">
        <v>8670</v>
      </c>
      <c r="V48">
        <v>0</v>
      </c>
      <c r="W48">
        <v>8670</v>
      </c>
    </row>
    <row r="49" spans="1:23" hidden="1" x14ac:dyDescent="0.25">
      <c r="A49">
        <v>15741</v>
      </c>
      <c r="B49">
        <v>456814471</v>
      </c>
      <c r="C49" t="s">
        <v>890</v>
      </c>
      <c r="D49" s="8" t="s">
        <v>891</v>
      </c>
      <c r="E49" t="s">
        <v>644</v>
      </c>
      <c r="G49" t="s">
        <v>53</v>
      </c>
      <c r="H49" t="s">
        <v>54</v>
      </c>
      <c r="I49" t="s">
        <v>30</v>
      </c>
      <c r="J49" t="s">
        <v>55</v>
      </c>
      <c r="K49" t="s">
        <v>27</v>
      </c>
      <c r="L49" t="s">
        <v>892</v>
      </c>
      <c r="M49" t="s">
        <v>893</v>
      </c>
      <c r="N49" t="s">
        <v>646</v>
      </c>
      <c r="O49" t="s">
        <v>83</v>
      </c>
      <c r="P49" t="s">
        <v>894</v>
      </c>
      <c r="Q49" t="s">
        <v>48</v>
      </c>
      <c r="R49" s="23" t="s">
        <v>375</v>
      </c>
      <c r="S49" s="23">
        <v>46190</v>
      </c>
      <c r="T49">
        <v>5.35</v>
      </c>
      <c r="U49">
        <v>6775</v>
      </c>
      <c r="V49">
        <v>0</v>
      </c>
      <c r="W49">
        <v>6775</v>
      </c>
    </row>
    <row r="50" spans="1:23" hidden="1" x14ac:dyDescent="0.25">
      <c r="A50">
        <v>15741</v>
      </c>
      <c r="B50">
        <v>456843312</v>
      </c>
      <c r="C50" t="s">
        <v>895</v>
      </c>
      <c r="D50" s="8" t="s">
        <v>896</v>
      </c>
      <c r="E50" t="s">
        <v>644</v>
      </c>
      <c r="G50" t="s">
        <v>53</v>
      </c>
      <c r="H50" t="s">
        <v>54</v>
      </c>
      <c r="I50" t="s">
        <v>30</v>
      </c>
      <c r="J50" t="s">
        <v>55</v>
      </c>
      <c r="K50" t="s">
        <v>27</v>
      </c>
      <c r="L50" t="s">
        <v>897</v>
      </c>
      <c r="M50" t="s">
        <v>898</v>
      </c>
      <c r="N50" t="s">
        <v>646</v>
      </c>
      <c r="O50" t="s">
        <v>83</v>
      </c>
      <c r="P50" t="s">
        <v>899</v>
      </c>
      <c r="Q50" t="s">
        <v>46</v>
      </c>
      <c r="R50" s="23" t="s">
        <v>538</v>
      </c>
      <c r="S50" s="23">
        <v>46191</v>
      </c>
      <c r="T50">
        <v>2</v>
      </c>
      <c r="U50">
        <v>5504</v>
      </c>
      <c r="V50">
        <v>0</v>
      </c>
      <c r="W50">
        <v>5504</v>
      </c>
    </row>
    <row r="51" spans="1:23" hidden="1" x14ac:dyDescent="0.25">
      <c r="A51">
        <v>15741</v>
      </c>
      <c r="B51">
        <v>456807486</v>
      </c>
      <c r="C51" t="s">
        <v>900</v>
      </c>
      <c r="D51" s="8" t="s">
        <v>901</v>
      </c>
      <c r="E51" t="s">
        <v>644</v>
      </c>
      <c r="G51" t="s">
        <v>53</v>
      </c>
      <c r="H51" t="s">
        <v>54</v>
      </c>
      <c r="I51" t="s">
        <v>30</v>
      </c>
      <c r="J51" t="s">
        <v>55</v>
      </c>
      <c r="K51" t="s">
        <v>27</v>
      </c>
      <c r="L51" t="s">
        <v>902</v>
      </c>
      <c r="M51" t="s">
        <v>903</v>
      </c>
      <c r="N51" t="s">
        <v>646</v>
      </c>
      <c r="O51" t="s">
        <v>83</v>
      </c>
      <c r="P51" t="s">
        <v>904</v>
      </c>
      <c r="Q51" t="s">
        <v>109</v>
      </c>
      <c r="R51" s="23" t="s">
        <v>905</v>
      </c>
      <c r="S51" s="23">
        <v>46190</v>
      </c>
      <c r="T51">
        <v>13.7</v>
      </c>
      <c r="U51">
        <v>13197</v>
      </c>
      <c r="V51">
        <v>0</v>
      </c>
      <c r="W51">
        <v>13197</v>
      </c>
    </row>
    <row r="52" spans="1:23" x14ac:dyDescent="0.25">
      <c r="A52">
        <v>15741</v>
      </c>
      <c r="B52">
        <v>456424205</v>
      </c>
      <c r="C52" t="s">
        <v>906</v>
      </c>
      <c r="D52" s="8" t="s">
        <v>907</v>
      </c>
      <c r="E52" t="s">
        <v>644</v>
      </c>
      <c r="G52" t="s">
        <v>53</v>
      </c>
      <c r="H52" t="s">
        <v>54</v>
      </c>
      <c r="I52" t="s">
        <v>30</v>
      </c>
      <c r="J52" t="s">
        <v>55</v>
      </c>
      <c r="K52" t="s">
        <v>27</v>
      </c>
      <c r="L52" t="s">
        <v>908</v>
      </c>
      <c r="M52" t="s">
        <v>909</v>
      </c>
      <c r="N52" t="s">
        <v>646</v>
      </c>
      <c r="O52" t="s">
        <v>83</v>
      </c>
      <c r="P52" t="s">
        <v>910</v>
      </c>
      <c r="Q52" t="s">
        <v>118</v>
      </c>
      <c r="R52" s="23" t="s">
        <v>911</v>
      </c>
      <c r="S52" s="23">
        <v>46181</v>
      </c>
      <c r="T52">
        <v>222.4</v>
      </c>
      <c r="U52">
        <v>106489</v>
      </c>
      <c r="V52">
        <v>14999.94</v>
      </c>
      <c r="W52">
        <v>121488.94</v>
      </c>
    </row>
    <row r="53" spans="1:23" hidden="1" x14ac:dyDescent="0.25">
      <c r="A53">
        <v>15741</v>
      </c>
      <c r="B53">
        <v>456814416</v>
      </c>
      <c r="C53" t="s">
        <v>912</v>
      </c>
      <c r="D53" s="8" t="s">
        <v>913</v>
      </c>
      <c r="E53" t="s">
        <v>644</v>
      </c>
      <c r="G53" t="s">
        <v>53</v>
      </c>
      <c r="H53" t="s">
        <v>54</v>
      </c>
      <c r="I53" t="s">
        <v>30</v>
      </c>
      <c r="J53" t="s">
        <v>55</v>
      </c>
      <c r="K53" t="s">
        <v>27</v>
      </c>
      <c r="L53" t="s">
        <v>914</v>
      </c>
      <c r="M53" t="s">
        <v>915</v>
      </c>
      <c r="N53" t="s">
        <v>646</v>
      </c>
      <c r="O53" t="s">
        <v>83</v>
      </c>
      <c r="P53" t="s">
        <v>916</v>
      </c>
      <c r="Q53" t="s">
        <v>48</v>
      </c>
      <c r="R53" s="23" t="s">
        <v>917</v>
      </c>
      <c r="S53" s="23">
        <v>46190</v>
      </c>
      <c r="T53">
        <v>2</v>
      </c>
      <c r="U53">
        <v>5504</v>
      </c>
      <c r="V53">
        <v>0</v>
      </c>
      <c r="W53">
        <v>5504</v>
      </c>
    </row>
    <row r="54" spans="1:23" hidden="1" x14ac:dyDescent="0.25">
      <c r="A54">
        <v>15741</v>
      </c>
      <c r="B54">
        <v>456814566</v>
      </c>
      <c r="C54" t="s">
        <v>918</v>
      </c>
      <c r="D54" s="8" t="s">
        <v>919</v>
      </c>
      <c r="E54" t="s">
        <v>644</v>
      </c>
      <c r="G54" t="s">
        <v>53</v>
      </c>
      <c r="H54" t="s">
        <v>54</v>
      </c>
      <c r="I54" t="s">
        <v>30</v>
      </c>
      <c r="J54" t="s">
        <v>55</v>
      </c>
      <c r="K54" t="s">
        <v>27</v>
      </c>
      <c r="L54" t="s">
        <v>920</v>
      </c>
      <c r="M54" t="s">
        <v>921</v>
      </c>
      <c r="N54" t="s">
        <v>646</v>
      </c>
      <c r="O54" t="s">
        <v>83</v>
      </c>
      <c r="P54" t="s">
        <v>922</v>
      </c>
      <c r="Q54" t="s">
        <v>44</v>
      </c>
      <c r="R54" s="23" t="s">
        <v>328</v>
      </c>
      <c r="S54" s="23">
        <v>46190</v>
      </c>
      <c r="T54">
        <v>2</v>
      </c>
      <c r="U54">
        <v>5504</v>
      </c>
      <c r="V54">
        <v>0</v>
      </c>
      <c r="W54">
        <v>5504</v>
      </c>
    </row>
    <row r="55" spans="1:23" hidden="1" x14ac:dyDescent="0.25">
      <c r="A55">
        <v>15741</v>
      </c>
      <c r="B55">
        <v>456814850</v>
      </c>
      <c r="C55" t="s">
        <v>923</v>
      </c>
      <c r="D55" s="8" t="s">
        <v>924</v>
      </c>
      <c r="E55" t="s">
        <v>644</v>
      </c>
      <c r="G55" t="s">
        <v>53</v>
      </c>
      <c r="H55" t="s">
        <v>54</v>
      </c>
      <c r="I55" t="s">
        <v>30</v>
      </c>
      <c r="J55" t="s">
        <v>55</v>
      </c>
      <c r="K55" t="s">
        <v>27</v>
      </c>
      <c r="L55" t="s">
        <v>925</v>
      </c>
      <c r="M55" t="s">
        <v>926</v>
      </c>
      <c r="N55" t="s">
        <v>646</v>
      </c>
      <c r="O55" t="s">
        <v>83</v>
      </c>
      <c r="P55" t="s">
        <v>927</v>
      </c>
      <c r="Q55" t="s">
        <v>46</v>
      </c>
      <c r="R55" s="23" t="s">
        <v>928</v>
      </c>
      <c r="S55" s="23">
        <v>46190</v>
      </c>
      <c r="T55">
        <v>2</v>
      </c>
      <c r="U55">
        <v>5504</v>
      </c>
      <c r="V55">
        <v>0</v>
      </c>
      <c r="W55">
        <v>5504</v>
      </c>
    </row>
    <row r="56" spans="1:23" hidden="1" x14ac:dyDescent="0.25">
      <c r="A56">
        <v>15741</v>
      </c>
      <c r="B56">
        <v>456806957</v>
      </c>
      <c r="C56" t="s">
        <v>929</v>
      </c>
      <c r="D56" s="8" t="s">
        <v>930</v>
      </c>
      <c r="E56" t="s">
        <v>644</v>
      </c>
      <c r="G56" t="s">
        <v>53</v>
      </c>
      <c r="H56" t="s">
        <v>54</v>
      </c>
      <c r="I56" t="s">
        <v>30</v>
      </c>
      <c r="J56" t="s">
        <v>55</v>
      </c>
      <c r="K56" t="s">
        <v>27</v>
      </c>
      <c r="L56" t="s">
        <v>931</v>
      </c>
      <c r="M56" t="s">
        <v>932</v>
      </c>
      <c r="N56" t="s">
        <v>646</v>
      </c>
      <c r="O56" t="s">
        <v>83</v>
      </c>
      <c r="P56" t="s">
        <v>933</v>
      </c>
      <c r="Q56" t="s">
        <v>49</v>
      </c>
      <c r="R56" s="23" t="s">
        <v>438</v>
      </c>
      <c r="S56" s="23">
        <v>46190</v>
      </c>
      <c r="T56">
        <v>162.24</v>
      </c>
      <c r="U56">
        <v>54270</v>
      </c>
      <c r="V56">
        <v>14039.88</v>
      </c>
      <c r="W56">
        <v>68309.88</v>
      </c>
    </row>
    <row r="57" spans="1:23" hidden="1" x14ac:dyDescent="0.25">
      <c r="A57">
        <v>15741</v>
      </c>
      <c r="B57">
        <v>456814803</v>
      </c>
      <c r="C57" t="s">
        <v>934</v>
      </c>
      <c r="D57" s="8" t="s">
        <v>935</v>
      </c>
      <c r="E57" t="s">
        <v>644</v>
      </c>
      <c r="G57" t="s">
        <v>53</v>
      </c>
      <c r="H57" t="s">
        <v>54</v>
      </c>
      <c r="I57" t="s">
        <v>30</v>
      </c>
      <c r="J57" t="s">
        <v>55</v>
      </c>
      <c r="K57" t="s">
        <v>27</v>
      </c>
      <c r="L57" t="s">
        <v>936</v>
      </c>
      <c r="M57" t="s">
        <v>937</v>
      </c>
      <c r="N57" t="s">
        <v>646</v>
      </c>
      <c r="O57" t="s">
        <v>83</v>
      </c>
      <c r="P57" t="s">
        <v>938</v>
      </c>
      <c r="Q57" t="s">
        <v>70</v>
      </c>
      <c r="R57" s="23" t="s">
        <v>939</v>
      </c>
      <c r="S57" s="23">
        <v>46190</v>
      </c>
      <c r="T57">
        <v>2.1</v>
      </c>
      <c r="U57">
        <v>5816</v>
      </c>
      <c r="V57">
        <v>0</v>
      </c>
      <c r="W57">
        <v>5816</v>
      </c>
    </row>
    <row r="58" spans="1:23" hidden="1" x14ac:dyDescent="0.25">
      <c r="A58">
        <v>15741</v>
      </c>
      <c r="B58">
        <v>456814640</v>
      </c>
      <c r="C58" t="s">
        <v>940</v>
      </c>
      <c r="D58" s="8" t="s">
        <v>941</v>
      </c>
      <c r="E58" t="s">
        <v>644</v>
      </c>
      <c r="G58" t="s">
        <v>53</v>
      </c>
      <c r="H58" t="s">
        <v>54</v>
      </c>
      <c r="I58" t="s">
        <v>30</v>
      </c>
      <c r="J58" t="s">
        <v>55</v>
      </c>
      <c r="K58" t="s">
        <v>27</v>
      </c>
      <c r="L58" t="s">
        <v>942</v>
      </c>
      <c r="M58" t="s">
        <v>943</v>
      </c>
      <c r="N58" t="s">
        <v>646</v>
      </c>
      <c r="O58" t="s">
        <v>83</v>
      </c>
      <c r="P58" t="s">
        <v>944</v>
      </c>
      <c r="Q58" t="s">
        <v>143</v>
      </c>
      <c r="R58" s="23" t="s">
        <v>91</v>
      </c>
      <c r="S58" s="23">
        <v>46190</v>
      </c>
      <c r="T58">
        <v>2</v>
      </c>
      <c r="U58">
        <v>5504</v>
      </c>
      <c r="V58">
        <v>0</v>
      </c>
      <c r="W58">
        <v>5504</v>
      </c>
    </row>
    <row r="59" spans="1:23" hidden="1" x14ac:dyDescent="0.25">
      <c r="A59">
        <v>15741</v>
      </c>
      <c r="B59">
        <v>456814693</v>
      </c>
      <c r="C59" t="s">
        <v>945</v>
      </c>
      <c r="D59" s="8" t="s">
        <v>946</v>
      </c>
      <c r="E59" t="s">
        <v>644</v>
      </c>
      <c r="G59" t="s">
        <v>53</v>
      </c>
      <c r="H59" t="s">
        <v>54</v>
      </c>
      <c r="I59" t="s">
        <v>30</v>
      </c>
      <c r="J59" t="s">
        <v>55</v>
      </c>
      <c r="K59" t="s">
        <v>27</v>
      </c>
      <c r="L59" t="s">
        <v>947</v>
      </c>
      <c r="M59" t="s">
        <v>948</v>
      </c>
      <c r="N59" t="s">
        <v>646</v>
      </c>
      <c r="O59" t="s">
        <v>83</v>
      </c>
      <c r="P59" t="s">
        <v>949</v>
      </c>
      <c r="Q59" t="s">
        <v>73</v>
      </c>
      <c r="R59" s="23" t="s">
        <v>950</v>
      </c>
      <c r="S59" s="23">
        <v>46190</v>
      </c>
      <c r="T59">
        <v>2.1</v>
      </c>
      <c r="U59">
        <v>5816</v>
      </c>
      <c r="V59">
        <v>0</v>
      </c>
      <c r="W59">
        <v>5816</v>
      </c>
    </row>
    <row r="60" spans="1:23" hidden="1" x14ac:dyDescent="0.25">
      <c r="A60">
        <v>15741</v>
      </c>
      <c r="B60">
        <v>456814622</v>
      </c>
      <c r="C60" t="s">
        <v>951</v>
      </c>
      <c r="D60" s="8" t="s">
        <v>952</v>
      </c>
      <c r="E60" t="s">
        <v>644</v>
      </c>
      <c r="G60" t="s">
        <v>53</v>
      </c>
      <c r="H60" t="s">
        <v>54</v>
      </c>
      <c r="I60" t="s">
        <v>30</v>
      </c>
      <c r="J60" t="s">
        <v>55</v>
      </c>
      <c r="K60" t="s">
        <v>27</v>
      </c>
      <c r="L60" t="s">
        <v>953</v>
      </c>
      <c r="M60" t="s">
        <v>954</v>
      </c>
      <c r="N60" t="s">
        <v>646</v>
      </c>
      <c r="O60" t="s">
        <v>83</v>
      </c>
      <c r="P60" t="s">
        <v>955</v>
      </c>
      <c r="Q60" t="s">
        <v>52</v>
      </c>
      <c r="R60" s="23" t="s">
        <v>880</v>
      </c>
      <c r="S60" s="23">
        <v>46190</v>
      </c>
      <c r="T60">
        <v>2.1</v>
      </c>
      <c r="U60">
        <v>5816</v>
      </c>
      <c r="V60">
        <v>0</v>
      </c>
      <c r="W60">
        <v>5816</v>
      </c>
    </row>
    <row r="61" spans="1:23" hidden="1" x14ac:dyDescent="0.25">
      <c r="A61">
        <v>15741</v>
      </c>
      <c r="B61">
        <v>456814734</v>
      </c>
      <c r="C61" t="s">
        <v>956</v>
      </c>
      <c r="D61" s="8" t="s">
        <v>957</v>
      </c>
      <c r="E61" t="s">
        <v>644</v>
      </c>
      <c r="G61" t="s">
        <v>53</v>
      </c>
      <c r="H61" t="s">
        <v>54</v>
      </c>
      <c r="I61" t="s">
        <v>30</v>
      </c>
      <c r="J61" t="s">
        <v>55</v>
      </c>
      <c r="K61" t="s">
        <v>27</v>
      </c>
      <c r="L61" t="s">
        <v>958</v>
      </c>
      <c r="M61" t="s">
        <v>959</v>
      </c>
      <c r="N61" t="s">
        <v>646</v>
      </c>
      <c r="O61" t="s">
        <v>83</v>
      </c>
      <c r="P61" t="s">
        <v>960</v>
      </c>
      <c r="Q61" t="s">
        <v>43</v>
      </c>
      <c r="R61" s="23" t="s">
        <v>330</v>
      </c>
      <c r="S61" s="23">
        <v>46190</v>
      </c>
      <c r="T61">
        <v>2.1</v>
      </c>
      <c r="U61">
        <v>5816</v>
      </c>
      <c r="V61">
        <v>0</v>
      </c>
      <c r="W61">
        <v>5816</v>
      </c>
    </row>
    <row r="62" spans="1:23" hidden="1" x14ac:dyDescent="0.25">
      <c r="A62">
        <v>15741</v>
      </c>
      <c r="B62">
        <v>456814927</v>
      </c>
      <c r="C62" t="s">
        <v>961</v>
      </c>
      <c r="D62" s="8" t="s">
        <v>962</v>
      </c>
      <c r="E62" t="s">
        <v>644</v>
      </c>
      <c r="G62" t="s">
        <v>53</v>
      </c>
      <c r="H62" t="s">
        <v>54</v>
      </c>
      <c r="I62" t="s">
        <v>30</v>
      </c>
      <c r="J62" t="s">
        <v>55</v>
      </c>
      <c r="K62" t="s">
        <v>27</v>
      </c>
      <c r="L62" t="s">
        <v>963</v>
      </c>
      <c r="M62" t="s">
        <v>964</v>
      </c>
      <c r="N62" t="s">
        <v>646</v>
      </c>
      <c r="O62" t="s">
        <v>83</v>
      </c>
      <c r="P62" t="s">
        <v>221</v>
      </c>
      <c r="Q62" t="s">
        <v>44</v>
      </c>
      <c r="R62" s="23" t="s">
        <v>874</v>
      </c>
      <c r="S62" s="23">
        <v>46190</v>
      </c>
      <c r="T62">
        <v>2</v>
      </c>
      <c r="U62">
        <v>5504</v>
      </c>
      <c r="V62">
        <v>0</v>
      </c>
      <c r="W62">
        <v>5504</v>
      </c>
    </row>
    <row r="63" spans="1:23" hidden="1" x14ac:dyDescent="0.25">
      <c r="A63">
        <v>15741</v>
      </c>
      <c r="B63">
        <v>456815094</v>
      </c>
      <c r="C63" t="s">
        <v>965</v>
      </c>
      <c r="D63" s="8" t="s">
        <v>966</v>
      </c>
      <c r="E63" t="s">
        <v>644</v>
      </c>
      <c r="G63" t="s">
        <v>53</v>
      </c>
      <c r="H63" t="s">
        <v>54</v>
      </c>
      <c r="I63" t="s">
        <v>30</v>
      </c>
      <c r="J63" t="s">
        <v>55</v>
      </c>
      <c r="K63" t="s">
        <v>27</v>
      </c>
      <c r="L63" t="s">
        <v>967</v>
      </c>
      <c r="M63" t="s">
        <v>968</v>
      </c>
      <c r="N63" t="s">
        <v>646</v>
      </c>
      <c r="O63" t="s">
        <v>83</v>
      </c>
      <c r="P63" t="s">
        <v>969</v>
      </c>
      <c r="Q63" t="s">
        <v>78</v>
      </c>
      <c r="R63" s="23" t="s">
        <v>571</v>
      </c>
      <c r="S63" s="23">
        <v>46190</v>
      </c>
      <c r="T63">
        <v>2.1</v>
      </c>
      <c r="U63">
        <v>5816</v>
      </c>
      <c r="V63">
        <v>0</v>
      </c>
      <c r="W63">
        <v>5816</v>
      </c>
    </row>
    <row r="64" spans="1:23" hidden="1" x14ac:dyDescent="0.25">
      <c r="A64">
        <v>15741</v>
      </c>
      <c r="B64">
        <v>456815163</v>
      </c>
      <c r="C64" t="s">
        <v>970</v>
      </c>
      <c r="D64" s="8" t="s">
        <v>971</v>
      </c>
      <c r="E64" t="s">
        <v>644</v>
      </c>
      <c r="G64" t="s">
        <v>53</v>
      </c>
      <c r="H64" t="s">
        <v>54</v>
      </c>
      <c r="I64" t="s">
        <v>30</v>
      </c>
      <c r="J64" t="s">
        <v>55</v>
      </c>
      <c r="K64" t="s">
        <v>27</v>
      </c>
      <c r="L64" t="s">
        <v>972</v>
      </c>
      <c r="M64" t="s">
        <v>973</v>
      </c>
      <c r="N64" t="s">
        <v>646</v>
      </c>
      <c r="O64" t="s">
        <v>83</v>
      </c>
      <c r="P64" t="s">
        <v>974</v>
      </c>
      <c r="Q64" t="s">
        <v>71</v>
      </c>
      <c r="R64" s="23" t="s">
        <v>975</v>
      </c>
      <c r="S64" s="23">
        <v>46190</v>
      </c>
      <c r="T64">
        <v>51.6</v>
      </c>
      <c r="U64">
        <v>19961</v>
      </c>
      <c r="V64">
        <v>0</v>
      </c>
      <c r="W64">
        <v>19961</v>
      </c>
    </row>
    <row r="65" spans="1:23" hidden="1" x14ac:dyDescent="0.25">
      <c r="A65">
        <v>15741</v>
      </c>
      <c r="B65">
        <v>456814663</v>
      </c>
      <c r="C65" t="s">
        <v>976</v>
      </c>
      <c r="D65" s="8" t="s">
        <v>977</v>
      </c>
      <c r="E65" t="s">
        <v>644</v>
      </c>
      <c r="G65" t="s">
        <v>53</v>
      </c>
      <c r="H65" t="s">
        <v>54</v>
      </c>
      <c r="I65" t="s">
        <v>30</v>
      </c>
      <c r="J65" t="s">
        <v>55</v>
      </c>
      <c r="K65" t="s">
        <v>27</v>
      </c>
      <c r="L65" t="s">
        <v>978</v>
      </c>
      <c r="M65" t="s">
        <v>979</v>
      </c>
      <c r="N65" t="s">
        <v>646</v>
      </c>
      <c r="O65" t="s">
        <v>83</v>
      </c>
      <c r="P65" t="s">
        <v>980</v>
      </c>
      <c r="Q65" t="s">
        <v>66</v>
      </c>
      <c r="R65" s="23" t="s">
        <v>950</v>
      </c>
      <c r="S65" s="23">
        <v>46190</v>
      </c>
      <c r="T65">
        <v>2.1</v>
      </c>
      <c r="U65">
        <v>5816</v>
      </c>
      <c r="V65">
        <v>0</v>
      </c>
      <c r="W65">
        <v>5816</v>
      </c>
    </row>
    <row r="66" spans="1:23" hidden="1" x14ac:dyDescent="0.25">
      <c r="A66">
        <v>15741</v>
      </c>
      <c r="B66">
        <v>456814782</v>
      </c>
      <c r="C66" t="s">
        <v>981</v>
      </c>
      <c r="D66" s="8" t="s">
        <v>982</v>
      </c>
      <c r="E66" t="s">
        <v>644</v>
      </c>
      <c r="G66" t="s">
        <v>53</v>
      </c>
      <c r="H66" t="s">
        <v>54</v>
      </c>
      <c r="I66" t="s">
        <v>30</v>
      </c>
      <c r="J66" t="s">
        <v>55</v>
      </c>
      <c r="K66" t="s">
        <v>27</v>
      </c>
      <c r="L66" t="s">
        <v>983</v>
      </c>
      <c r="M66" t="s">
        <v>984</v>
      </c>
      <c r="N66" t="s">
        <v>646</v>
      </c>
      <c r="O66" t="s">
        <v>83</v>
      </c>
      <c r="P66" t="s">
        <v>985</v>
      </c>
      <c r="Q66" t="s">
        <v>44</v>
      </c>
      <c r="R66" s="23" t="s">
        <v>986</v>
      </c>
      <c r="S66" s="23">
        <v>46190</v>
      </c>
      <c r="T66">
        <v>2.1</v>
      </c>
      <c r="U66">
        <v>5816</v>
      </c>
      <c r="V66">
        <v>0</v>
      </c>
      <c r="W66">
        <v>5816</v>
      </c>
    </row>
    <row r="67" spans="1:23" hidden="1" x14ac:dyDescent="0.25">
      <c r="A67">
        <v>15741</v>
      </c>
      <c r="B67">
        <v>455031627</v>
      </c>
      <c r="C67" t="s">
        <v>987</v>
      </c>
      <c r="D67" s="8" t="s">
        <v>988</v>
      </c>
      <c r="E67" t="s">
        <v>644</v>
      </c>
      <c r="G67" t="s">
        <v>62</v>
      </c>
      <c r="H67" t="s">
        <v>63</v>
      </c>
      <c r="I67" t="s">
        <v>30</v>
      </c>
      <c r="J67" t="s">
        <v>64</v>
      </c>
      <c r="K67" t="s">
        <v>27</v>
      </c>
      <c r="L67" t="s">
        <v>65</v>
      </c>
      <c r="M67" t="s">
        <v>989</v>
      </c>
      <c r="N67" t="s">
        <v>646</v>
      </c>
      <c r="O67" t="s">
        <v>83</v>
      </c>
      <c r="P67" t="s">
        <v>990</v>
      </c>
      <c r="Q67" t="s">
        <v>257</v>
      </c>
      <c r="R67" s="23" t="s">
        <v>991</v>
      </c>
      <c r="S67" s="23">
        <v>46160</v>
      </c>
      <c r="T67">
        <v>12.14</v>
      </c>
      <c r="U67">
        <v>16908</v>
      </c>
      <c r="V67">
        <v>959.94</v>
      </c>
      <c r="W67">
        <v>17867.939999999999</v>
      </c>
    </row>
    <row r="68" spans="1:23" hidden="1" x14ac:dyDescent="0.25">
      <c r="A68">
        <v>15741</v>
      </c>
      <c r="B68">
        <v>456807572</v>
      </c>
      <c r="C68" t="s">
        <v>992</v>
      </c>
      <c r="D68" s="8" t="s">
        <v>993</v>
      </c>
      <c r="E68" t="s">
        <v>644</v>
      </c>
      <c r="G68" t="s">
        <v>53</v>
      </c>
      <c r="H68" t="s">
        <v>54</v>
      </c>
      <c r="I68" t="s">
        <v>30</v>
      </c>
      <c r="J68" t="s">
        <v>55</v>
      </c>
      <c r="K68" t="s">
        <v>27</v>
      </c>
      <c r="L68" t="s">
        <v>994</v>
      </c>
      <c r="M68" t="s">
        <v>995</v>
      </c>
      <c r="N68" t="s">
        <v>646</v>
      </c>
      <c r="O68" t="s">
        <v>83</v>
      </c>
      <c r="P68" t="s">
        <v>996</v>
      </c>
      <c r="Q68" t="s">
        <v>102</v>
      </c>
      <c r="R68" s="23" t="s">
        <v>997</v>
      </c>
      <c r="S68" s="23">
        <v>46190</v>
      </c>
      <c r="T68">
        <v>26.3</v>
      </c>
      <c r="U68">
        <v>12589</v>
      </c>
      <c r="V68">
        <v>4590</v>
      </c>
      <c r="W68">
        <v>17179</v>
      </c>
    </row>
    <row r="69" spans="1:23" hidden="1" x14ac:dyDescent="0.25">
      <c r="A69">
        <v>15741</v>
      </c>
      <c r="B69">
        <v>456814871</v>
      </c>
      <c r="C69" t="s">
        <v>998</v>
      </c>
      <c r="D69" s="8" t="s">
        <v>999</v>
      </c>
      <c r="E69" t="s">
        <v>644</v>
      </c>
      <c r="G69" t="s">
        <v>53</v>
      </c>
      <c r="H69" t="s">
        <v>54</v>
      </c>
      <c r="I69" t="s">
        <v>30</v>
      </c>
      <c r="J69" t="s">
        <v>55</v>
      </c>
      <c r="K69" t="s">
        <v>27</v>
      </c>
      <c r="L69" t="s">
        <v>1000</v>
      </c>
      <c r="M69" t="s">
        <v>1001</v>
      </c>
      <c r="N69" t="s">
        <v>646</v>
      </c>
      <c r="O69" t="s">
        <v>83</v>
      </c>
      <c r="P69" t="s">
        <v>1002</v>
      </c>
      <c r="Q69" t="s">
        <v>52</v>
      </c>
      <c r="R69" s="23" t="s">
        <v>1003</v>
      </c>
      <c r="S69" s="23">
        <v>46190</v>
      </c>
      <c r="T69">
        <v>2.2999999999999998</v>
      </c>
      <c r="U69">
        <v>5816</v>
      </c>
      <c r="V69">
        <v>0</v>
      </c>
      <c r="W69">
        <v>5816</v>
      </c>
    </row>
    <row r="70" spans="1:23" hidden="1" x14ac:dyDescent="0.25">
      <c r="A70">
        <v>15741</v>
      </c>
      <c r="B70">
        <v>456814825</v>
      </c>
      <c r="C70" t="s">
        <v>1004</v>
      </c>
      <c r="D70" s="8" t="s">
        <v>1005</v>
      </c>
      <c r="E70" t="s">
        <v>644</v>
      </c>
      <c r="G70" t="s">
        <v>53</v>
      </c>
      <c r="H70" t="s">
        <v>54</v>
      </c>
      <c r="I70" t="s">
        <v>30</v>
      </c>
      <c r="J70" t="s">
        <v>55</v>
      </c>
      <c r="K70" t="s">
        <v>27</v>
      </c>
      <c r="L70" t="s">
        <v>1006</v>
      </c>
      <c r="M70" t="s">
        <v>1007</v>
      </c>
      <c r="N70" t="s">
        <v>646</v>
      </c>
      <c r="O70" t="s">
        <v>83</v>
      </c>
      <c r="P70" t="s">
        <v>1008</v>
      </c>
      <c r="Q70" t="s">
        <v>52</v>
      </c>
      <c r="R70" s="23" t="s">
        <v>939</v>
      </c>
      <c r="S70" s="23">
        <v>46190</v>
      </c>
      <c r="T70">
        <v>2.1</v>
      </c>
      <c r="U70">
        <v>5816</v>
      </c>
      <c r="V70">
        <v>0</v>
      </c>
      <c r="W70">
        <v>5816</v>
      </c>
    </row>
    <row r="71" spans="1:23" hidden="1" x14ac:dyDescent="0.25">
      <c r="A71">
        <v>15741</v>
      </c>
      <c r="B71">
        <v>456815215</v>
      </c>
      <c r="C71" t="s">
        <v>1009</v>
      </c>
      <c r="D71" s="8" t="s">
        <v>1010</v>
      </c>
      <c r="E71" t="s">
        <v>644</v>
      </c>
      <c r="G71" t="s">
        <v>53</v>
      </c>
      <c r="H71" t="s">
        <v>54</v>
      </c>
      <c r="I71" t="s">
        <v>30</v>
      </c>
      <c r="J71" t="s">
        <v>55</v>
      </c>
      <c r="K71" t="s">
        <v>27</v>
      </c>
      <c r="L71" t="s">
        <v>1011</v>
      </c>
      <c r="M71" t="s">
        <v>1012</v>
      </c>
      <c r="N71" t="s">
        <v>646</v>
      </c>
      <c r="O71" t="s">
        <v>83</v>
      </c>
      <c r="P71" t="s">
        <v>1013</v>
      </c>
      <c r="Q71" t="s">
        <v>117</v>
      </c>
      <c r="R71" s="23" t="s">
        <v>975</v>
      </c>
      <c r="S71" s="23">
        <v>46190</v>
      </c>
      <c r="T71">
        <v>51.6</v>
      </c>
      <c r="U71">
        <v>22004</v>
      </c>
      <c r="V71">
        <v>0</v>
      </c>
      <c r="W71">
        <v>22004</v>
      </c>
    </row>
    <row r="72" spans="1:23" hidden="1" x14ac:dyDescent="0.25">
      <c r="A72">
        <v>15741</v>
      </c>
      <c r="B72">
        <v>456743426</v>
      </c>
      <c r="C72" t="s">
        <v>1014</v>
      </c>
      <c r="D72" s="8" t="s">
        <v>1015</v>
      </c>
      <c r="E72" t="s">
        <v>644</v>
      </c>
      <c r="G72" t="s">
        <v>53</v>
      </c>
      <c r="H72" t="s">
        <v>54</v>
      </c>
      <c r="I72" t="s">
        <v>30</v>
      </c>
      <c r="J72" t="s">
        <v>55</v>
      </c>
      <c r="K72" t="s">
        <v>27</v>
      </c>
      <c r="L72" t="s">
        <v>1016</v>
      </c>
      <c r="M72" t="s">
        <v>1017</v>
      </c>
      <c r="N72" t="s">
        <v>646</v>
      </c>
      <c r="O72" t="s">
        <v>83</v>
      </c>
      <c r="P72" t="s">
        <v>1018</v>
      </c>
      <c r="Q72" t="s">
        <v>158</v>
      </c>
      <c r="R72" s="23" t="s">
        <v>572</v>
      </c>
      <c r="S72" s="23">
        <v>46188</v>
      </c>
      <c r="T72">
        <v>2</v>
      </c>
      <c r="U72">
        <v>5504</v>
      </c>
      <c r="V72">
        <v>0</v>
      </c>
      <c r="W72">
        <v>5504</v>
      </c>
    </row>
    <row r="73" spans="1:23" hidden="1" x14ac:dyDescent="0.25">
      <c r="A73">
        <v>15741</v>
      </c>
      <c r="B73">
        <v>456743406</v>
      </c>
      <c r="C73" t="s">
        <v>1019</v>
      </c>
      <c r="D73" s="8" t="s">
        <v>1020</v>
      </c>
      <c r="E73" t="s">
        <v>644</v>
      </c>
      <c r="G73" t="s">
        <v>53</v>
      </c>
      <c r="H73" t="s">
        <v>54</v>
      </c>
      <c r="I73" t="s">
        <v>30</v>
      </c>
      <c r="J73" t="s">
        <v>55</v>
      </c>
      <c r="K73" t="s">
        <v>27</v>
      </c>
      <c r="L73" t="s">
        <v>1021</v>
      </c>
      <c r="M73" t="s">
        <v>1022</v>
      </c>
      <c r="N73" t="s">
        <v>646</v>
      </c>
      <c r="O73" t="s">
        <v>83</v>
      </c>
      <c r="P73" t="s">
        <v>1018</v>
      </c>
      <c r="Q73" t="s">
        <v>158</v>
      </c>
      <c r="R73" s="23" t="s">
        <v>572</v>
      </c>
      <c r="S73" s="23">
        <v>46188</v>
      </c>
      <c r="T73">
        <v>2</v>
      </c>
      <c r="U73">
        <v>5504</v>
      </c>
      <c r="V73">
        <v>0</v>
      </c>
      <c r="W73">
        <v>5504</v>
      </c>
    </row>
    <row r="74" spans="1:23" hidden="1" x14ac:dyDescent="0.25">
      <c r="A74">
        <v>15741</v>
      </c>
      <c r="B74">
        <v>456743181</v>
      </c>
      <c r="C74" t="s">
        <v>1023</v>
      </c>
      <c r="D74" s="8" t="s">
        <v>1024</v>
      </c>
      <c r="E74" t="s">
        <v>644</v>
      </c>
      <c r="G74" t="s">
        <v>53</v>
      </c>
      <c r="H74" t="s">
        <v>54</v>
      </c>
      <c r="I74" t="s">
        <v>30</v>
      </c>
      <c r="J74" t="s">
        <v>55</v>
      </c>
      <c r="K74" t="s">
        <v>27</v>
      </c>
      <c r="L74" t="s">
        <v>1025</v>
      </c>
      <c r="M74" t="s">
        <v>1026</v>
      </c>
      <c r="N74" t="s">
        <v>646</v>
      </c>
      <c r="O74" t="s">
        <v>83</v>
      </c>
      <c r="P74" t="s">
        <v>1027</v>
      </c>
      <c r="Q74" t="s">
        <v>43</v>
      </c>
      <c r="R74" s="23" t="s">
        <v>1028</v>
      </c>
      <c r="S74" s="23">
        <v>46188</v>
      </c>
      <c r="T74">
        <v>6.73</v>
      </c>
      <c r="U74">
        <v>7086</v>
      </c>
      <c r="V74">
        <v>0</v>
      </c>
      <c r="W74">
        <v>7086</v>
      </c>
    </row>
    <row r="75" spans="1:23" hidden="1" x14ac:dyDescent="0.25">
      <c r="A75">
        <v>15741</v>
      </c>
      <c r="B75">
        <v>456776347</v>
      </c>
      <c r="C75" t="s">
        <v>1029</v>
      </c>
      <c r="D75" s="8" t="s">
        <v>1030</v>
      </c>
      <c r="E75" t="s">
        <v>644</v>
      </c>
      <c r="G75" t="s">
        <v>53</v>
      </c>
      <c r="H75" t="s">
        <v>54</v>
      </c>
      <c r="I75" t="s">
        <v>30</v>
      </c>
      <c r="J75" t="s">
        <v>55</v>
      </c>
      <c r="K75" t="s">
        <v>27</v>
      </c>
      <c r="L75" t="s">
        <v>1031</v>
      </c>
      <c r="M75" t="s">
        <v>1032</v>
      </c>
      <c r="N75" t="s">
        <v>646</v>
      </c>
      <c r="O75" t="s">
        <v>83</v>
      </c>
      <c r="P75" t="s">
        <v>1033</v>
      </c>
      <c r="Q75" t="s">
        <v>109</v>
      </c>
      <c r="R75" s="23" t="s">
        <v>1034</v>
      </c>
      <c r="S75" s="23">
        <v>46189</v>
      </c>
      <c r="T75">
        <v>14.8</v>
      </c>
      <c r="U75">
        <v>13725</v>
      </c>
      <c r="V75">
        <v>0</v>
      </c>
      <c r="W75">
        <v>13725</v>
      </c>
    </row>
    <row r="76" spans="1:23" hidden="1" x14ac:dyDescent="0.25">
      <c r="A76">
        <v>15741</v>
      </c>
      <c r="B76">
        <v>456743353</v>
      </c>
      <c r="C76" t="s">
        <v>1035</v>
      </c>
      <c r="D76" s="8" t="s">
        <v>1036</v>
      </c>
      <c r="E76" t="s">
        <v>644</v>
      </c>
      <c r="G76" t="s">
        <v>53</v>
      </c>
      <c r="H76" t="s">
        <v>54</v>
      </c>
      <c r="I76" t="s">
        <v>30</v>
      </c>
      <c r="J76" t="s">
        <v>55</v>
      </c>
      <c r="K76" t="s">
        <v>27</v>
      </c>
      <c r="L76" t="s">
        <v>1037</v>
      </c>
      <c r="M76" t="s">
        <v>1038</v>
      </c>
      <c r="N76" t="s">
        <v>646</v>
      </c>
      <c r="O76" t="s">
        <v>83</v>
      </c>
      <c r="P76" t="s">
        <v>1039</v>
      </c>
      <c r="Q76" t="s">
        <v>43</v>
      </c>
      <c r="R76" s="23" t="s">
        <v>1040</v>
      </c>
      <c r="S76" s="23">
        <v>46188</v>
      </c>
      <c r="T76">
        <v>2.1</v>
      </c>
      <c r="U76">
        <v>5816</v>
      </c>
      <c r="V76">
        <v>0</v>
      </c>
      <c r="W76">
        <v>5816</v>
      </c>
    </row>
    <row r="77" spans="1:23" hidden="1" x14ac:dyDescent="0.25">
      <c r="A77">
        <v>15741</v>
      </c>
      <c r="B77">
        <v>456656649</v>
      </c>
      <c r="C77" t="s">
        <v>1041</v>
      </c>
      <c r="D77" s="8" t="s">
        <v>1042</v>
      </c>
      <c r="E77" t="s">
        <v>644</v>
      </c>
      <c r="G77" t="s">
        <v>53</v>
      </c>
      <c r="H77" t="s">
        <v>54</v>
      </c>
      <c r="I77" t="s">
        <v>30</v>
      </c>
      <c r="J77" t="s">
        <v>55</v>
      </c>
      <c r="K77" t="s">
        <v>27</v>
      </c>
      <c r="L77" t="s">
        <v>1043</v>
      </c>
      <c r="M77" t="s">
        <v>1044</v>
      </c>
      <c r="N77" t="s">
        <v>646</v>
      </c>
      <c r="O77" t="s">
        <v>83</v>
      </c>
      <c r="P77" t="s">
        <v>1045</v>
      </c>
      <c r="Q77" t="s">
        <v>43</v>
      </c>
      <c r="R77" s="23" t="s">
        <v>1046</v>
      </c>
      <c r="S77" s="23">
        <v>46185</v>
      </c>
      <c r="T77">
        <v>30.38</v>
      </c>
      <c r="U77">
        <v>13488</v>
      </c>
      <c r="V77">
        <v>0</v>
      </c>
      <c r="W77">
        <v>13488</v>
      </c>
    </row>
    <row r="78" spans="1:23" hidden="1" x14ac:dyDescent="0.25">
      <c r="A78">
        <v>15741</v>
      </c>
      <c r="B78">
        <v>456743451</v>
      </c>
      <c r="C78" t="s">
        <v>641</v>
      </c>
      <c r="D78" s="8" t="s">
        <v>1047</v>
      </c>
      <c r="E78" t="s">
        <v>644</v>
      </c>
      <c r="G78" t="s">
        <v>53</v>
      </c>
      <c r="H78" t="s">
        <v>54</v>
      </c>
      <c r="I78" t="s">
        <v>30</v>
      </c>
      <c r="J78" t="s">
        <v>55</v>
      </c>
      <c r="K78" t="s">
        <v>27</v>
      </c>
      <c r="L78" t="s">
        <v>1048</v>
      </c>
      <c r="M78" t="s">
        <v>1049</v>
      </c>
      <c r="N78" t="s">
        <v>646</v>
      </c>
      <c r="O78" t="s">
        <v>83</v>
      </c>
      <c r="P78" t="s">
        <v>1050</v>
      </c>
      <c r="Q78" t="s">
        <v>180</v>
      </c>
      <c r="R78" s="23" t="s">
        <v>1051</v>
      </c>
      <c r="S78" s="23">
        <v>46188</v>
      </c>
      <c r="T78">
        <v>1.8</v>
      </c>
      <c r="U78">
        <v>7790</v>
      </c>
      <c r="V78">
        <v>0</v>
      </c>
      <c r="W78">
        <v>7790</v>
      </c>
    </row>
    <row r="79" spans="1:23" hidden="1" x14ac:dyDescent="0.25">
      <c r="A79">
        <v>15741</v>
      </c>
      <c r="B79">
        <v>456743506</v>
      </c>
      <c r="C79" t="s">
        <v>1052</v>
      </c>
      <c r="D79" s="8" t="s">
        <v>1053</v>
      </c>
      <c r="E79" t="s">
        <v>644</v>
      </c>
      <c r="G79" t="s">
        <v>53</v>
      </c>
      <c r="H79" t="s">
        <v>54</v>
      </c>
      <c r="I79" t="s">
        <v>30</v>
      </c>
      <c r="J79" t="s">
        <v>55</v>
      </c>
      <c r="K79" t="s">
        <v>27</v>
      </c>
      <c r="L79" t="s">
        <v>1054</v>
      </c>
      <c r="M79" t="s">
        <v>1055</v>
      </c>
      <c r="N79" t="s">
        <v>646</v>
      </c>
      <c r="O79" t="s">
        <v>83</v>
      </c>
      <c r="P79" t="s">
        <v>1056</v>
      </c>
      <c r="Q79" t="s">
        <v>48</v>
      </c>
      <c r="R79" s="23" t="s">
        <v>1057</v>
      </c>
      <c r="S79" s="23">
        <v>46188</v>
      </c>
      <c r="T79">
        <v>13</v>
      </c>
      <c r="U79">
        <v>8993</v>
      </c>
      <c r="V79">
        <v>0</v>
      </c>
      <c r="W79">
        <v>8993</v>
      </c>
    </row>
    <row r="80" spans="1:23" hidden="1" x14ac:dyDescent="0.25">
      <c r="A80">
        <v>15741</v>
      </c>
      <c r="B80">
        <v>456743549</v>
      </c>
      <c r="C80" t="s">
        <v>1058</v>
      </c>
      <c r="D80" s="8" t="s">
        <v>1059</v>
      </c>
      <c r="E80" t="s">
        <v>644</v>
      </c>
      <c r="G80" t="s">
        <v>53</v>
      </c>
      <c r="H80" t="s">
        <v>54</v>
      </c>
      <c r="I80" t="s">
        <v>30</v>
      </c>
      <c r="J80" t="s">
        <v>55</v>
      </c>
      <c r="K80" t="s">
        <v>27</v>
      </c>
      <c r="L80" t="s">
        <v>1060</v>
      </c>
      <c r="M80" t="s">
        <v>1044</v>
      </c>
      <c r="N80" t="s">
        <v>646</v>
      </c>
      <c r="O80" t="s">
        <v>83</v>
      </c>
      <c r="P80" t="s">
        <v>1061</v>
      </c>
      <c r="Q80" t="s">
        <v>43</v>
      </c>
      <c r="R80" s="23" t="s">
        <v>470</v>
      </c>
      <c r="S80" s="23">
        <v>46188</v>
      </c>
      <c r="T80">
        <v>7.2</v>
      </c>
      <c r="U80">
        <v>7409</v>
      </c>
      <c r="V80">
        <v>0</v>
      </c>
      <c r="W80">
        <v>7409</v>
      </c>
    </row>
    <row r="81" spans="1:23" hidden="1" x14ac:dyDescent="0.25">
      <c r="A81">
        <v>15741</v>
      </c>
      <c r="B81">
        <v>456762334</v>
      </c>
      <c r="C81" t="s">
        <v>1062</v>
      </c>
      <c r="D81" s="8" t="s">
        <v>1063</v>
      </c>
      <c r="E81" t="s">
        <v>644</v>
      </c>
      <c r="G81" t="s">
        <v>53</v>
      </c>
      <c r="H81" t="s">
        <v>54</v>
      </c>
      <c r="I81" t="s">
        <v>30</v>
      </c>
      <c r="J81" t="s">
        <v>55</v>
      </c>
      <c r="K81" t="s">
        <v>27</v>
      </c>
      <c r="L81" t="s">
        <v>1064</v>
      </c>
      <c r="M81" t="s">
        <v>1065</v>
      </c>
      <c r="N81" t="s">
        <v>646</v>
      </c>
      <c r="O81" t="s">
        <v>83</v>
      </c>
      <c r="P81" t="s">
        <v>1066</v>
      </c>
      <c r="Q81" t="s">
        <v>68</v>
      </c>
      <c r="R81" s="23" t="s">
        <v>367</v>
      </c>
      <c r="S81" s="23">
        <v>46189</v>
      </c>
      <c r="T81">
        <v>66.8</v>
      </c>
      <c r="U81">
        <v>22323</v>
      </c>
      <c r="V81">
        <v>0</v>
      </c>
      <c r="W81">
        <v>22323</v>
      </c>
    </row>
    <row r="82" spans="1:23" hidden="1" x14ac:dyDescent="0.25">
      <c r="A82">
        <v>15741</v>
      </c>
      <c r="B82">
        <v>456743228</v>
      </c>
      <c r="C82" t="s">
        <v>1067</v>
      </c>
      <c r="D82" s="8" t="s">
        <v>1068</v>
      </c>
      <c r="E82" t="s">
        <v>644</v>
      </c>
      <c r="G82" t="s">
        <v>53</v>
      </c>
      <c r="H82" t="s">
        <v>54</v>
      </c>
      <c r="I82" t="s">
        <v>30</v>
      </c>
      <c r="J82" t="s">
        <v>55</v>
      </c>
      <c r="K82" t="s">
        <v>27</v>
      </c>
      <c r="L82" t="s">
        <v>737</v>
      </c>
      <c r="M82" t="s">
        <v>498</v>
      </c>
      <c r="N82" t="s">
        <v>646</v>
      </c>
      <c r="O82" t="s">
        <v>83</v>
      </c>
      <c r="P82" t="s">
        <v>1069</v>
      </c>
      <c r="Q82" t="s">
        <v>148</v>
      </c>
      <c r="R82" s="23" t="s">
        <v>1070</v>
      </c>
      <c r="S82" s="23">
        <v>46188</v>
      </c>
      <c r="T82">
        <v>2.1</v>
      </c>
      <c r="U82">
        <v>5816</v>
      </c>
      <c r="V82">
        <v>0</v>
      </c>
      <c r="W82">
        <v>5816</v>
      </c>
    </row>
    <row r="83" spans="1:23" hidden="1" x14ac:dyDescent="0.25">
      <c r="A83">
        <v>15741</v>
      </c>
      <c r="B83">
        <v>456743261</v>
      </c>
      <c r="C83" t="s">
        <v>1071</v>
      </c>
      <c r="D83" s="8" t="s">
        <v>1072</v>
      </c>
      <c r="E83" t="s">
        <v>644</v>
      </c>
      <c r="G83" t="s">
        <v>53</v>
      </c>
      <c r="H83" t="s">
        <v>54</v>
      </c>
      <c r="I83" t="s">
        <v>30</v>
      </c>
      <c r="J83" t="s">
        <v>55</v>
      </c>
      <c r="K83" t="s">
        <v>27</v>
      </c>
      <c r="L83" t="s">
        <v>1073</v>
      </c>
      <c r="M83" t="s">
        <v>1074</v>
      </c>
      <c r="N83" t="s">
        <v>646</v>
      </c>
      <c r="O83" t="s">
        <v>83</v>
      </c>
      <c r="P83" t="s">
        <v>1075</v>
      </c>
      <c r="Q83" t="s">
        <v>50</v>
      </c>
      <c r="R83" s="23" t="s">
        <v>1070</v>
      </c>
      <c r="S83" s="23">
        <v>46188</v>
      </c>
      <c r="T83">
        <v>2.1</v>
      </c>
      <c r="U83">
        <v>5816</v>
      </c>
      <c r="V83">
        <v>0</v>
      </c>
      <c r="W83">
        <v>5816</v>
      </c>
    </row>
    <row r="84" spans="1:23" hidden="1" x14ac:dyDescent="0.25">
      <c r="A84">
        <v>15741</v>
      </c>
      <c r="B84">
        <v>456762481</v>
      </c>
      <c r="C84" t="s">
        <v>1076</v>
      </c>
      <c r="D84" s="8" t="s">
        <v>1077</v>
      </c>
      <c r="E84" t="s">
        <v>644</v>
      </c>
      <c r="G84" t="s">
        <v>53</v>
      </c>
      <c r="H84" t="s">
        <v>54</v>
      </c>
      <c r="I84" t="s">
        <v>30</v>
      </c>
      <c r="J84" t="s">
        <v>55</v>
      </c>
      <c r="K84" t="s">
        <v>27</v>
      </c>
      <c r="L84" t="s">
        <v>1078</v>
      </c>
      <c r="M84" t="s">
        <v>1079</v>
      </c>
      <c r="N84" t="s">
        <v>646</v>
      </c>
      <c r="O84" t="s">
        <v>83</v>
      </c>
      <c r="P84" t="s">
        <v>1080</v>
      </c>
      <c r="Q84" t="s">
        <v>181</v>
      </c>
      <c r="R84" s="23" t="s">
        <v>1081</v>
      </c>
      <c r="S84" s="23">
        <v>46189</v>
      </c>
      <c r="T84">
        <v>77.400000000000006</v>
      </c>
      <c r="U84">
        <v>28161</v>
      </c>
      <c r="V84">
        <v>7337.88</v>
      </c>
      <c r="W84">
        <v>35498.879999999997</v>
      </c>
    </row>
    <row r="85" spans="1:23" hidden="1" x14ac:dyDescent="0.25">
      <c r="A85">
        <v>15741</v>
      </c>
      <c r="B85">
        <v>456762794</v>
      </c>
      <c r="C85" t="s">
        <v>1082</v>
      </c>
      <c r="D85" s="8" t="s">
        <v>1083</v>
      </c>
      <c r="E85" t="s">
        <v>644</v>
      </c>
      <c r="G85" t="s">
        <v>53</v>
      </c>
      <c r="H85" t="s">
        <v>54</v>
      </c>
      <c r="I85" t="s">
        <v>30</v>
      </c>
      <c r="J85" t="s">
        <v>55</v>
      </c>
      <c r="K85" t="s">
        <v>27</v>
      </c>
      <c r="L85" t="s">
        <v>1084</v>
      </c>
      <c r="M85" t="s">
        <v>1085</v>
      </c>
      <c r="N85" t="s">
        <v>646</v>
      </c>
      <c r="O85" t="s">
        <v>83</v>
      </c>
      <c r="P85" t="s">
        <v>1086</v>
      </c>
      <c r="Q85" t="s">
        <v>47</v>
      </c>
      <c r="R85" s="23" t="s">
        <v>1087</v>
      </c>
      <c r="S85" s="23">
        <v>46189</v>
      </c>
      <c r="T85">
        <v>12.9</v>
      </c>
      <c r="U85">
        <v>8993</v>
      </c>
      <c r="V85">
        <v>0</v>
      </c>
      <c r="W85">
        <v>8993</v>
      </c>
    </row>
    <row r="86" spans="1:23" hidden="1" x14ac:dyDescent="0.25">
      <c r="A86">
        <v>15741</v>
      </c>
      <c r="B86">
        <v>456657048</v>
      </c>
      <c r="C86" t="s">
        <v>1088</v>
      </c>
      <c r="D86" s="8" t="s">
        <v>1089</v>
      </c>
      <c r="E86" t="s">
        <v>644</v>
      </c>
      <c r="G86" t="s">
        <v>53</v>
      </c>
      <c r="H86" t="s">
        <v>54</v>
      </c>
      <c r="I86" t="s">
        <v>30</v>
      </c>
      <c r="J86" t="s">
        <v>55</v>
      </c>
      <c r="K86" t="s">
        <v>27</v>
      </c>
      <c r="L86" t="s">
        <v>1090</v>
      </c>
      <c r="M86" t="s">
        <v>1091</v>
      </c>
      <c r="N86" t="s">
        <v>646</v>
      </c>
      <c r="O86" t="s">
        <v>83</v>
      </c>
      <c r="P86" t="s">
        <v>1092</v>
      </c>
      <c r="Q86" t="s">
        <v>86</v>
      </c>
      <c r="R86" s="23" t="s">
        <v>1093</v>
      </c>
      <c r="S86" s="23">
        <v>46185</v>
      </c>
      <c r="T86">
        <v>26.64</v>
      </c>
      <c r="U86">
        <v>12589</v>
      </c>
      <c r="V86">
        <v>0</v>
      </c>
      <c r="W86">
        <v>12589</v>
      </c>
    </row>
    <row r="87" spans="1:23" hidden="1" x14ac:dyDescent="0.25">
      <c r="A87">
        <v>15741</v>
      </c>
      <c r="B87">
        <v>456657086</v>
      </c>
      <c r="C87" t="s">
        <v>1094</v>
      </c>
      <c r="D87" s="8" t="s">
        <v>1095</v>
      </c>
      <c r="E87" t="s">
        <v>644</v>
      </c>
      <c r="G87" t="s">
        <v>53</v>
      </c>
      <c r="H87" t="s">
        <v>54</v>
      </c>
      <c r="I87" t="s">
        <v>30</v>
      </c>
      <c r="J87" t="s">
        <v>55</v>
      </c>
      <c r="K87" t="s">
        <v>27</v>
      </c>
      <c r="L87" t="s">
        <v>1096</v>
      </c>
      <c r="M87" t="s">
        <v>1097</v>
      </c>
      <c r="N87" t="s">
        <v>646</v>
      </c>
      <c r="O87" t="s">
        <v>83</v>
      </c>
      <c r="P87" t="s">
        <v>1098</v>
      </c>
      <c r="Q87" t="s">
        <v>43</v>
      </c>
      <c r="R87" s="23" t="s">
        <v>1099</v>
      </c>
      <c r="S87" s="23">
        <v>46185</v>
      </c>
      <c r="T87">
        <v>11.1</v>
      </c>
      <c r="U87">
        <v>8670</v>
      </c>
      <c r="V87">
        <v>0</v>
      </c>
      <c r="W87">
        <v>8670</v>
      </c>
    </row>
    <row r="88" spans="1:23" hidden="1" x14ac:dyDescent="0.25">
      <c r="A88">
        <v>15741</v>
      </c>
      <c r="B88">
        <v>456657007</v>
      </c>
      <c r="C88" t="s">
        <v>1100</v>
      </c>
      <c r="D88" s="8" t="s">
        <v>1101</v>
      </c>
      <c r="E88" t="s">
        <v>644</v>
      </c>
      <c r="G88" t="s">
        <v>53</v>
      </c>
      <c r="H88" t="s">
        <v>54</v>
      </c>
      <c r="I88" t="s">
        <v>30</v>
      </c>
      <c r="J88" t="s">
        <v>55</v>
      </c>
      <c r="K88" t="s">
        <v>27</v>
      </c>
      <c r="L88" t="s">
        <v>1102</v>
      </c>
      <c r="M88" t="s">
        <v>1097</v>
      </c>
      <c r="N88" t="s">
        <v>646</v>
      </c>
      <c r="O88" t="s">
        <v>83</v>
      </c>
      <c r="P88" t="s">
        <v>1103</v>
      </c>
      <c r="Q88" t="s">
        <v>43</v>
      </c>
      <c r="R88" s="23" t="s">
        <v>182</v>
      </c>
      <c r="S88" s="23">
        <v>46185</v>
      </c>
      <c r="T88">
        <v>10.7</v>
      </c>
      <c r="U88">
        <v>8357</v>
      </c>
      <c r="V88">
        <v>0</v>
      </c>
      <c r="W88">
        <v>8357</v>
      </c>
    </row>
    <row r="89" spans="1:23" hidden="1" x14ac:dyDescent="0.25">
      <c r="A89">
        <v>15741</v>
      </c>
      <c r="B89">
        <v>456660275</v>
      </c>
      <c r="C89" t="s">
        <v>1104</v>
      </c>
      <c r="D89" s="8" t="s">
        <v>1105</v>
      </c>
      <c r="E89" t="s">
        <v>644</v>
      </c>
      <c r="G89" t="s">
        <v>53</v>
      </c>
      <c r="H89" t="s">
        <v>54</v>
      </c>
      <c r="I89" t="s">
        <v>30</v>
      </c>
      <c r="J89" t="s">
        <v>55</v>
      </c>
      <c r="K89" t="s">
        <v>27</v>
      </c>
      <c r="L89" t="s">
        <v>1106</v>
      </c>
      <c r="M89" t="s">
        <v>1107</v>
      </c>
      <c r="N89" t="s">
        <v>646</v>
      </c>
      <c r="O89" t="s">
        <v>83</v>
      </c>
      <c r="P89" t="s">
        <v>1108</v>
      </c>
      <c r="Q89" t="s">
        <v>45</v>
      </c>
      <c r="R89" s="23" t="s">
        <v>1109</v>
      </c>
      <c r="S89" s="23">
        <v>46185</v>
      </c>
      <c r="T89">
        <v>2</v>
      </c>
      <c r="U89">
        <v>5504</v>
      </c>
      <c r="V89">
        <v>0</v>
      </c>
      <c r="W89">
        <v>5504</v>
      </c>
    </row>
    <row r="90" spans="1:23" hidden="1" x14ac:dyDescent="0.25">
      <c r="A90">
        <v>15741</v>
      </c>
      <c r="B90">
        <v>456660317</v>
      </c>
      <c r="C90" t="s">
        <v>1110</v>
      </c>
      <c r="D90" s="8" t="s">
        <v>1111</v>
      </c>
      <c r="E90" t="s">
        <v>644</v>
      </c>
      <c r="G90" t="s">
        <v>53</v>
      </c>
      <c r="H90" t="s">
        <v>54</v>
      </c>
      <c r="I90" t="s">
        <v>30</v>
      </c>
      <c r="J90" t="s">
        <v>55</v>
      </c>
      <c r="K90" t="s">
        <v>27</v>
      </c>
      <c r="L90" t="s">
        <v>1112</v>
      </c>
      <c r="M90" t="s">
        <v>1113</v>
      </c>
      <c r="N90" t="s">
        <v>646</v>
      </c>
      <c r="O90" t="s">
        <v>83</v>
      </c>
      <c r="P90" t="s">
        <v>1114</v>
      </c>
      <c r="Q90" t="s">
        <v>102</v>
      </c>
      <c r="R90" s="23" t="s">
        <v>455</v>
      </c>
      <c r="S90" s="23">
        <v>46185</v>
      </c>
      <c r="T90">
        <v>2.1</v>
      </c>
      <c r="U90">
        <v>5816</v>
      </c>
      <c r="V90">
        <v>0</v>
      </c>
      <c r="W90">
        <v>5816</v>
      </c>
    </row>
    <row r="91" spans="1:23" hidden="1" x14ac:dyDescent="0.25">
      <c r="A91">
        <v>15741</v>
      </c>
      <c r="B91">
        <v>456660257</v>
      </c>
      <c r="C91" t="s">
        <v>1115</v>
      </c>
      <c r="D91" s="8" t="s">
        <v>1116</v>
      </c>
      <c r="E91" t="s">
        <v>644</v>
      </c>
      <c r="G91" t="s">
        <v>53</v>
      </c>
      <c r="H91" t="s">
        <v>54</v>
      </c>
      <c r="I91" t="s">
        <v>30</v>
      </c>
      <c r="J91" t="s">
        <v>55</v>
      </c>
      <c r="K91" t="s">
        <v>27</v>
      </c>
      <c r="L91" t="s">
        <v>1117</v>
      </c>
      <c r="M91" t="s">
        <v>1118</v>
      </c>
      <c r="N91" t="s">
        <v>646</v>
      </c>
      <c r="O91" t="s">
        <v>83</v>
      </c>
      <c r="P91" t="s">
        <v>1119</v>
      </c>
      <c r="Q91" t="s">
        <v>44</v>
      </c>
      <c r="R91" s="23" t="s">
        <v>1109</v>
      </c>
      <c r="S91" s="23">
        <v>46185</v>
      </c>
      <c r="T91">
        <v>4.9000000000000004</v>
      </c>
      <c r="U91">
        <v>6450</v>
      </c>
      <c r="V91">
        <v>0</v>
      </c>
      <c r="W91">
        <v>6450</v>
      </c>
    </row>
    <row r="92" spans="1:23" hidden="1" x14ac:dyDescent="0.25">
      <c r="A92">
        <v>15741</v>
      </c>
      <c r="B92">
        <v>456660080</v>
      </c>
      <c r="C92" t="s">
        <v>1120</v>
      </c>
      <c r="D92" s="8" t="s">
        <v>1121</v>
      </c>
      <c r="E92" t="s">
        <v>644</v>
      </c>
      <c r="G92" t="s">
        <v>53</v>
      </c>
      <c r="H92" t="s">
        <v>54</v>
      </c>
      <c r="I92" t="s">
        <v>30</v>
      </c>
      <c r="J92" t="s">
        <v>55</v>
      </c>
      <c r="K92" t="s">
        <v>27</v>
      </c>
      <c r="L92" t="s">
        <v>1122</v>
      </c>
      <c r="M92" t="s">
        <v>1123</v>
      </c>
      <c r="N92" t="s">
        <v>646</v>
      </c>
      <c r="O92" t="s">
        <v>83</v>
      </c>
      <c r="P92" t="s">
        <v>1124</v>
      </c>
      <c r="Q92" t="s">
        <v>81</v>
      </c>
      <c r="R92" s="23" t="s">
        <v>1125</v>
      </c>
      <c r="S92" s="23">
        <v>46185</v>
      </c>
      <c r="T92">
        <v>2.1</v>
      </c>
      <c r="U92">
        <v>5816</v>
      </c>
      <c r="V92">
        <v>0</v>
      </c>
      <c r="W92">
        <v>5816</v>
      </c>
    </row>
    <row r="93" spans="1:23" hidden="1" x14ac:dyDescent="0.25">
      <c r="A93">
        <v>15741</v>
      </c>
      <c r="B93">
        <v>456659954</v>
      </c>
      <c r="C93" t="s">
        <v>1126</v>
      </c>
      <c r="D93" s="8" t="s">
        <v>1127</v>
      </c>
      <c r="E93" t="s">
        <v>644</v>
      </c>
      <c r="G93" t="s">
        <v>53</v>
      </c>
      <c r="H93" t="s">
        <v>54</v>
      </c>
      <c r="I93" t="s">
        <v>30</v>
      </c>
      <c r="J93" t="s">
        <v>55</v>
      </c>
      <c r="K93" t="s">
        <v>27</v>
      </c>
      <c r="L93" t="s">
        <v>1128</v>
      </c>
      <c r="M93" t="s">
        <v>1129</v>
      </c>
      <c r="N93" t="s">
        <v>646</v>
      </c>
      <c r="O93" t="s">
        <v>83</v>
      </c>
      <c r="P93" t="s">
        <v>1130</v>
      </c>
      <c r="Q93" t="s">
        <v>58</v>
      </c>
      <c r="R93" s="23" t="s">
        <v>1131</v>
      </c>
      <c r="S93" s="23">
        <v>46185</v>
      </c>
      <c r="T93">
        <v>2</v>
      </c>
      <c r="U93">
        <v>5564</v>
      </c>
      <c r="V93">
        <v>0</v>
      </c>
      <c r="W93">
        <v>5564</v>
      </c>
    </row>
    <row r="94" spans="1:23" hidden="1" x14ac:dyDescent="0.25">
      <c r="A94">
        <v>15741</v>
      </c>
      <c r="B94">
        <v>456659719</v>
      </c>
      <c r="C94" t="s">
        <v>1132</v>
      </c>
      <c r="D94" s="8" t="s">
        <v>1133</v>
      </c>
      <c r="E94" t="s">
        <v>644</v>
      </c>
      <c r="G94" t="s">
        <v>53</v>
      </c>
      <c r="H94" t="s">
        <v>54</v>
      </c>
      <c r="I94" t="s">
        <v>30</v>
      </c>
      <c r="J94" t="s">
        <v>55</v>
      </c>
      <c r="K94" t="s">
        <v>27</v>
      </c>
      <c r="L94" t="s">
        <v>1134</v>
      </c>
      <c r="M94" t="s">
        <v>1135</v>
      </c>
      <c r="N94" t="s">
        <v>646</v>
      </c>
      <c r="O94" t="s">
        <v>83</v>
      </c>
      <c r="P94" t="s">
        <v>1136</v>
      </c>
      <c r="Q94" t="s">
        <v>50</v>
      </c>
      <c r="R94" s="23" t="s">
        <v>472</v>
      </c>
      <c r="S94" s="23">
        <v>46185</v>
      </c>
      <c r="T94">
        <v>2</v>
      </c>
      <c r="U94">
        <v>5504</v>
      </c>
      <c r="V94">
        <v>0</v>
      </c>
      <c r="W94">
        <v>5504</v>
      </c>
    </row>
    <row r="95" spans="1:23" hidden="1" x14ac:dyDescent="0.25">
      <c r="A95">
        <v>15741</v>
      </c>
      <c r="B95">
        <v>456660117</v>
      </c>
      <c r="C95" t="s">
        <v>1137</v>
      </c>
      <c r="D95" s="8" t="s">
        <v>1138</v>
      </c>
      <c r="E95" t="s">
        <v>644</v>
      </c>
      <c r="G95" t="s">
        <v>53</v>
      </c>
      <c r="H95" t="s">
        <v>54</v>
      </c>
      <c r="I95" t="s">
        <v>30</v>
      </c>
      <c r="J95" t="s">
        <v>55</v>
      </c>
      <c r="K95" t="s">
        <v>27</v>
      </c>
      <c r="L95" t="s">
        <v>1139</v>
      </c>
      <c r="M95" t="s">
        <v>1140</v>
      </c>
      <c r="N95" t="s">
        <v>646</v>
      </c>
      <c r="O95" t="s">
        <v>83</v>
      </c>
      <c r="P95" t="s">
        <v>1141</v>
      </c>
      <c r="Q95" t="s">
        <v>144</v>
      </c>
      <c r="R95" s="23" t="s">
        <v>1142</v>
      </c>
      <c r="S95" s="23">
        <v>46185</v>
      </c>
      <c r="T95">
        <v>2.1</v>
      </c>
      <c r="U95">
        <v>5816</v>
      </c>
      <c r="V95">
        <v>0</v>
      </c>
      <c r="W95">
        <v>5816</v>
      </c>
    </row>
    <row r="96" spans="1:23" hidden="1" x14ac:dyDescent="0.25">
      <c r="A96">
        <v>15741</v>
      </c>
      <c r="B96">
        <v>456660171</v>
      </c>
      <c r="C96" t="s">
        <v>1143</v>
      </c>
      <c r="D96" s="8" t="s">
        <v>1144</v>
      </c>
      <c r="E96" t="s">
        <v>644</v>
      </c>
      <c r="G96" t="s">
        <v>53</v>
      </c>
      <c r="H96" t="s">
        <v>54</v>
      </c>
      <c r="I96" t="s">
        <v>30</v>
      </c>
      <c r="J96" t="s">
        <v>55</v>
      </c>
      <c r="K96" t="s">
        <v>27</v>
      </c>
      <c r="L96" t="s">
        <v>1145</v>
      </c>
      <c r="M96" t="s">
        <v>1146</v>
      </c>
      <c r="N96" t="s">
        <v>646</v>
      </c>
      <c r="O96" t="s">
        <v>83</v>
      </c>
      <c r="P96" t="s">
        <v>1147</v>
      </c>
      <c r="Q96" t="s">
        <v>49</v>
      </c>
      <c r="R96" s="23" t="s">
        <v>1148</v>
      </c>
      <c r="S96" s="23">
        <v>46185</v>
      </c>
      <c r="T96">
        <v>4.9000000000000004</v>
      </c>
      <c r="U96">
        <v>7862</v>
      </c>
      <c r="V96">
        <v>0</v>
      </c>
      <c r="W96">
        <v>7862</v>
      </c>
    </row>
    <row r="97" spans="1:23" hidden="1" x14ac:dyDescent="0.25">
      <c r="A97">
        <v>15741</v>
      </c>
      <c r="B97">
        <v>456659985</v>
      </c>
      <c r="C97" t="s">
        <v>1149</v>
      </c>
      <c r="D97" s="8" t="s">
        <v>1150</v>
      </c>
      <c r="E97" t="s">
        <v>644</v>
      </c>
      <c r="G97" t="s">
        <v>53</v>
      </c>
      <c r="H97" t="s">
        <v>54</v>
      </c>
      <c r="I97" t="s">
        <v>30</v>
      </c>
      <c r="J97" t="s">
        <v>55</v>
      </c>
      <c r="K97" t="s">
        <v>27</v>
      </c>
      <c r="L97" t="s">
        <v>1151</v>
      </c>
      <c r="M97" t="s">
        <v>1152</v>
      </c>
      <c r="N97" t="s">
        <v>646</v>
      </c>
      <c r="O97" t="s">
        <v>83</v>
      </c>
      <c r="P97" t="s">
        <v>1153</v>
      </c>
      <c r="Q97" t="s">
        <v>43</v>
      </c>
      <c r="R97" s="23" t="s">
        <v>1154</v>
      </c>
      <c r="S97" s="23">
        <v>46185</v>
      </c>
      <c r="T97">
        <v>4.1100000000000003</v>
      </c>
      <c r="U97">
        <v>6450</v>
      </c>
      <c r="V97">
        <v>0</v>
      </c>
      <c r="W97">
        <v>6450</v>
      </c>
    </row>
    <row r="98" spans="1:23" hidden="1" x14ac:dyDescent="0.25">
      <c r="A98">
        <v>15741</v>
      </c>
      <c r="B98">
        <v>456659631</v>
      </c>
      <c r="C98" t="s">
        <v>1155</v>
      </c>
      <c r="D98" s="8" t="s">
        <v>1156</v>
      </c>
      <c r="E98" t="s">
        <v>644</v>
      </c>
      <c r="G98" t="s">
        <v>53</v>
      </c>
      <c r="H98" t="s">
        <v>54</v>
      </c>
      <c r="I98" t="s">
        <v>30</v>
      </c>
      <c r="J98" t="s">
        <v>55</v>
      </c>
      <c r="K98" t="s">
        <v>27</v>
      </c>
      <c r="L98" t="s">
        <v>1157</v>
      </c>
      <c r="M98" t="s">
        <v>1158</v>
      </c>
      <c r="N98" t="s">
        <v>646</v>
      </c>
      <c r="O98" t="s">
        <v>83</v>
      </c>
      <c r="P98" t="s">
        <v>1159</v>
      </c>
      <c r="Q98" t="s">
        <v>43</v>
      </c>
      <c r="R98" s="23" t="s">
        <v>634</v>
      </c>
      <c r="S98" s="23">
        <v>46185</v>
      </c>
      <c r="T98">
        <v>2</v>
      </c>
      <c r="U98">
        <v>5504</v>
      </c>
      <c r="V98">
        <v>0</v>
      </c>
      <c r="W98">
        <v>5504</v>
      </c>
    </row>
    <row r="99" spans="1:23" hidden="1" x14ac:dyDescent="0.25">
      <c r="A99">
        <v>15741</v>
      </c>
      <c r="B99">
        <v>456657241</v>
      </c>
      <c r="C99" t="s">
        <v>1160</v>
      </c>
      <c r="D99" s="8" t="s">
        <v>1161</v>
      </c>
      <c r="E99" t="s">
        <v>644</v>
      </c>
      <c r="G99" t="s">
        <v>53</v>
      </c>
      <c r="H99" t="s">
        <v>54</v>
      </c>
      <c r="I99" t="s">
        <v>30</v>
      </c>
      <c r="J99" t="s">
        <v>55</v>
      </c>
      <c r="K99" t="s">
        <v>27</v>
      </c>
      <c r="L99" t="s">
        <v>1162</v>
      </c>
      <c r="M99" t="s">
        <v>1163</v>
      </c>
      <c r="N99" t="s">
        <v>646</v>
      </c>
      <c r="O99" t="s">
        <v>83</v>
      </c>
      <c r="P99" t="s">
        <v>1164</v>
      </c>
      <c r="Q99" t="s">
        <v>69</v>
      </c>
      <c r="R99" s="23" t="s">
        <v>557</v>
      </c>
      <c r="S99" s="23">
        <v>46185</v>
      </c>
      <c r="T99">
        <v>10.7</v>
      </c>
      <c r="U99">
        <v>8357</v>
      </c>
      <c r="V99">
        <v>0</v>
      </c>
      <c r="W99">
        <v>8357</v>
      </c>
    </row>
    <row r="100" spans="1:23" hidden="1" x14ac:dyDescent="0.25">
      <c r="A100">
        <v>15741</v>
      </c>
      <c r="B100">
        <v>456656943</v>
      </c>
      <c r="C100" t="s">
        <v>1165</v>
      </c>
      <c r="D100" s="8" t="s">
        <v>1166</v>
      </c>
      <c r="E100" t="s">
        <v>644</v>
      </c>
      <c r="G100" t="s">
        <v>53</v>
      </c>
      <c r="H100" t="s">
        <v>54</v>
      </c>
      <c r="I100" t="s">
        <v>30</v>
      </c>
      <c r="J100" t="s">
        <v>55</v>
      </c>
      <c r="K100" t="s">
        <v>27</v>
      </c>
      <c r="L100" t="s">
        <v>1167</v>
      </c>
      <c r="M100" t="s">
        <v>1168</v>
      </c>
      <c r="N100" t="s">
        <v>646</v>
      </c>
      <c r="O100" t="s">
        <v>83</v>
      </c>
      <c r="P100" t="s">
        <v>1169</v>
      </c>
      <c r="Q100" t="s">
        <v>143</v>
      </c>
      <c r="R100" s="23" t="s">
        <v>260</v>
      </c>
      <c r="S100" s="23">
        <v>46185</v>
      </c>
      <c r="T100">
        <v>11.1</v>
      </c>
      <c r="U100">
        <v>8670</v>
      </c>
      <c r="V100">
        <v>0</v>
      </c>
      <c r="W100">
        <v>8670</v>
      </c>
    </row>
    <row r="101" spans="1:23" hidden="1" x14ac:dyDescent="0.25">
      <c r="A101">
        <v>15741</v>
      </c>
      <c r="B101">
        <v>456656965</v>
      </c>
      <c r="C101" t="s">
        <v>1170</v>
      </c>
      <c r="D101" s="8" t="s">
        <v>1171</v>
      </c>
      <c r="E101" t="s">
        <v>644</v>
      </c>
      <c r="G101" t="s">
        <v>53</v>
      </c>
      <c r="H101" t="s">
        <v>54</v>
      </c>
      <c r="I101" t="s">
        <v>30</v>
      </c>
      <c r="J101" t="s">
        <v>55</v>
      </c>
      <c r="K101" t="s">
        <v>27</v>
      </c>
      <c r="L101" t="s">
        <v>1172</v>
      </c>
      <c r="M101" t="s">
        <v>1173</v>
      </c>
      <c r="N101" t="s">
        <v>646</v>
      </c>
      <c r="O101" t="s">
        <v>83</v>
      </c>
      <c r="P101" t="s">
        <v>1174</v>
      </c>
      <c r="Q101" t="s">
        <v>70</v>
      </c>
      <c r="R101" s="23" t="s">
        <v>182</v>
      </c>
      <c r="S101" s="23">
        <v>46185</v>
      </c>
      <c r="T101">
        <v>10.7</v>
      </c>
      <c r="U101">
        <v>8357</v>
      </c>
      <c r="V101">
        <v>0</v>
      </c>
      <c r="W101">
        <v>8357</v>
      </c>
    </row>
    <row r="102" spans="1:23" hidden="1" x14ac:dyDescent="0.25">
      <c r="A102">
        <v>15741</v>
      </c>
      <c r="B102">
        <v>456656918</v>
      </c>
      <c r="C102" t="s">
        <v>1175</v>
      </c>
      <c r="D102" s="8" t="s">
        <v>1176</v>
      </c>
      <c r="E102" t="s">
        <v>644</v>
      </c>
      <c r="G102" t="s">
        <v>53</v>
      </c>
      <c r="H102" t="s">
        <v>54</v>
      </c>
      <c r="I102" t="s">
        <v>30</v>
      </c>
      <c r="J102" t="s">
        <v>55</v>
      </c>
      <c r="K102" t="s">
        <v>27</v>
      </c>
      <c r="L102" t="s">
        <v>1177</v>
      </c>
      <c r="M102" t="s">
        <v>1178</v>
      </c>
      <c r="N102" t="s">
        <v>646</v>
      </c>
      <c r="O102" t="s">
        <v>83</v>
      </c>
      <c r="P102" t="s">
        <v>1179</v>
      </c>
      <c r="Q102" t="s">
        <v>44</v>
      </c>
      <c r="R102" s="23" t="s">
        <v>1180</v>
      </c>
      <c r="S102" s="23">
        <v>46185</v>
      </c>
      <c r="T102">
        <v>11.1</v>
      </c>
      <c r="U102">
        <v>8670</v>
      </c>
      <c r="V102">
        <v>0</v>
      </c>
      <c r="W102">
        <v>8670</v>
      </c>
    </row>
    <row r="103" spans="1:23" hidden="1" x14ac:dyDescent="0.25">
      <c r="A103">
        <v>15741</v>
      </c>
      <c r="B103">
        <v>456659695</v>
      </c>
      <c r="C103" t="s">
        <v>1181</v>
      </c>
      <c r="D103" s="8" t="s">
        <v>1182</v>
      </c>
      <c r="E103" t="s">
        <v>644</v>
      </c>
      <c r="G103" t="s">
        <v>53</v>
      </c>
      <c r="H103" t="s">
        <v>54</v>
      </c>
      <c r="I103" t="s">
        <v>30</v>
      </c>
      <c r="J103" t="s">
        <v>55</v>
      </c>
      <c r="K103" t="s">
        <v>27</v>
      </c>
      <c r="L103" t="s">
        <v>1183</v>
      </c>
      <c r="M103" t="s">
        <v>1184</v>
      </c>
      <c r="N103" t="s">
        <v>646</v>
      </c>
      <c r="O103" t="s">
        <v>83</v>
      </c>
      <c r="P103" t="s">
        <v>1185</v>
      </c>
      <c r="Q103" t="s">
        <v>69</v>
      </c>
      <c r="R103" s="23" t="s">
        <v>472</v>
      </c>
      <c r="S103" s="23">
        <v>46185</v>
      </c>
      <c r="T103">
        <v>2.1</v>
      </c>
      <c r="U103">
        <v>5816</v>
      </c>
      <c r="V103">
        <v>0</v>
      </c>
      <c r="W103">
        <v>5816</v>
      </c>
    </row>
    <row r="104" spans="1:23" hidden="1" x14ac:dyDescent="0.25">
      <c r="A104">
        <v>15741</v>
      </c>
      <c r="B104">
        <v>456659855</v>
      </c>
      <c r="C104" t="s">
        <v>1186</v>
      </c>
      <c r="D104" s="8" t="s">
        <v>1187</v>
      </c>
      <c r="E104" t="s">
        <v>644</v>
      </c>
      <c r="G104" t="s">
        <v>53</v>
      </c>
      <c r="H104" t="s">
        <v>54</v>
      </c>
      <c r="I104" t="s">
        <v>30</v>
      </c>
      <c r="J104" t="s">
        <v>55</v>
      </c>
      <c r="K104" t="s">
        <v>27</v>
      </c>
      <c r="L104" t="s">
        <v>1188</v>
      </c>
      <c r="M104" t="s">
        <v>1189</v>
      </c>
      <c r="N104" t="s">
        <v>646</v>
      </c>
      <c r="O104" t="s">
        <v>83</v>
      </c>
      <c r="P104" t="s">
        <v>1190</v>
      </c>
      <c r="Q104" t="s">
        <v>47</v>
      </c>
      <c r="R104" s="23" t="s">
        <v>611</v>
      </c>
      <c r="S104" s="23">
        <v>46185</v>
      </c>
      <c r="T104">
        <v>4.12</v>
      </c>
      <c r="U104">
        <v>6450</v>
      </c>
      <c r="V104">
        <v>0</v>
      </c>
      <c r="W104">
        <v>6450</v>
      </c>
    </row>
    <row r="105" spans="1:23" hidden="1" x14ac:dyDescent="0.25">
      <c r="A105">
        <v>15741</v>
      </c>
      <c r="B105">
        <v>456656681</v>
      </c>
      <c r="C105" t="s">
        <v>1191</v>
      </c>
      <c r="D105" s="8" t="s">
        <v>1192</v>
      </c>
      <c r="E105" t="s">
        <v>644</v>
      </c>
      <c r="G105" t="s">
        <v>53</v>
      </c>
      <c r="H105" t="s">
        <v>54</v>
      </c>
      <c r="I105" t="s">
        <v>30</v>
      </c>
      <c r="J105" t="s">
        <v>55</v>
      </c>
      <c r="K105" t="s">
        <v>27</v>
      </c>
      <c r="L105" t="s">
        <v>1193</v>
      </c>
      <c r="M105" t="s">
        <v>1194</v>
      </c>
      <c r="N105" t="s">
        <v>646</v>
      </c>
      <c r="O105" t="s">
        <v>83</v>
      </c>
      <c r="P105" t="s">
        <v>1195</v>
      </c>
      <c r="Q105" t="s">
        <v>58</v>
      </c>
      <c r="R105" s="23" t="s">
        <v>1196</v>
      </c>
      <c r="S105" s="23">
        <v>46185</v>
      </c>
      <c r="T105">
        <v>16</v>
      </c>
      <c r="U105">
        <v>10061</v>
      </c>
      <c r="V105">
        <v>0</v>
      </c>
      <c r="W105">
        <v>10061</v>
      </c>
    </row>
    <row r="106" spans="1:23" hidden="1" x14ac:dyDescent="0.25">
      <c r="A106">
        <v>15741</v>
      </c>
      <c r="B106">
        <v>456656799</v>
      </c>
      <c r="C106" t="s">
        <v>1197</v>
      </c>
      <c r="D106" s="8" t="s">
        <v>1198</v>
      </c>
      <c r="E106" t="s">
        <v>644</v>
      </c>
      <c r="G106" t="s">
        <v>53</v>
      </c>
      <c r="H106" t="s">
        <v>54</v>
      </c>
      <c r="I106" t="s">
        <v>30</v>
      </c>
      <c r="J106" t="s">
        <v>55</v>
      </c>
      <c r="K106" t="s">
        <v>27</v>
      </c>
      <c r="L106" t="s">
        <v>1199</v>
      </c>
      <c r="M106" t="s">
        <v>1200</v>
      </c>
      <c r="N106" t="s">
        <v>646</v>
      </c>
      <c r="O106" t="s">
        <v>83</v>
      </c>
      <c r="P106" t="s">
        <v>1201</v>
      </c>
      <c r="Q106" t="s">
        <v>50</v>
      </c>
      <c r="R106" s="23" t="s">
        <v>1202</v>
      </c>
      <c r="S106" s="23">
        <v>46185</v>
      </c>
      <c r="T106">
        <v>14.8</v>
      </c>
      <c r="U106">
        <v>9628</v>
      </c>
      <c r="V106">
        <v>0</v>
      </c>
      <c r="W106">
        <v>9628</v>
      </c>
    </row>
    <row r="107" spans="1:23" hidden="1" x14ac:dyDescent="0.25">
      <c r="A107">
        <v>15741</v>
      </c>
      <c r="B107">
        <v>456659916</v>
      </c>
      <c r="C107" t="s">
        <v>1203</v>
      </c>
      <c r="D107" s="8" t="s">
        <v>1204</v>
      </c>
      <c r="E107" t="s">
        <v>644</v>
      </c>
      <c r="G107" t="s">
        <v>53</v>
      </c>
      <c r="H107" t="s">
        <v>54</v>
      </c>
      <c r="I107" t="s">
        <v>30</v>
      </c>
      <c r="J107" t="s">
        <v>55</v>
      </c>
      <c r="K107" t="s">
        <v>27</v>
      </c>
      <c r="L107" t="s">
        <v>1205</v>
      </c>
      <c r="M107" t="s">
        <v>1206</v>
      </c>
      <c r="N107" t="s">
        <v>646</v>
      </c>
      <c r="O107" t="s">
        <v>83</v>
      </c>
      <c r="P107" t="s">
        <v>1207</v>
      </c>
      <c r="Q107" t="s">
        <v>187</v>
      </c>
      <c r="R107" s="23" t="s">
        <v>611</v>
      </c>
      <c r="S107" s="23">
        <v>46185</v>
      </c>
      <c r="T107">
        <v>2.1</v>
      </c>
      <c r="U107">
        <v>5816</v>
      </c>
      <c r="V107">
        <v>0</v>
      </c>
      <c r="W107">
        <v>5816</v>
      </c>
    </row>
    <row r="108" spans="1:23" hidden="1" x14ac:dyDescent="0.25">
      <c r="A108">
        <v>15741</v>
      </c>
      <c r="B108">
        <v>456657174</v>
      </c>
      <c r="C108" t="s">
        <v>1208</v>
      </c>
      <c r="D108" s="8" t="s">
        <v>1209</v>
      </c>
      <c r="E108" t="s">
        <v>644</v>
      </c>
      <c r="G108" t="s">
        <v>53</v>
      </c>
      <c r="H108" t="s">
        <v>54</v>
      </c>
      <c r="I108" t="s">
        <v>30</v>
      </c>
      <c r="J108" t="s">
        <v>55</v>
      </c>
      <c r="K108" t="s">
        <v>27</v>
      </c>
      <c r="L108" t="s">
        <v>1210</v>
      </c>
      <c r="M108" t="s">
        <v>1211</v>
      </c>
      <c r="N108" t="s">
        <v>646</v>
      </c>
      <c r="O108" t="s">
        <v>83</v>
      </c>
      <c r="P108" t="s">
        <v>1212</v>
      </c>
      <c r="Q108" t="s">
        <v>43</v>
      </c>
      <c r="R108" s="23" t="s">
        <v>471</v>
      </c>
      <c r="S108" s="23">
        <v>46185</v>
      </c>
      <c r="T108">
        <v>21.2</v>
      </c>
      <c r="U108">
        <v>11106</v>
      </c>
      <c r="V108">
        <v>0</v>
      </c>
      <c r="W108">
        <v>11106</v>
      </c>
    </row>
    <row r="109" spans="1:23" hidden="1" x14ac:dyDescent="0.25">
      <c r="A109">
        <v>15741</v>
      </c>
      <c r="B109">
        <v>456660231</v>
      </c>
      <c r="C109" t="s">
        <v>1213</v>
      </c>
      <c r="D109" s="8" t="s">
        <v>1214</v>
      </c>
      <c r="E109" t="s">
        <v>644</v>
      </c>
      <c r="G109" t="s">
        <v>53</v>
      </c>
      <c r="H109" t="s">
        <v>54</v>
      </c>
      <c r="I109" t="s">
        <v>30</v>
      </c>
      <c r="J109" t="s">
        <v>55</v>
      </c>
      <c r="K109" t="s">
        <v>27</v>
      </c>
      <c r="L109" t="s">
        <v>1215</v>
      </c>
      <c r="M109" t="s">
        <v>1216</v>
      </c>
      <c r="N109" t="s">
        <v>646</v>
      </c>
      <c r="O109" t="s">
        <v>83</v>
      </c>
      <c r="P109" t="s">
        <v>1217</v>
      </c>
      <c r="Q109" t="s">
        <v>50</v>
      </c>
      <c r="R109" s="23" t="s">
        <v>1218</v>
      </c>
      <c r="S109" s="23">
        <v>46185</v>
      </c>
      <c r="T109">
        <v>2</v>
      </c>
      <c r="U109">
        <v>5504</v>
      </c>
      <c r="V109">
        <v>0</v>
      </c>
      <c r="W109">
        <v>5504</v>
      </c>
    </row>
    <row r="110" spans="1:23" hidden="1" x14ac:dyDescent="0.25">
      <c r="A110">
        <v>15741</v>
      </c>
      <c r="B110">
        <v>456657104</v>
      </c>
      <c r="C110" t="s">
        <v>1219</v>
      </c>
      <c r="D110" s="8" t="s">
        <v>1220</v>
      </c>
      <c r="E110" t="s">
        <v>644</v>
      </c>
      <c r="G110" t="s">
        <v>53</v>
      </c>
      <c r="H110" t="s">
        <v>54</v>
      </c>
      <c r="I110" t="s">
        <v>30</v>
      </c>
      <c r="J110" t="s">
        <v>55</v>
      </c>
      <c r="K110" t="s">
        <v>27</v>
      </c>
      <c r="L110" t="s">
        <v>1221</v>
      </c>
      <c r="M110" t="s">
        <v>1222</v>
      </c>
      <c r="N110" t="s">
        <v>646</v>
      </c>
      <c r="O110" t="s">
        <v>83</v>
      </c>
      <c r="P110" t="s">
        <v>1223</v>
      </c>
      <c r="Q110" t="s">
        <v>68</v>
      </c>
      <c r="R110" s="23" t="s">
        <v>630</v>
      </c>
      <c r="S110" s="23">
        <v>46185</v>
      </c>
      <c r="T110">
        <v>11.1</v>
      </c>
      <c r="U110">
        <v>8670</v>
      </c>
      <c r="V110">
        <v>0</v>
      </c>
      <c r="W110">
        <v>8670</v>
      </c>
    </row>
    <row r="111" spans="1:23" hidden="1" x14ac:dyDescent="0.25">
      <c r="A111">
        <v>15741</v>
      </c>
      <c r="B111">
        <v>455582101</v>
      </c>
      <c r="C111" t="s">
        <v>1224</v>
      </c>
      <c r="D111" s="8" t="s">
        <v>1225</v>
      </c>
      <c r="E111" t="s">
        <v>644</v>
      </c>
      <c r="G111" t="s">
        <v>53</v>
      </c>
      <c r="H111" t="s">
        <v>54</v>
      </c>
      <c r="I111" t="s">
        <v>30</v>
      </c>
      <c r="J111" t="s">
        <v>55</v>
      </c>
      <c r="K111" t="s">
        <v>27</v>
      </c>
      <c r="L111" t="s">
        <v>1226</v>
      </c>
      <c r="M111" t="s">
        <v>1227</v>
      </c>
      <c r="N111" t="s">
        <v>646</v>
      </c>
      <c r="O111" t="s">
        <v>83</v>
      </c>
      <c r="P111" t="s">
        <v>1228</v>
      </c>
      <c r="Q111" t="s">
        <v>52</v>
      </c>
      <c r="R111" s="23" t="s">
        <v>344</v>
      </c>
      <c r="S111" s="23">
        <v>46174</v>
      </c>
      <c r="T111">
        <v>14.69</v>
      </c>
      <c r="U111">
        <v>9628</v>
      </c>
      <c r="V111">
        <v>0</v>
      </c>
      <c r="W111">
        <v>9628</v>
      </c>
    </row>
    <row r="112" spans="1:23" x14ac:dyDescent="0.25">
      <c r="A112">
        <v>15741</v>
      </c>
      <c r="B112">
        <v>456551706</v>
      </c>
      <c r="C112" t="s">
        <v>1229</v>
      </c>
      <c r="D112" s="8" t="s">
        <v>1230</v>
      </c>
      <c r="E112" t="s">
        <v>644</v>
      </c>
      <c r="G112" t="s">
        <v>53</v>
      </c>
      <c r="H112" t="s">
        <v>54</v>
      </c>
      <c r="I112" t="s">
        <v>30</v>
      </c>
      <c r="J112" t="s">
        <v>55</v>
      </c>
      <c r="K112" t="s">
        <v>27</v>
      </c>
      <c r="L112" t="s">
        <v>1231</v>
      </c>
      <c r="M112" t="s">
        <v>1232</v>
      </c>
      <c r="N112" t="s">
        <v>646</v>
      </c>
      <c r="O112" t="s">
        <v>83</v>
      </c>
      <c r="P112" t="s">
        <v>1233</v>
      </c>
      <c r="Q112" t="s">
        <v>143</v>
      </c>
      <c r="R112" s="23" t="s">
        <v>475</v>
      </c>
      <c r="S112" s="23">
        <v>46183</v>
      </c>
      <c r="T112">
        <v>37.799999999999997</v>
      </c>
      <c r="U112">
        <v>15162</v>
      </c>
      <c r="V112">
        <v>0</v>
      </c>
      <c r="W112">
        <v>15162</v>
      </c>
    </row>
    <row r="113" spans="1:23" hidden="1" x14ac:dyDescent="0.25">
      <c r="A113">
        <v>15741</v>
      </c>
      <c r="B113">
        <v>456657406</v>
      </c>
      <c r="C113" t="s">
        <v>1234</v>
      </c>
      <c r="D113" s="8" t="s">
        <v>1235</v>
      </c>
      <c r="E113" t="s">
        <v>644</v>
      </c>
      <c r="G113" t="s">
        <v>53</v>
      </c>
      <c r="H113" t="s">
        <v>54</v>
      </c>
      <c r="I113" t="s">
        <v>30</v>
      </c>
      <c r="J113" t="s">
        <v>55</v>
      </c>
      <c r="K113" t="s">
        <v>27</v>
      </c>
      <c r="L113" t="s">
        <v>1236</v>
      </c>
      <c r="M113" t="s">
        <v>1237</v>
      </c>
      <c r="N113" t="s">
        <v>646</v>
      </c>
      <c r="O113" t="s">
        <v>83</v>
      </c>
      <c r="P113" t="s">
        <v>1238</v>
      </c>
      <c r="Q113" t="s">
        <v>45</v>
      </c>
      <c r="R113" s="23" t="s">
        <v>1239</v>
      </c>
      <c r="S113" s="23">
        <v>46185</v>
      </c>
      <c r="T113">
        <v>14.7</v>
      </c>
      <c r="U113">
        <v>9628</v>
      </c>
      <c r="V113">
        <v>0</v>
      </c>
      <c r="W113">
        <v>9628</v>
      </c>
    </row>
    <row r="114" spans="1:23" hidden="1" x14ac:dyDescent="0.25">
      <c r="A114">
        <v>15741</v>
      </c>
      <c r="B114">
        <v>456660051</v>
      </c>
      <c r="C114" t="s">
        <v>1240</v>
      </c>
      <c r="D114" s="8" t="s">
        <v>1241</v>
      </c>
      <c r="E114" t="s">
        <v>644</v>
      </c>
      <c r="G114" t="s">
        <v>53</v>
      </c>
      <c r="H114" t="s">
        <v>54</v>
      </c>
      <c r="I114" t="s">
        <v>30</v>
      </c>
      <c r="J114" t="s">
        <v>55</v>
      </c>
      <c r="K114" t="s">
        <v>27</v>
      </c>
      <c r="L114" t="s">
        <v>1242</v>
      </c>
      <c r="M114" t="s">
        <v>1243</v>
      </c>
      <c r="N114" t="s">
        <v>646</v>
      </c>
      <c r="O114" t="s">
        <v>83</v>
      </c>
      <c r="P114" t="s">
        <v>1244</v>
      </c>
      <c r="Q114" t="s">
        <v>161</v>
      </c>
      <c r="R114" s="23" t="s">
        <v>1125</v>
      </c>
      <c r="S114" s="23">
        <v>46185</v>
      </c>
      <c r="T114">
        <v>2</v>
      </c>
      <c r="U114">
        <v>10319</v>
      </c>
      <c r="V114">
        <v>0</v>
      </c>
      <c r="W114">
        <v>10319</v>
      </c>
    </row>
    <row r="115" spans="1:23" x14ac:dyDescent="0.25">
      <c r="A115">
        <v>15741</v>
      </c>
      <c r="B115">
        <v>456570957</v>
      </c>
      <c r="C115" t="s">
        <v>1245</v>
      </c>
      <c r="D115" s="8" t="s">
        <v>1246</v>
      </c>
      <c r="E115" t="s">
        <v>644</v>
      </c>
      <c r="G115" t="s">
        <v>53</v>
      </c>
      <c r="H115" t="s">
        <v>54</v>
      </c>
      <c r="I115" t="s">
        <v>30</v>
      </c>
      <c r="J115" t="s">
        <v>55</v>
      </c>
      <c r="K115" t="s">
        <v>27</v>
      </c>
      <c r="L115" t="s">
        <v>1247</v>
      </c>
      <c r="M115" t="s">
        <v>1248</v>
      </c>
      <c r="N115" t="s">
        <v>646</v>
      </c>
      <c r="O115" t="s">
        <v>83</v>
      </c>
      <c r="P115" t="s">
        <v>1249</v>
      </c>
      <c r="Q115" t="s">
        <v>78</v>
      </c>
      <c r="R115" s="23" t="s">
        <v>1250</v>
      </c>
      <c r="S115" s="23">
        <v>46183</v>
      </c>
      <c r="T115">
        <v>20.3</v>
      </c>
      <c r="U115">
        <v>10802</v>
      </c>
      <c r="V115">
        <v>0</v>
      </c>
      <c r="W115">
        <v>10802</v>
      </c>
    </row>
    <row r="116" spans="1:23" hidden="1" x14ac:dyDescent="0.25">
      <c r="A116">
        <v>15741</v>
      </c>
      <c r="B116">
        <v>456256402</v>
      </c>
      <c r="C116" t="s">
        <v>1251</v>
      </c>
      <c r="D116" s="8" t="s">
        <v>1252</v>
      </c>
      <c r="E116" t="s">
        <v>644</v>
      </c>
      <c r="G116" t="s">
        <v>53</v>
      </c>
      <c r="H116" t="s">
        <v>54</v>
      </c>
      <c r="I116" t="s">
        <v>30</v>
      </c>
      <c r="J116" t="s">
        <v>55</v>
      </c>
      <c r="K116" t="s">
        <v>27</v>
      </c>
      <c r="L116" t="s">
        <v>1253</v>
      </c>
      <c r="M116" t="s">
        <v>1254</v>
      </c>
      <c r="N116" t="s">
        <v>646</v>
      </c>
      <c r="O116" t="s">
        <v>83</v>
      </c>
      <c r="P116" t="s">
        <v>1255</v>
      </c>
      <c r="Q116" t="s">
        <v>188</v>
      </c>
      <c r="R116" s="23" t="s">
        <v>280</v>
      </c>
      <c r="S116" s="23">
        <v>46177</v>
      </c>
      <c r="T116">
        <v>39.17</v>
      </c>
      <c r="U116">
        <v>15962</v>
      </c>
      <c r="V116">
        <v>0</v>
      </c>
      <c r="W116">
        <v>15962</v>
      </c>
    </row>
    <row r="117" spans="1:23" hidden="1" x14ac:dyDescent="0.25">
      <c r="A117">
        <v>15741</v>
      </c>
      <c r="B117">
        <v>456648858</v>
      </c>
      <c r="C117" t="s">
        <v>1256</v>
      </c>
      <c r="D117" s="8" t="s">
        <v>1257</v>
      </c>
      <c r="E117" t="s">
        <v>644</v>
      </c>
      <c r="G117" t="s">
        <v>53</v>
      </c>
      <c r="H117" t="s">
        <v>54</v>
      </c>
      <c r="I117" t="s">
        <v>30</v>
      </c>
      <c r="J117" t="s">
        <v>55</v>
      </c>
      <c r="K117" t="s">
        <v>27</v>
      </c>
      <c r="L117" t="s">
        <v>1258</v>
      </c>
      <c r="M117" t="s">
        <v>1259</v>
      </c>
      <c r="N117" t="s">
        <v>646</v>
      </c>
      <c r="O117" t="s">
        <v>83</v>
      </c>
      <c r="P117" t="s">
        <v>1260</v>
      </c>
      <c r="Q117" t="s">
        <v>94</v>
      </c>
      <c r="R117" s="23" t="s">
        <v>123</v>
      </c>
      <c r="S117" s="23">
        <v>46185</v>
      </c>
      <c r="T117">
        <v>24.3</v>
      </c>
      <c r="U117">
        <v>21930</v>
      </c>
      <c r="V117">
        <v>0</v>
      </c>
      <c r="W117">
        <v>21930</v>
      </c>
    </row>
    <row r="118" spans="1:23" x14ac:dyDescent="0.25">
      <c r="A118">
        <v>15741</v>
      </c>
      <c r="B118">
        <v>456571284</v>
      </c>
      <c r="C118" t="s">
        <v>1261</v>
      </c>
      <c r="D118" s="8" t="s">
        <v>1262</v>
      </c>
      <c r="E118" t="s">
        <v>644</v>
      </c>
      <c r="G118" t="s">
        <v>53</v>
      </c>
      <c r="H118" t="s">
        <v>54</v>
      </c>
      <c r="I118" t="s">
        <v>30</v>
      </c>
      <c r="J118" t="s">
        <v>55</v>
      </c>
      <c r="K118" t="s">
        <v>27</v>
      </c>
      <c r="L118" t="s">
        <v>1263</v>
      </c>
      <c r="M118" t="s">
        <v>1264</v>
      </c>
      <c r="N118" t="s">
        <v>646</v>
      </c>
      <c r="O118" t="s">
        <v>83</v>
      </c>
      <c r="P118" t="s">
        <v>1265</v>
      </c>
      <c r="Q118" t="s">
        <v>50</v>
      </c>
      <c r="R118" s="23" t="s">
        <v>1266</v>
      </c>
      <c r="S118" s="23">
        <v>46183</v>
      </c>
      <c r="T118">
        <v>12</v>
      </c>
      <c r="U118">
        <v>8670</v>
      </c>
      <c r="V118">
        <v>0</v>
      </c>
      <c r="W118">
        <v>8670</v>
      </c>
    </row>
    <row r="119" spans="1:23" x14ac:dyDescent="0.25">
      <c r="A119">
        <v>15741</v>
      </c>
      <c r="B119">
        <v>456494449</v>
      </c>
      <c r="C119" t="s">
        <v>1267</v>
      </c>
      <c r="D119" s="8" t="s">
        <v>1268</v>
      </c>
      <c r="E119" t="s">
        <v>644</v>
      </c>
      <c r="G119" t="s">
        <v>53</v>
      </c>
      <c r="H119" t="s">
        <v>54</v>
      </c>
      <c r="I119" t="s">
        <v>30</v>
      </c>
      <c r="J119" t="s">
        <v>55</v>
      </c>
      <c r="K119" t="s">
        <v>27</v>
      </c>
      <c r="L119" t="s">
        <v>1269</v>
      </c>
      <c r="M119" t="s">
        <v>1270</v>
      </c>
      <c r="N119" t="s">
        <v>646</v>
      </c>
      <c r="O119" t="s">
        <v>83</v>
      </c>
      <c r="P119" t="s">
        <v>1271</v>
      </c>
      <c r="Q119" t="s">
        <v>78</v>
      </c>
      <c r="R119" s="23" t="s">
        <v>350</v>
      </c>
      <c r="S119" s="23">
        <v>46182</v>
      </c>
      <c r="T119">
        <v>1</v>
      </c>
      <c r="U119">
        <v>5192</v>
      </c>
      <c r="V119">
        <v>0</v>
      </c>
      <c r="W119">
        <v>5192</v>
      </c>
    </row>
    <row r="120" spans="1:23" hidden="1" x14ac:dyDescent="0.25">
      <c r="A120">
        <v>15741</v>
      </c>
      <c r="B120">
        <v>456648710</v>
      </c>
      <c r="C120" t="s">
        <v>1272</v>
      </c>
      <c r="D120" s="8" t="s">
        <v>1273</v>
      </c>
      <c r="E120" t="s">
        <v>644</v>
      </c>
      <c r="G120" t="s">
        <v>53</v>
      </c>
      <c r="H120" t="s">
        <v>54</v>
      </c>
      <c r="I120" t="s">
        <v>30</v>
      </c>
      <c r="J120" t="s">
        <v>55</v>
      </c>
      <c r="K120" t="s">
        <v>27</v>
      </c>
      <c r="L120" t="s">
        <v>1274</v>
      </c>
      <c r="M120" t="s">
        <v>1275</v>
      </c>
      <c r="N120" t="s">
        <v>646</v>
      </c>
      <c r="O120" t="s">
        <v>83</v>
      </c>
      <c r="P120" t="s">
        <v>1276</v>
      </c>
      <c r="Q120" t="s">
        <v>105</v>
      </c>
      <c r="R120" s="23" t="s">
        <v>1277</v>
      </c>
      <c r="S120" s="23">
        <v>46185</v>
      </c>
      <c r="T120">
        <v>0.5</v>
      </c>
      <c r="U120">
        <v>5800</v>
      </c>
      <c r="V120">
        <v>0</v>
      </c>
      <c r="W120">
        <v>5800</v>
      </c>
    </row>
    <row r="121" spans="1:23" x14ac:dyDescent="0.25">
      <c r="A121">
        <v>15741</v>
      </c>
      <c r="B121">
        <v>456573371</v>
      </c>
      <c r="C121" t="s">
        <v>1278</v>
      </c>
      <c r="D121" s="8" t="s">
        <v>1279</v>
      </c>
      <c r="E121" t="s">
        <v>644</v>
      </c>
      <c r="G121" t="s">
        <v>53</v>
      </c>
      <c r="H121" t="s">
        <v>54</v>
      </c>
      <c r="I121" t="s">
        <v>30</v>
      </c>
      <c r="J121" t="s">
        <v>55</v>
      </c>
      <c r="K121" t="s">
        <v>27</v>
      </c>
      <c r="L121" t="s">
        <v>1280</v>
      </c>
      <c r="M121" t="s">
        <v>1281</v>
      </c>
      <c r="N121" t="s">
        <v>646</v>
      </c>
      <c r="O121" t="s">
        <v>83</v>
      </c>
      <c r="P121" t="s">
        <v>1282</v>
      </c>
      <c r="Q121" t="s">
        <v>44</v>
      </c>
      <c r="R121" s="23" t="s">
        <v>1283</v>
      </c>
      <c r="S121" s="23">
        <v>46183</v>
      </c>
      <c r="T121">
        <v>2.1</v>
      </c>
      <c r="U121">
        <v>5816</v>
      </c>
      <c r="V121">
        <v>0</v>
      </c>
      <c r="W121">
        <v>5816</v>
      </c>
    </row>
    <row r="122" spans="1:23" x14ac:dyDescent="0.25">
      <c r="A122">
        <v>15741</v>
      </c>
      <c r="B122">
        <v>456572571</v>
      </c>
      <c r="C122" t="s">
        <v>1284</v>
      </c>
      <c r="D122" s="8" t="s">
        <v>1285</v>
      </c>
      <c r="E122" t="s">
        <v>644</v>
      </c>
      <c r="G122" t="s">
        <v>53</v>
      </c>
      <c r="H122" t="s">
        <v>54</v>
      </c>
      <c r="I122" t="s">
        <v>30</v>
      </c>
      <c r="J122" t="s">
        <v>55</v>
      </c>
      <c r="K122" t="s">
        <v>37</v>
      </c>
      <c r="L122" t="s">
        <v>60</v>
      </c>
      <c r="M122" t="s">
        <v>1286</v>
      </c>
      <c r="N122" t="s">
        <v>646</v>
      </c>
      <c r="O122" t="s">
        <v>83</v>
      </c>
      <c r="P122" t="s">
        <v>1287</v>
      </c>
      <c r="Q122" t="s">
        <v>44</v>
      </c>
      <c r="R122" s="23" t="s">
        <v>530</v>
      </c>
      <c r="S122" s="23">
        <v>46183</v>
      </c>
      <c r="T122">
        <v>25.4</v>
      </c>
      <c r="U122">
        <v>12297</v>
      </c>
      <c r="V122">
        <v>0</v>
      </c>
      <c r="W122">
        <v>12297</v>
      </c>
    </row>
    <row r="123" spans="1:23" x14ac:dyDescent="0.25">
      <c r="A123">
        <v>15741</v>
      </c>
      <c r="B123">
        <v>456571174</v>
      </c>
      <c r="C123" t="s">
        <v>1288</v>
      </c>
      <c r="D123" s="8" t="s">
        <v>1289</v>
      </c>
      <c r="E123" t="s">
        <v>644</v>
      </c>
      <c r="G123" t="s">
        <v>53</v>
      </c>
      <c r="H123" t="s">
        <v>54</v>
      </c>
      <c r="I123" t="s">
        <v>30</v>
      </c>
      <c r="J123" t="s">
        <v>55</v>
      </c>
      <c r="K123" t="s">
        <v>27</v>
      </c>
      <c r="L123" t="s">
        <v>1290</v>
      </c>
      <c r="M123" t="s">
        <v>1291</v>
      </c>
      <c r="N123" t="s">
        <v>646</v>
      </c>
      <c r="O123" t="s">
        <v>83</v>
      </c>
      <c r="P123" t="s">
        <v>1292</v>
      </c>
      <c r="Q123" t="s">
        <v>48</v>
      </c>
      <c r="R123" s="23" t="s">
        <v>632</v>
      </c>
      <c r="S123" s="23">
        <v>46183</v>
      </c>
      <c r="T123">
        <v>12</v>
      </c>
      <c r="U123">
        <v>8670</v>
      </c>
      <c r="V123">
        <v>0</v>
      </c>
      <c r="W123">
        <v>8670</v>
      </c>
    </row>
    <row r="124" spans="1:23" x14ac:dyDescent="0.25">
      <c r="A124">
        <v>15741</v>
      </c>
      <c r="B124">
        <v>456496778</v>
      </c>
      <c r="C124" t="s">
        <v>1293</v>
      </c>
      <c r="D124" s="8" t="s">
        <v>1294</v>
      </c>
      <c r="E124" t="s">
        <v>644</v>
      </c>
      <c r="G124" t="s">
        <v>53</v>
      </c>
      <c r="H124" t="s">
        <v>54</v>
      </c>
      <c r="I124" t="s">
        <v>30</v>
      </c>
      <c r="J124" t="s">
        <v>55</v>
      </c>
      <c r="K124" t="s">
        <v>27</v>
      </c>
      <c r="L124" t="s">
        <v>1295</v>
      </c>
      <c r="M124" t="s">
        <v>1296</v>
      </c>
      <c r="N124" t="s">
        <v>646</v>
      </c>
      <c r="O124" t="s">
        <v>83</v>
      </c>
      <c r="P124" t="s">
        <v>1297</v>
      </c>
      <c r="Q124" t="s">
        <v>86</v>
      </c>
      <c r="R124" s="23" t="s">
        <v>1298</v>
      </c>
      <c r="S124" s="23">
        <v>46182</v>
      </c>
      <c r="T124">
        <v>2</v>
      </c>
      <c r="U124">
        <v>5504</v>
      </c>
      <c r="V124">
        <v>0</v>
      </c>
      <c r="W124">
        <v>5504</v>
      </c>
    </row>
    <row r="125" spans="1:23" hidden="1" x14ac:dyDescent="0.25">
      <c r="A125">
        <v>15741</v>
      </c>
      <c r="B125">
        <v>456252681</v>
      </c>
      <c r="C125" t="s">
        <v>576</v>
      </c>
      <c r="D125" s="8" t="s">
        <v>1299</v>
      </c>
      <c r="E125" t="s">
        <v>644</v>
      </c>
      <c r="G125" t="s">
        <v>53</v>
      </c>
      <c r="H125" t="s">
        <v>54</v>
      </c>
      <c r="I125" t="s">
        <v>30</v>
      </c>
      <c r="J125" t="s">
        <v>55</v>
      </c>
      <c r="K125" t="s">
        <v>27</v>
      </c>
      <c r="L125" t="s">
        <v>1300</v>
      </c>
      <c r="M125" t="s">
        <v>1301</v>
      </c>
      <c r="N125" t="s">
        <v>646</v>
      </c>
      <c r="O125" t="s">
        <v>83</v>
      </c>
      <c r="P125" t="s">
        <v>1302</v>
      </c>
      <c r="Q125" t="s">
        <v>308</v>
      </c>
      <c r="R125" s="23" t="s">
        <v>1303</v>
      </c>
      <c r="S125" s="23">
        <v>46177</v>
      </c>
      <c r="T125">
        <v>209.8</v>
      </c>
      <c r="U125">
        <v>129442</v>
      </c>
      <c r="V125">
        <v>10199.94</v>
      </c>
      <c r="W125">
        <v>139641.94</v>
      </c>
    </row>
    <row r="126" spans="1:23" x14ac:dyDescent="0.25">
      <c r="A126">
        <v>15741</v>
      </c>
      <c r="B126">
        <v>456571358</v>
      </c>
      <c r="C126" t="s">
        <v>1304</v>
      </c>
      <c r="D126" s="8" t="s">
        <v>1305</v>
      </c>
      <c r="E126" t="s">
        <v>644</v>
      </c>
      <c r="G126" t="s">
        <v>53</v>
      </c>
      <c r="H126" t="s">
        <v>54</v>
      </c>
      <c r="I126" t="s">
        <v>30</v>
      </c>
      <c r="J126" t="s">
        <v>55</v>
      </c>
      <c r="K126" t="s">
        <v>27</v>
      </c>
      <c r="L126" t="s">
        <v>1306</v>
      </c>
      <c r="M126" t="s">
        <v>1307</v>
      </c>
      <c r="N126" t="s">
        <v>646</v>
      </c>
      <c r="O126" t="s">
        <v>83</v>
      </c>
      <c r="P126" t="s">
        <v>1308</v>
      </c>
      <c r="Q126" t="s">
        <v>43</v>
      </c>
      <c r="R126" s="23" t="s">
        <v>1309</v>
      </c>
      <c r="S126" s="23">
        <v>46183</v>
      </c>
      <c r="T126">
        <v>16.2</v>
      </c>
      <c r="U126">
        <v>10263</v>
      </c>
      <c r="V126">
        <v>0</v>
      </c>
      <c r="W126">
        <v>10263</v>
      </c>
    </row>
    <row r="127" spans="1:23" hidden="1" x14ac:dyDescent="0.25">
      <c r="A127">
        <v>15741</v>
      </c>
      <c r="B127">
        <v>455767418</v>
      </c>
      <c r="C127" t="s">
        <v>582</v>
      </c>
      <c r="D127" s="8" t="s">
        <v>1310</v>
      </c>
      <c r="E127" t="s">
        <v>644</v>
      </c>
      <c r="G127" t="s">
        <v>53</v>
      </c>
      <c r="H127" t="s">
        <v>54</v>
      </c>
      <c r="I127" t="s">
        <v>30</v>
      </c>
      <c r="J127" t="s">
        <v>55</v>
      </c>
      <c r="K127" t="s">
        <v>27</v>
      </c>
      <c r="L127" t="s">
        <v>1311</v>
      </c>
      <c r="M127" t="s">
        <v>1312</v>
      </c>
      <c r="N127" t="s">
        <v>646</v>
      </c>
      <c r="O127" t="s">
        <v>83</v>
      </c>
      <c r="P127" t="s">
        <v>1313</v>
      </c>
      <c r="Q127" t="s">
        <v>179</v>
      </c>
      <c r="R127" s="23" t="s">
        <v>336</v>
      </c>
      <c r="S127" s="23">
        <v>46175</v>
      </c>
      <c r="T127">
        <v>64.599999999999994</v>
      </c>
      <c r="U127">
        <v>29253.59</v>
      </c>
      <c r="V127">
        <v>6209.88</v>
      </c>
      <c r="W127">
        <v>35463.47</v>
      </c>
    </row>
    <row r="128" spans="1:23" x14ac:dyDescent="0.25">
      <c r="A128">
        <v>15741</v>
      </c>
      <c r="B128">
        <v>456571220</v>
      </c>
      <c r="C128" t="s">
        <v>1314</v>
      </c>
      <c r="D128" s="8" t="s">
        <v>1315</v>
      </c>
      <c r="E128" t="s">
        <v>644</v>
      </c>
      <c r="G128" t="s">
        <v>53</v>
      </c>
      <c r="H128" t="s">
        <v>54</v>
      </c>
      <c r="I128" t="s">
        <v>30</v>
      </c>
      <c r="J128" t="s">
        <v>55</v>
      </c>
      <c r="K128" t="s">
        <v>27</v>
      </c>
      <c r="L128" t="s">
        <v>1316</v>
      </c>
      <c r="M128" t="s">
        <v>1317</v>
      </c>
      <c r="N128" t="s">
        <v>646</v>
      </c>
      <c r="O128" t="s">
        <v>83</v>
      </c>
      <c r="P128" t="s">
        <v>1318</v>
      </c>
      <c r="Q128" t="s">
        <v>43</v>
      </c>
      <c r="R128" s="23" t="s">
        <v>632</v>
      </c>
      <c r="S128" s="23">
        <v>46183</v>
      </c>
      <c r="T128">
        <v>12</v>
      </c>
      <c r="U128">
        <v>8670</v>
      </c>
      <c r="V128">
        <v>0</v>
      </c>
      <c r="W128">
        <v>8670</v>
      </c>
    </row>
    <row r="129" spans="1:23" x14ac:dyDescent="0.25">
      <c r="A129">
        <v>15741</v>
      </c>
      <c r="B129">
        <v>456571454</v>
      </c>
      <c r="C129" t="s">
        <v>1319</v>
      </c>
      <c r="D129" s="8" t="s">
        <v>1320</v>
      </c>
      <c r="E129" t="s">
        <v>644</v>
      </c>
      <c r="G129" t="s">
        <v>53</v>
      </c>
      <c r="H129" t="s">
        <v>54</v>
      </c>
      <c r="I129" t="s">
        <v>30</v>
      </c>
      <c r="J129" t="s">
        <v>55</v>
      </c>
      <c r="K129" t="s">
        <v>27</v>
      </c>
      <c r="L129" t="s">
        <v>1321</v>
      </c>
      <c r="M129" t="s">
        <v>1322</v>
      </c>
      <c r="N129" t="s">
        <v>646</v>
      </c>
      <c r="O129" t="s">
        <v>83</v>
      </c>
      <c r="P129" t="s">
        <v>1323</v>
      </c>
      <c r="Q129" t="s">
        <v>45</v>
      </c>
      <c r="R129" s="23" t="s">
        <v>397</v>
      </c>
      <c r="S129" s="23">
        <v>46183</v>
      </c>
      <c r="T129">
        <v>16.2</v>
      </c>
      <c r="U129">
        <v>10263</v>
      </c>
      <c r="V129">
        <v>0</v>
      </c>
      <c r="W129">
        <v>10263</v>
      </c>
    </row>
    <row r="130" spans="1:23" x14ac:dyDescent="0.25">
      <c r="A130">
        <v>15741</v>
      </c>
      <c r="B130">
        <v>456572695</v>
      </c>
      <c r="C130" t="s">
        <v>1324</v>
      </c>
      <c r="D130" s="8" t="s">
        <v>1325</v>
      </c>
      <c r="E130" t="s">
        <v>644</v>
      </c>
      <c r="G130" t="s">
        <v>53</v>
      </c>
      <c r="H130" t="s">
        <v>54</v>
      </c>
      <c r="I130" t="s">
        <v>30</v>
      </c>
      <c r="J130" t="s">
        <v>55</v>
      </c>
      <c r="K130" t="s">
        <v>27</v>
      </c>
      <c r="L130" t="s">
        <v>1326</v>
      </c>
      <c r="M130" t="s">
        <v>1327</v>
      </c>
      <c r="N130" t="s">
        <v>646</v>
      </c>
      <c r="O130" t="s">
        <v>83</v>
      </c>
      <c r="P130" t="s">
        <v>1328</v>
      </c>
      <c r="Q130" t="s">
        <v>48</v>
      </c>
      <c r="R130" s="23" t="s">
        <v>1329</v>
      </c>
      <c r="S130" s="23">
        <v>46183</v>
      </c>
      <c r="T130">
        <v>16.2</v>
      </c>
      <c r="U130">
        <v>10263</v>
      </c>
      <c r="V130">
        <v>0</v>
      </c>
      <c r="W130">
        <v>10263</v>
      </c>
    </row>
    <row r="131" spans="1:23" x14ac:dyDescent="0.25">
      <c r="A131">
        <v>15741</v>
      </c>
      <c r="B131">
        <v>456573187</v>
      </c>
      <c r="C131" t="s">
        <v>1330</v>
      </c>
      <c r="D131" s="8" t="s">
        <v>1331</v>
      </c>
      <c r="E131" t="s">
        <v>644</v>
      </c>
      <c r="G131" t="s">
        <v>53</v>
      </c>
      <c r="H131" t="s">
        <v>54</v>
      </c>
      <c r="I131" t="s">
        <v>30</v>
      </c>
      <c r="J131" t="s">
        <v>55</v>
      </c>
      <c r="K131" t="s">
        <v>27</v>
      </c>
      <c r="L131" t="s">
        <v>1332</v>
      </c>
      <c r="M131" t="s">
        <v>1333</v>
      </c>
      <c r="N131" t="s">
        <v>646</v>
      </c>
      <c r="O131" t="s">
        <v>83</v>
      </c>
      <c r="P131" t="s">
        <v>1334</v>
      </c>
      <c r="Q131" t="s">
        <v>81</v>
      </c>
      <c r="R131" s="23" t="s">
        <v>1335</v>
      </c>
      <c r="S131" s="23">
        <v>46183</v>
      </c>
      <c r="T131">
        <v>20.25</v>
      </c>
      <c r="U131">
        <v>10802</v>
      </c>
      <c r="V131">
        <v>0</v>
      </c>
      <c r="W131">
        <v>10802</v>
      </c>
    </row>
    <row r="132" spans="1:23" x14ac:dyDescent="0.25">
      <c r="A132">
        <v>15741</v>
      </c>
      <c r="B132">
        <v>456552417</v>
      </c>
      <c r="C132" t="s">
        <v>1336</v>
      </c>
      <c r="D132" s="8" t="s">
        <v>1337</v>
      </c>
      <c r="E132" t="s">
        <v>644</v>
      </c>
      <c r="G132" t="s">
        <v>53</v>
      </c>
      <c r="H132" t="s">
        <v>54</v>
      </c>
      <c r="I132" t="s">
        <v>30</v>
      </c>
      <c r="J132" t="s">
        <v>55</v>
      </c>
      <c r="K132" t="s">
        <v>27</v>
      </c>
      <c r="L132" t="s">
        <v>1338</v>
      </c>
      <c r="M132" t="s">
        <v>1339</v>
      </c>
      <c r="N132" t="s">
        <v>646</v>
      </c>
      <c r="O132" t="s">
        <v>83</v>
      </c>
      <c r="P132" t="s">
        <v>204</v>
      </c>
      <c r="Q132" t="s">
        <v>98</v>
      </c>
      <c r="R132" s="23" t="s">
        <v>1340</v>
      </c>
      <c r="S132" s="23">
        <v>46183</v>
      </c>
      <c r="T132">
        <v>81.400000000000006</v>
      </c>
      <c r="U132">
        <v>31640</v>
      </c>
      <c r="V132">
        <v>5742</v>
      </c>
      <c r="W132">
        <v>37382</v>
      </c>
    </row>
    <row r="133" spans="1:23" x14ac:dyDescent="0.25">
      <c r="A133">
        <v>15741</v>
      </c>
      <c r="B133">
        <v>456572434</v>
      </c>
      <c r="C133" t="s">
        <v>1341</v>
      </c>
      <c r="D133" s="8" t="s">
        <v>1342</v>
      </c>
      <c r="E133" t="s">
        <v>644</v>
      </c>
      <c r="G133" t="s">
        <v>53</v>
      </c>
      <c r="H133" t="s">
        <v>54</v>
      </c>
      <c r="I133" t="s">
        <v>30</v>
      </c>
      <c r="J133" t="s">
        <v>55</v>
      </c>
      <c r="K133" t="s">
        <v>27</v>
      </c>
      <c r="L133" t="s">
        <v>1343</v>
      </c>
      <c r="M133" t="s">
        <v>1344</v>
      </c>
      <c r="N133" t="s">
        <v>646</v>
      </c>
      <c r="O133" t="s">
        <v>83</v>
      </c>
      <c r="P133" t="s">
        <v>1345</v>
      </c>
      <c r="Q133" t="s">
        <v>83</v>
      </c>
      <c r="R133" s="23" t="s">
        <v>1346</v>
      </c>
      <c r="S133" s="23">
        <v>46183</v>
      </c>
      <c r="T133">
        <v>16.2</v>
      </c>
      <c r="U133">
        <v>10263</v>
      </c>
      <c r="V133">
        <v>0</v>
      </c>
      <c r="W133">
        <v>10263</v>
      </c>
    </row>
    <row r="134" spans="1:23" x14ac:dyDescent="0.25">
      <c r="A134">
        <v>15741</v>
      </c>
      <c r="B134">
        <v>456572287</v>
      </c>
      <c r="C134" t="s">
        <v>1347</v>
      </c>
      <c r="D134" s="8" t="s">
        <v>1348</v>
      </c>
      <c r="E134" t="s">
        <v>644</v>
      </c>
      <c r="G134" t="s">
        <v>53</v>
      </c>
      <c r="H134" t="s">
        <v>54</v>
      </c>
      <c r="I134" t="s">
        <v>30</v>
      </c>
      <c r="J134" t="s">
        <v>55</v>
      </c>
      <c r="K134" t="s">
        <v>27</v>
      </c>
      <c r="L134" t="s">
        <v>1349</v>
      </c>
      <c r="M134" t="s">
        <v>1350</v>
      </c>
      <c r="N134" t="s">
        <v>646</v>
      </c>
      <c r="O134" t="s">
        <v>83</v>
      </c>
      <c r="P134" t="s">
        <v>1351</v>
      </c>
      <c r="Q134" t="s">
        <v>44</v>
      </c>
      <c r="R134" s="23" t="s">
        <v>1352</v>
      </c>
      <c r="S134" s="23">
        <v>46183</v>
      </c>
      <c r="T134">
        <v>5.6</v>
      </c>
      <c r="U134">
        <v>6775</v>
      </c>
      <c r="V134">
        <v>0</v>
      </c>
      <c r="W134">
        <v>6775</v>
      </c>
    </row>
    <row r="135" spans="1:23" x14ac:dyDescent="0.25">
      <c r="A135">
        <v>15741</v>
      </c>
      <c r="B135">
        <v>456573099</v>
      </c>
      <c r="C135" t="s">
        <v>1353</v>
      </c>
      <c r="D135" s="8" t="s">
        <v>1354</v>
      </c>
      <c r="E135" t="s">
        <v>644</v>
      </c>
      <c r="G135" t="s">
        <v>53</v>
      </c>
      <c r="H135" t="s">
        <v>54</v>
      </c>
      <c r="I135" t="s">
        <v>30</v>
      </c>
      <c r="J135" t="s">
        <v>55</v>
      </c>
      <c r="K135" t="s">
        <v>27</v>
      </c>
      <c r="L135" t="s">
        <v>1355</v>
      </c>
      <c r="M135" t="s">
        <v>1356</v>
      </c>
      <c r="N135" t="s">
        <v>646</v>
      </c>
      <c r="O135" t="s">
        <v>83</v>
      </c>
      <c r="P135" t="s">
        <v>1357</v>
      </c>
      <c r="Q135" t="s">
        <v>70</v>
      </c>
      <c r="R135" s="23" t="s">
        <v>1358</v>
      </c>
      <c r="S135" s="23">
        <v>46183</v>
      </c>
      <c r="T135">
        <v>5.6</v>
      </c>
      <c r="U135">
        <v>6775</v>
      </c>
      <c r="V135">
        <v>0</v>
      </c>
      <c r="W135">
        <v>6775</v>
      </c>
    </row>
    <row r="136" spans="1:23" x14ac:dyDescent="0.25">
      <c r="A136">
        <v>15741</v>
      </c>
      <c r="B136">
        <v>456571118</v>
      </c>
      <c r="C136" t="s">
        <v>1359</v>
      </c>
      <c r="D136" s="8" t="s">
        <v>1360</v>
      </c>
      <c r="E136" t="s">
        <v>644</v>
      </c>
      <c r="G136" t="s">
        <v>53</v>
      </c>
      <c r="H136" t="s">
        <v>54</v>
      </c>
      <c r="I136" t="s">
        <v>30</v>
      </c>
      <c r="J136" t="s">
        <v>55</v>
      </c>
      <c r="K136" t="s">
        <v>27</v>
      </c>
      <c r="L136" t="s">
        <v>1361</v>
      </c>
      <c r="M136" t="s">
        <v>1362</v>
      </c>
      <c r="N136" t="s">
        <v>646</v>
      </c>
      <c r="O136" t="s">
        <v>83</v>
      </c>
      <c r="P136" t="s">
        <v>1363</v>
      </c>
      <c r="Q136" t="s">
        <v>45</v>
      </c>
      <c r="R136" s="23" t="s">
        <v>1364</v>
      </c>
      <c r="S136" s="23">
        <v>46183</v>
      </c>
      <c r="T136">
        <v>12</v>
      </c>
      <c r="U136">
        <v>8670</v>
      </c>
      <c r="V136">
        <v>0</v>
      </c>
      <c r="W136">
        <v>8670</v>
      </c>
    </row>
    <row r="137" spans="1:23" x14ac:dyDescent="0.25">
      <c r="A137">
        <v>15741</v>
      </c>
      <c r="B137">
        <v>456571061</v>
      </c>
      <c r="C137" t="s">
        <v>1365</v>
      </c>
      <c r="D137" s="8" t="s">
        <v>1366</v>
      </c>
      <c r="E137" t="s">
        <v>644</v>
      </c>
      <c r="G137" t="s">
        <v>53</v>
      </c>
      <c r="H137" t="s">
        <v>54</v>
      </c>
      <c r="I137" t="s">
        <v>30</v>
      </c>
      <c r="J137" t="s">
        <v>55</v>
      </c>
      <c r="K137" t="s">
        <v>27</v>
      </c>
      <c r="L137" t="s">
        <v>1367</v>
      </c>
      <c r="M137" t="s">
        <v>1368</v>
      </c>
      <c r="N137" t="s">
        <v>646</v>
      </c>
      <c r="O137" t="s">
        <v>83</v>
      </c>
      <c r="P137" t="s">
        <v>1369</v>
      </c>
      <c r="Q137" t="s">
        <v>45</v>
      </c>
      <c r="R137" s="23" t="s">
        <v>1370</v>
      </c>
      <c r="S137" s="23">
        <v>46183</v>
      </c>
      <c r="T137">
        <v>12</v>
      </c>
      <c r="U137">
        <v>8670</v>
      </c>
      <c r="V137">
        <v>0</v>
      </c>
      <c r="W137">
        <v>8670</v>
      </c>
    </row>
    <row r="138" spans="1:23" x14ac:dyDescent="0.25">
      <c r="A138">
        <v>15741</v>
      </c>
      <c r="B138">
        <v>456571391</v>
      </c>
      <c r="C138" t="s">
        <v>1371</v>
      </c>
      <c r="D138" s="8" t="s">
        <v>1372</v>
      </c>
      <c r="E138" t="s">
        <v>644</v>
      </c>
      <c r="G138" t="s">
        <v>53</v>
      </c>
      <c r="H138" t="s">
        <v>54</v>
      </c>
      <c r="I138" t="s">
        <v>30</v>
      </c>
      <c r="J138" t="s">
        <v>55</v>
      </c>
      <c r="K138" t="s">
        <v>27</v>
      </c>
      <c r="L138" t="s">
        <v>1373</v>
      </c>
      <c r="M138" t="s">
        <v>1374</v>
      </c>
      <c r="N138" t="s">
        <v>646</v>
      </c>
      <c r="O138" t="s">
        <v>83</v>
      </c>
      <c r="P138" t="s">
        <v>1375</v>
      </c>
      <c r="Q138" t="s">
        <v>44</v>
      </c>
      <c r="R138" s="23" t="s">
        <v>1376</v>
      </c>
      <c r="S138" s="23">
        <v>46183</v>
      </c>
      <c r="T138">
        <v>16.2</v>
      </c>
      <c r="U138">
        <v>10263</v>
      </c>
      <c r="V138">
        <v>0</v>
      </c>
      <c r="W138">
        <v>10263</v>
      </c>
    </row>
    <row r="139" spans="1:23" x14ac:dyDescent="0.25">
      <c r="A139">
        <v>15741</v>
      </c>
      <c r="B139">
        <v>456571577</v>
      </c>
      <c r="C139" t="s">
        <v>1377</v>
      </c>
      <c r="D139" s="8" t="s">
        <v>1378</v>
      </c>
      <c r="E139" t="s">
        <v>644</v>
      </c>
      <c r="G139" t="s">
        <v>53</v>
      </c>
      <c r="H139" t="s">
        <v>54</v>
      </c>
      <c r="I139" t="s">
        <v>30</v>
      </c>
      <c r="J139" t="s">
        <v>55</v>
      </c>
      <c r="K139" t="s">
        <v>27</v>
      </c>
      <c r="L139" t="s">
        <v>1379</v>
      </c>
      <c r="M139" t="s">
        <v>1380</v>
      </c>
      <c r="N139" t="s">
        <v>646</v>
      </c>
      <c r="O139" t="s">
        <v>83</v>
      </c>
      <c r="P139" t="s">
        <v>1381</v>
      </c>
      <c r="Q139" t="s">
        <v>44</v>
      </c>
      <c r="R139" s="23" t="s">
        <v>559</v>
      </c>
      <c r="S139" s="23">
        <v>46183</v>
      </c>
      <c r="T139">
        <v>6.8</v>
      </c>
      <c r="U139">
        <v>7086</v>
      </c>
      <c r="V139">
        <v>0</v>
      </c>
      <c r="W139">
        <v>7086</v>
      </c>
    </row>
    <row r="140" spans="1:23" x14ac:dyDescent="0.25">
      <c r="A140">
        <v>15741</v>
      </c>
      <c r="B140">
        <v>456573315</v>
      </c>
      <c r="C140" t="s">
        <v>1382</v>
      </c>
      <c r="D140" s="8" t="s">
        <v>1383</v>
      </c>
      <c r="E140" t="s">
        <v>644</v>
      </c>
      <c r="G140" t="s">
        <v>53</v>
      </c>
      <c r="H140" t="s">
        <v>54</v>
      </c>
      <c r="I140" t="s">
        <v>30</v>
      </c>
      <c r="J140" t="s">
        <v>55</v>
      </c>
      <c r="K140" t="s">
        <v>27</v>
      </c>
      <c r="L140" t="s">
        <v>1384</v>
      </c>
      <c r="M140" t="s">
        <v>1385</v>
      </c>
      <c r="N140" t="s">
        <v>646</v>
      </c>
      <c r="O140" t="s">
        <v>83</v>
      </c>
      <c r="P140" t="s">
        <v>1386</v>
      </c>
      <c r="Q140" t="s">
        <v>45</v>
      </c>
      <c r="R140" s="23" t="s">
        <v>1283</v>
      </c>
      <c r="S140" s="23">
        <v>46183</v>
      </c>
      <c r="T140">
        <v>10.1</v>
      </c>
      <c r="U140">
        <v>8357</v>
      </c>
      <c r="V140">
        <v>0</v>
      </c>
      <c r="W140">
        <v>8357</v>
      </c>
    </row>
    <row r="141" spans="1:23" x14ac:dyDescent="0.25">
      <c r="A141">
        <v>15741</v>
      </c>
      <c r="B141">
        <v>456573448</v>
      </c>
      <c r="C141" t="s">
        <v>1387</v>
      </c>
      <c r="D141" s="8" t="s">
        <v>1388</v>
      </c>
      <c r="E141" t="s">
        <v>644</v>
      </c>
      <c r="G141" t="s">
        <v>53</v>
      </c>
      <c r="H141" t="s">
        <v>54</v>
      </c>
      <c r="I141" t="s">
        <v>30</v>
      </c>
      <c r="J141" t="s">
        <v>55</v>
      </c>
      <c r="K141" t="s">
        <v>27</v>
      </c>
      <c r="L141" t="s">
        <v>1389</v>
      </c>
      <c r="M141" t="s">
        <v>1390</v>
      </c>
      <c r="N141" t="s">
        <v>646</v>
      </c>
      <c r="O141" t="s">
        <v>83</v>
      </c>
      <c r="P141" t="s">
        <v>1391</v>
      </c>
      <c r="Q141" t="s">
        <v>142</v>
      </c>
      <c r="R141" s="23" t="s">
        <v>261</v>
      </c>
      <c r="S141" s="23">
        <v>46183</v>
      </c>
      <c r="T141">
        <v>13.3</v>
      </c>
      <c r="U141">
        <v>9304</v>
      </c>
      <c r="V141">
        <v>0</v>
      </c>
      <c r="W141">
        <v>9304</v>
      </c>
    </row>
    <row r="142" spans="1:23" x14ac:dyDescent="0.25">
      <c r="A142">
        <v>15741</v>
      </c>
      <c r="B142">
        <v>456552549</v>
      </c>
      <c r="C142" t="s">
        <v>1392</v>
      </c>
      <c r="D142" s="8" t="s">
        <v>1393</v>
      </c>
      <c r="E142" t="s">
        <v>644</v>
      </c>
      <c r="G142" t="s">
        <v>53</v>
      </c>
      <c r="H142" t="s">
        <v>54</v>
      </c>
      <c r="I142" t="s">
        <v>30</v>
      </c>
      <c r="J142" t="s">
        <v>55</v>
      </c>
      <c r="K142" t="s">
        <v>27</v>
      </c>
      <c r="L142" t="s">
        <v>1394</v>
      </c>
      <c r="M142" t="s">
        <v>1395</v>
      </c>
      <c r="N142" t="s">
        <v>646</v>
      </c>
      <c r="O142" t="s">
        <v>83</v>
      </c>
      <c r="P142" t="s">
        <v>1396</v>
      </c>
      <c r="Q142" t="s">
        <v>58</v>
      </c>
      <c r="R142" s="23" t="s">
        <v>1397</v>
      </c>
      <c r="S142" s="23">
        <v>46183</v>
      </c>
      <c r="T142">
        <v>32.200000000000003</v>
      </c>
      <c r="U142">
        <v>14514</v>
      </c>
      <c r="V142">
        <v>0</v>
      </c>
      <c r="W142">
        <v>14514</v>
      </c>
    </row>
    <row r="143" spans="1:23" hidden="1" x14ac:dyDescent="0.25">
      <c r="A143">
        <v>15741</v>
      </c>
      <c r="B143">
        <v>456243993</v>
      </c>
      <c r="C143" t="s">
        <v>1398</v>
      </c>
      <c r="D143" s="8" t="s">
        <v>1399</v>
      </c>
      <c r="E143" t="s">
        <v>644</v>
      </c>
      <c r="G143" t="s">
        <v>53</v>
      </c>
      <c r="H143" t="s">
        <v>54</v>
      </c>
      <c r="I143" t="s">
        <v>30</v>
      </c>
      <c r="J143" t="s">
        <v>55</v>
      </c>
      <c r="K143" t="s">
        <v>27</v>
      </c>
      <c r="L143" t="s">
        <v>1400</v>
      </c>
      <c r="M143" t="s">
        <v>1401</v>
      </c>
      <c r="N143" t="s">
        <v>646</v>
      </c>
      <c r="O143" t="s">
        <v>83</v>
      </c>
      <c r="P143" t="s">
        <v>1402</v>
      </c>
      <c r="Q143" t="s">
        <v>106</v>
      </c>
      <c r="R143" s="23" t="s">
        <v>1403</v>
      </c>
      <c r="S143" s="23">
        <v>46177</v>
      </c>
      <c r="T143">
        <v>39.17</v>
      </c>
      <c r="U143">
        <v>19529</v>
      </c>
      <c r="V143">
        <v>0</v>
      </c>
      <c r="W143">
        <v>19529</v>
      </c>
    </row>
    <row r="144" spans="1:23" x14ac:dyDescent="0.25">
      <c r="A144">
        <v>15741</v>
      </c>
      <c r="B144">
        <v>456552948</v>
      </c>
      <c r="C144" t="s">
        <v>1404</v>
      </c>
      <c r="D144" s="8" t="s">
        <v>1405</v>
      </c>
      <c r="E144" t="s">
        <v>644</v>
      </c>
      <c r="G144" t="s">
        <v>53</v>
      </c>
      <c r="H144" t="s">
        <v>54</v>
      </c>
      <c r="I144" t="s">
        <v>30</v>
      </c>
      <c r="J144" t="s">
        <v>55</v>
      </c>
      <c r="K144" t="s">
        <v>27</v>
      </c>
      <c r="L144" t="s">
        <v>1406</v>
      </c>
      <c r="M144" t="s">
        <v>1407</v>
      </c>
      <c r="N144" t="s">
        <v>646</v>
      </c>
      <c r="O144" t="s">
        <v>83</v>
      </c>
      <c r="P144" t="s">
        <v>1408</v>
      </c>
      <c r="Q144" t="s">
        <v>51</v>
      </c>
      <c r="R144" s="23" t="s">
        <v>275</v>
      </c>
      <c r="S144" s="23">
        <v>46183</v>
      </c>
      <c r="T144">
        <v>89.7</v>
      </c>
      <c r="U144">
        <v>29449</v>
      </c>
      <c r="V144">
        <v>6400.18</v>
      </c>
      <c r="W144">
        <v>35849.18</v>
      </c>
    </row>
    <row r="145" spans="1:23" x14ac:dyDescent="0.25">
      <c r="A145">
        <v>15741</v>
      </c>
      <c r="B145">
        <v>456333692</v>
      </c>
      <c r="C145" t="s">
        <v>1409</v>
      </c>
      <c r="D145" s="8" t="s">
        <v>1410</v>
      </c>
      <c r="E145" t="s">
        <v>644</v>
      </c>
      <c r="G145" t="s">
        <v>53</v>
      </c>
      <c r="H145" t="s">
        <v>54</v>
      </c>
      <c r="I145" t="s">
        <v>30</v>
      </c>
      <c r="J145" t="s">
        <v>55</v>
      </c>
      <c r="K145" t="s">
        <v>27</v>
      </c>
      <c r="L145" t="s">
        <v>1411</v>
      </c>
      <c r="M145" t="s">
        <v>1412</v>
      </c>
      <c r="N145" t="s">
        <v>646</v>
      </c>
      <c r="O145" t="s">
        <v>83</v>
      </c>
      <c r="P145" t="s">
        <v>1413</v>
      </c>
      <c r="Q145" t="s">
        <v>51</v>
      </c>
      <c r="R145" s="23" t="s">
        <v>506</v>
      </c>
      <c r="S145" s="23">
        <v>46178</v>
      </c>
      <c r="T145">
        <v>149.04</v>
      </c>
      <c r="U145">
        <v>40814</v>
      </c>
      <c r="V145">
        <v>0</v>
      </c>
      <c r="W145">
        <v>40814</v>
      </c>
    </row>
    <row r="146" spans="1:23" x14ac:dyDescent="0.25">
      <c r="A146">
        <v>15741</v>
      </c>
      <c r="B146">
        <v>456305512</v>
      </c>
      <c r="C146" t="s">
        <v>1414</v>
      </c>
      <c r="D146" s="8" t="s">
        <v>1415</v>
      </c>
      <c r="E146" t="s">
        <v>644</v>
      </c>
      <c r="G146" t="s">
        <v>53</v>
      </c>
      <c r="H146" t="s">
        <v>54</v>
      </c>
      <c r="I146" t="s">
        <v>30</v>
      </c>
      <c r="J146" t="s">
        <v>55</v>
      </c>
      <c r="K146" t="s">
        <v>27</v>
      </c>
      <c r="L146" t="s">
        <v>1416</v>
      </c>
      <c r="M146" t="s">
        <v>1417</v>
      </c>
      <c r="N146" t="s">
        <v>646</v>
      </c>
      <c r="O146" t="s">
        <v>83</v>
      </c>
      <c r="P146" t="s">
        <v>1418</v>
      </c>
      <c r="Q146" t="s">
        <v>51</v>
      </c>
      <c r="R146" s="23" t="s">
        <v>1419</v>
      </c>
      <c r="S146" s="23">
        <v>46178</v>
      </c>
      <c r="T146">
        <v>12.4</v>
      </c>
      <c r="U146">
        <v>8993</v>
      </c>
      <c r="V146">
        <v>0</v>
      </c>
      <c r="W146">
        <v>8993</v>
      </c>
    </row>
    <row r="147" spans="1:23" x14ac:dyDescent="0.25">
      <c r="A147">
        <v>15741</v>
      </c>
      <c r="B147">
        <v>456305798</v>
      </c>
      <c r="C147" t="s">
        <v>1420</v>
      </c>
      <c r="D147" s="8" t="s">
        <v>1421</v>
      </c>
      <c r="E147" t="s">
        <v>644</v>
      </c>
      <c r="G147" t="s">
        <v>53</v>
      </c>
      <c r="H147" t="s">
        <v>54</v>
      </c>
      <c r="I147" t="s">
        <v>30</v>
      </c>
      <c r="J147" t="s">
        <v>55</v>
      </c>
      <c r="K147" t="s">
        <v>27</v>
      </c>
      <c r="L147" t="s">
        <v>1422</v>
      </c>
      <c r="M147" t="s">
        <v>1423</v>
      </c>
      <c r="N147" t="s">
        <v>646</v>
      </c>
      <c r="O147" t="s">
        <v>83</v>
      </c>
      <c r="P147" t="s">
        <v>1424</v>
      </c>
      <c r="Q147" t="s">
        <v>86</v>
      </c>
      <c r="R147" s="23" t="s">
        <v>531</v>
      </c>
      <c r="S147" s="23">
        <v>46178</v>
      </c>
      <c r="T147">
        <v>2</v>
      </c>
      <c r="U147">
        <v>5504</v>
      </c>
      <c r="V147">
        <v>0</v>
      </c>
      <c r="W147">
        <v>5504</v>
      </c>
    </row>
    <row r="148" spans="1:23" x14ac:dyDescent="0.25">
      <c r="A148">
        <v>15741</v>
      </c>
      <c r="B148">
        <v>456306962</v>
      </c>
      <c r="C148" t="s">
        <v>1425</v>
      </c>
      <c r="D148" s="8" t="s">
        <v>1426</v>
      </c>
      <c r="E148" t="s">
        <v>644</v>
      </c>
      <c r="G148" t="s">
        <v>53</v>
      </c>
      <c r="H148" t="s">
        <v>54</v>
      </c>
      <c r="I148" t="s">
        <v>30</v>
      </c>
      <c r="J148" t="s">
        <v>55</v>
      </c>
      <c r="K148" t="s">
        <v>27</v>
      </c>
      <c r="L148" t="s">
        <v>1427</v>
      </c>
      <c r="M148" t="s">
        <v>1428</v>
      </c>
      <c r="N148" t="s">
        <v>646</v>
      </c>
      <c r="O148" t="s">
        <v>83</v>
      </c>
      <c r="P148" t="s">
        <v>1429</v>
      </c>
      <c r="Q148" t="s">
        <v>69</v>
      </c>
      <c r="R148" s="23" t="s">
        <v>1430</v>
      </c>
      <c r="S148" s="23">
        <v>46178</v>
      </c>
      <c r="T148">
        <v>39.17</v>
      </c>
      <c r="U148">
        <v>15962</v>
      </c>
      <c r="V148">
        <v>0</v>
      </c>
      <c r="W148">
        <v>15962</v>
      </c>
    </row>
    <row r="149" spans="1:23" x14ac:dyDescent="0.25">
      <c r="A149">
        <v>15741</v>
      </c>
      <c r="B149">
        <v>456308974</v>
      </c>
      <c r="C149" t="s">
        <v>1431</v>
      </c>
      <c r="D149" s="8" t="s">
        <v>1432</v>
      </c>
      <c r="E149" t="s">
        <v>644</v>
      </c>
      <c r="G149" t="s">
        <v>53</v>
      </c>
      <c r="H149" t="s">
        <v>54</v>
      </c>
      <c r="I149" t="s">
        <v>30</v>
      </c>
      <c r="J149" t="s">
        <v>55</v>
      </c>
      <c r="K149" t="s">
        <v>27</v>
      </c>
      <c r="L149" t="s">
        <v>1433</v>
      </c>
      <c r="M149" t="s">
        <v>1434</v>
      </c>
      <c r="N149" t="s">
        <v>646</v>
      </c>
      <c r="O149" t="s">
        <v>83</v>
      </c>
      <c r="P149" t="s">
        <v>1435</v>
      </c>
      <c r="Q149" t="s">
        <v>43</v>
      </c>
      <c r="R149" s="23" t="s">
        <v>447</v>
      </c>
      <c r="S149" s="23">
        <v>46178</v>
      </c>
      <c r="T149">
        <v>21.2</v>
      </c>
      <c r="U149">
        <v>11106</v>
      </c>
      <c r="V149">
        <v>0</v>
      </c>
      <c r="W149">
        <v>11106</v>
      </c>
    </row>
    <row r="150" spans="1:23" x14ac:dyDescent="0.25">
      <c r="A150">
        <v>15741</v>
      </c>
      <c r="B150">
        <v>456334031</v>
      </c>
      <c r="C150" t="s">
        <v>1436</v>
      </c>
      <c r="D150" s="8" t="s">
        <v>1437</v>
      </c>
      <c r="E150" t="s">
        <v>644</v>
      </c>
      <c r="G150" t="s">
        <v>53</v>
      </c>
      <c r="H150" t="s">
        <v>54</v>
      </c>
      <c r="I150" t="s">
        <v>30</v>
      </c>
      <c r="J150" t="s">
        <v>55</v>
      </c>
      <c r="K150" t="s">
        <v>27</v>
      </c>
      <c r="L150" t="s">
        <v>1438</v>
      </c>
      <c r="M150" t="s">
        <v>1439</v>
      </c>
      <c r="N150" t="s">
        <v>646</v>
      </c>
      <c r="O150" t="s">
        <v>83</v>
      </c>
      <c r="P150" t="s">
        <v>1440</v>
      </c>
      <c r="Q150" t="s">
        <v>43</v>
      </c>
      <c r="R150" s="23" t="s">
        <v>1441</v>
      </c>
      <c r="S150" s="23">
        <v>46178</v>
      </c>
      <c r="T150">
        <v>21.2</v>
      </c>
      <c r="U150">
        <v>11106</v>
      </c>
      <c r="V150">
        <v>0</v>
      </c>
      <c r="W150">
        <v>11106</v>
      </c>
    </row>
    <row r="151" spans="1:23" x14ac:dyDescent="0.25">
      <c r="A151">
        <v>15741</v>
      </c>
      <c r="B151">
        <v>456332275</v>
      </c>
      <c r="C151" t="s">
        <v>1442</v>
      </c>
      <c r="D151" s="8" t="s">
        <v>1443</v>
      </c>
      <c r="E151" t="s">
        <v>644</v>
      </c>
      <c r="G151" t="s">
        <v>53</v>
      </c>
      <c r="H151" t="s">
        <v>54</v>
      </c>
      <c r="I151" t="s">
        <v>30</v>
      </c>
      <c r="J151" t="s">
        <v>55</v>
      </c>
      <c r="K151" t="s">
        <v>27</v>
      </c>
      <c r="L151" t="s">
        <v>1444</v>
      </c>
      <c r="M151" t="s">
        <v>1445</v>
      </c>
      <c r="N151" t="s">
        <v>646</v>
      </c>
      <c r="O151" t="s">
        <v>83</v>
      </c>
      <c r="P151" t="s">
        <v>1446</v>
      </c>
      <c r="Q151" t="s">
        <v>48</v>
      </c>
      <c r="R151" s="23" t="s">
        <v>1447</v>
      </c>
      <c r="S151" s="23">
        <v>46178</v>
      </c>
      <c r="T151">
        <v>2</v>
      </c>
      <c r="U151">
        <v>5504</v>
      </c>
      <c r="V151">
        <v>0</v>
      </c>
      <c r="W151">
        <v>5504</v>
      </c>
    </row>
    <row r="152" spans="1:23" x14ac:dyDescent="0.25">
      <c r="A152">
        <v>15741</v>
      </c>
      <c r="B152">
        <v>456331777</v>
      </c>
      <c r="C152" t="s">
        <v>1448</v>
      </c>
      <c r="D152" s="8" t="s">
        <v>1449</v>
      </c>
      <c r="E152" t="s">
        <v>644</v>
      </c>
      <c r="G152" t="s">
        <v>53</v>
      </c>
      <c r="H152" t="s">
        <v>54</v>
      </c>
      <c r="I152" t="s">
        <v>30</v>
      </c>
      <c r="J152" t="s">
        <v>55</v>
      </c>
      <c r="K152" t="s">
        <v>27</v>
      </c>
      <c r="L152" t="s">
        <v>1450</v>
      </c>
      <c r="M152" t="s">
        <v>1451</v>
      </c>
      <c r="N152" t="s">
        <v>646</v>
      </c>
      <c r="O152" t="s">
        <v>83</v>
      </c>
      <c r="P152" t="s">
        <v>1452</v>
      </c>
      <c r="Q152" t="s">
        <v>87</v>
      </c>
      <c r="R152" s="23" t="s">
        <v>1453</v>
      </c>
      <c r="S152" s="23">
        <v>46178</v>
      </c>
      <c r="T152">
        <v>2.1</v>
      </c>
      <c r="U152">
        <v>5816</v>
      </c>
      <c r="V152">
        <v>0</v>
      </c>
      <c r="W152">
        <v>5816</v>
      </c>
    </row>
    <row r="153" spans="1:23" hidden="1" x14ac:dyDescent="0.25">
      <c r="A153">
        <v>15741</v>
      </c>
      <c r="B153">
        <v>455661202</v>
      </c>
      <c r="C153" t="s">
        <v>1454</v>
      </c>
      <c r="D153" s="8" t="s">
        <v>1455</v>
      </c>
      <c r="E153" t="s">
        <v>644</v>
      </c>
      <c r="G153" t="s">
        <v>53</v>
      </c>
      <c r="H153" t="s">
        <v>54</v>
      </c>
      <c r="I153" t="s">
        <v>30</v>
      </c>
      <c r="J153" t="s">
        <v>55</v>
      </c>
      <c r="K153" t="s">
        <v>27</v>
      </c>
      <c r="L153" t="s">
        <v>1456</v>
      </c>
      <c r="M153" t="s">
        <v>1457</v>
      </c>
      <c r="N153" t="s">
        <v>646</v>
      </c>
      <c r="O153" t="s">
        <v>83</v>
      </c>
      <c r="P153" t="s">
        <v>1458</v>
      </c>
      <c r="Q153" t="s">
        <v>90</v>
      </c>
      <c r="R153" s="23" t="s">
        <v>604</v>
      </c>
      <c r="S153" s="23">
        <v>46174</v>
      </c>
      <c r="T153">
        <v>5</v>
      </c>
      <c r="U153">
        <v>7902</v>
      </c>
      <c r="V153">
        <v>0</v>
      </c>
      <c r="W153">
        <v>7902</v>
      </c>
    </row>
    <row r="154" spans="1:23" x14ac:dyDescent="0.25">
      <c r="A154">
        <v>15741</v>
      </c>
      <c r="B154">
        <v>456432169</v>
      </c>
      <c r="C154" t="s">
        <v>1459</v>
      </c>
      <c r="D154" s="8" t="s">
        <v>1460</v>
      </c>
      <c r="E154" t="s">
        <v>644</v>
      </c>
      <c r="G154" t="s">
        <v>53</v>
      </c>
      <c r="H154" t="s">
        <v>54</v>
      </c>
      <c r="I154" t="s">
        <v>30</v>
      </c>
      <c r="J154" t="s">
        <v>55</v>
      </c>
      <c r="K154" t="s">
        <v>27</v>
      </c>
      <c r="L154" t="s">
        <v>1461</v>
      </c>
      <c r="M154" t="s">
        <v>1462</v>
      </c>
      <c r="N154" t="s">
        <v>646</v>
      </c>
      <c r="O154" t="s">
        <v>83</v>
      </c>
      <c r="P154" t="s">
        <v>1463</v>
      </c>
      <c r="Q154" t="s">
        <v>61</v>
      </c>
      <c r="R154" s="23" t="s">
        <v>1464</v>
      </c>
      <c r="S154" s="23">
        <v>46181</v>
      </c>
      <c r="T154">
        <v>222.4</v>
      </c>
      <c r="U154">
        <v>68295</v>
      </c>
      <c r="V154">
        <v>11999.94</v>
      </c>
      <c r="W154">
        <v>80294.94</v>
      </c>
    </row>
    <row r="155" spans="1:23" x14ac:dyDescent="0.25">
      <c r="A155">
        <v>15741</v>
      </c>
      <c r="B155">
        <v>456448219</v>
      </c>
      <c r="C155" t="s">
        <v>1465</v>
      </c>
      <c r="D155" s="8" t="s">
        <v>1466</v>
      </c>
      <c r="E155" t="s">
        <v>644</v>
      </c>
      <c r="G155" t="s">
        <v>53</v>
      </c>
      <c r="H155" t="s">
        <v>54</v>
      </c>
      <c r="I155" t="s">
        <v>30</v>
      </c>
      <c r="J155" t="s">
        <v>55</v>
      </c>
      <c r="K155" t="s">
        <v>27</v>
      </c>
      <c r="L155" t="s">
        <v>1467</v>
      </c>
      <c r="M155" t="s">
        <v>1468</v>
      </c>
      <c r="N155" t="s">
        <v>646</v>
      </c>
      <c r="O155" t="s">
        <v>83</v>
      </c>
      <c r="P155" t="s">
        <v>1469</v>
      </c>
      <c r="Q155" t="s">
        <v>48</v>
      </c>
      <c r="R155" s="23" t="s">
        <v>480</v>
      </c>
      <c r="S155" s="23">
        <v>46181</v>
      </c>
      <c r="T155">
        <v>4</v>
      </c>
      <c r="U155">
        <v>6140</v>
      </c>
      <c r="V155">
        <v>0</v>
      </c>
      <c r="W155">
        <v>6140</v>
      </c>
    </row>
    <row r="156" spans="1:23" x14ac:dyDescent="0.25">
      <c r="A156">
        <v>15741</v>
      </c>
      <c r="B156">
        <v>456494660</v>
      </c>
      <c r="C156" t="s">
        <v>1470</v>
      </c>
      <c r="D156" s="8" t="s">
        <v>1471</v>
      </c>
      <c r="E156" t="s">
        <v>644</v>
      </c>
      <c r="G156" t="s">
        <v>53</v>
      </c>
      <c r="H156" t="s">
        <v>54</v>
      </c>
      <c r="I156" t="s">
        <v>30</v>
      </c>
      <c r="J156" t="s">
        <v>55</v>
      </c>
      <c r="K156" t="s">
        <v>27</v>
      </c>
      <c r="L156" t="s">
        <v>1472</v>
      </c>
      <c r="M156" t="s">
        <v>1473</v>
      </c>
      <c r="N156" t="s">
        <v>646</v>
      </c>
      <c r="O156" t="s">
        <v>83</v>
      </c>
      <c r="P156" t="s">
        <v>1474</v>
      </c>
      <c r="Q156" t="s">
        <v>45</v>
      </c>
      <c r="R156" s="23" t="s">
        <v>1475</v>
      </c>
      <c r="S156" s="23">
        <v>46182</v>
      </c>
      <c r="T156">
        <v>4</v>
      </c>
      <c r="U156">
        <v>6140</v>
      </c>
      <c r="V156">
        <v>0</v>
      </c>
      <c r="W156">
        <v>6140</v>
      </c>
    </row>
    <row r="157" spans="1:23" x14ac:dyDescent="0.25">
      <c r="A157">
        <v>15741</v>
      </c>
      <c r="B157">
        <v>456306570</v>
      </c>
      <c r="C157" t="s">
        <v>1476</v>
      </c>
      <c r="D157" s="8" t="s">
        <v>1477</v>
      </c>
      <c r="E157" t="s">
        <v>644</v>
      </c>
      <c r="G157" t="s">
        <v>53</v>
      </c>
      <c r="H157" t="s">
        <v>54</v>
      </c>
      <c r="I157" t="s">
        <v>30</v>
      </c>
      <c r="J157" t="s">
        <v>55</v>
      </c>
      <c r="K157" t="s">
        <v>27</v>
      </c>
      <c r="L157" t="s">
        <v>1478</v>
      </c>
      <c r="M157" t="s">
        <v>1479</v>
      </c>
      <c r="N157" t="s">
        <v>646</v>
      </c>
      <c r="O157" t="s">
        <v>83</v>
      </c>
      <c r="P157" t="s">
        <v>1480</v>
      </c>
      <c r="Q157" t="s">
        <v>81</v>
      </c>
      <c r="R157" s="23" t="s">
        <v>364</v>
      </c>
      <c r="S157" s="23">
        <v>46178</v>
      </c>
      <c r="T157">
        <v>2.1</v>
      </c>
      <c r="U157">
        <v>5816</v>
      </c>
      <c r="V157">
        <v>0</v>
      </c>
      <c r="W157">
        <v>5816</v>
      </c>
    </row>
    <row r="158" spans="1:23" x14ac:dyDescent="0.25">
      <c r="A158">
        <v>15741</v>
      </c>
      <c r="B158">
        <v>456494953</v>
      </c>
      <c r="C158" t="s">
        <v>1481</v>
      </c>
      <c r="D158" s="8" t="s">
        <v>1482</v>
      </c>
      <c r="E158" t="s">
        <v>644</v>
      </c>
      <c r="G158" t="s">
        <v>53</v>
      </c>
      <c r="H158" t="s">
        <v>54</v>
      </c>
      <c r="I158" t="s">
        <v>30</v>
      </c>
      <c r="J158" t="s">
        <v>55</v>
      </c>
      <c r="K158" t="s">
        <v>27</v>
      </c>
      <c r="L158" t="s">
        <v>1483</v>
      </c>
      <c r="M158" t="s">
        <v>1484</v>
      </c>
      <c r="N158" t="s">
        <v>646</v>
      </c>
      <c r="O158" t="s">
        <v>83</v>
      </c>
      <c r="P158" t="s">
        <v>1485</v>
      </c>
      <c r="Q158" t="s">
        <v>44</v>
      </c>
      <c r="R158" s="23" t="s">
        <v>478</v>
      </c>
      <c r="S158" s="23">
        <v>46182</v>
      </c>
      <c r="T158">
        <v>4</v>
      </c>
      <c r="U158">
        <v>6140</v>
      </c>
      <c r="V158">
        <v>0</v>
      </c>
      <c r="W158">
        <v>6140</v>
      </c>
    </row>
    <row r="159" spans="1:23" x14ac:dyDescent="0.25">
      <c r="A159">
        <v>15741</v>
      </c>
      <c r="B159">
        <v>456330931</v>
      </c>
      <c r="C159" t="s">
        <v>1486</v>
      </c>
      <c r="D159" s="8" t="s">
        <v>1487</v>
      </c>
      <c r="E159" t="s">
        <v>644</v>
      </c>
      <c r="G159" t="s">
        <v>53</v>
      </c>
      <c r="H159" t="s">
        <v>54</v>
      </c>
      <c r="I159" t="s">
        <v>30</v>
      </c>
      <c r="J159" t="s">
        <v>55</v>
      </c>
      <c r="K159" t="s">
        <v>27</v>
      </c>
      <c r="L159" t="s">
        <v>1488</v>
      </c>
      <c r="M159" t="s">
        <v>1489</v>
      </c>
      <c r="N159" t="s">
        <v>646</v>
      </c>
      <c r="O159" t="s">
        <v>83</v>
      </c>
      <c r="P159" t="s">
        <v>1490</v>
      </c>
      <c r="Q159" t="s">
        <v>45</v>
      </c>
      <c r="R159" s="23" t="s">
        <v>1491</v>
      </c>
      <c r="S159" s="23">
        <v>46178</v>
      </c>
      <c r="T159">
        <v>2.1</v>
      </c>
      <c r="U159">
        <v>5816</v>
      </c>
      <c r="V159">
        <v>0</v>
      </c>
      <c r="W159">
        <v>5816</v>
      </c>
    </row>
    <row r="160" spans="1:23" x14ac:dyDescent="0.25">
      <c r="A160">
        <v>15741</v>
      </c>
      <c r="B160">
        <v>456333455</v>
      </c>
      <c r="C160" t="s">
        <v>1492</v>
      </c>
      <c r="D160" s="8" t="s">
        <v>1493</v>
      </c>
      <c r="E160" t="s">
        <v>644</v>
      </c>
      <c r="G160" t="s">
        <v>53</v>
      </c>
      <c r="H160" t="s">
        <v>54</v>
      </c>
      <c r="I160" t="s">
        <v>30</v>
      </c>
      <c r="J160" t="s">
        <v>55</v>
      </c>
      <c r="K160" t="s">
        <v>27</v>
      </c>
      <c r="L160" t="s">
        <v>1494</v>
      </c>
      <c r="M160" t="s">
        <v>1495</v>
      </c>
      <c r="N160" t="s">
        <v>646</v>
      </c>
      <c r="O160" t="s">
        <v>83</v>
      </c>
      <c r="P160" t="s">
        <v>1496</v>
      </c>
      <c r="Q160" t="s">
        <v>43</v>
      </c>
      <c r="R160" s="23" t="s">
        <v>238</v>
      </c>
      <c r="S160" s="23">
        <v>46178</v>
      </c>
      <c r="T160">
        <v>2</v>
      </c>
      <c r="U160">
        <v>5504</v>
      </c>
      <c r="V160">
        <v>0</v>
      </c>
      <c r="W160">
        <v>5504</v>
      </c>
    </row>
    <row r="161" spans="1:23" x14ac:dyDescent="0.25">
      <c r="A161">
        <v>15741</v>
      </c>
      <c r="B161">
        <v>456332239</v>
      </c>
      <c r="C161" t="s">
        <v>1497</v>
      </c>
      <c r="D161" s="8" t="s">
        <v>1498</v>
      </c>
      <c r="E161" t="s">
        <v>644</v>
      </c>
      <c r="G161" t="s">
        <v>53</v>
      </c>
      <c r="H161" t="s">
        <v>54</v>
      </c>
      <c r="I161" t="s">
        <v>30</v>
      </c>
      <c r="J161" t="s">
        <v>55</v>
      </c>
      <c r="K161" t="s">
        <v>27</v>
      </c>
      <c r="L161" t="s">
        <v>1499</v>
      </c>
      <c r="M161" t="s">
        <v>1500</v>
      </c>
      <c r="N161" t="s">
        <v>646</v>
      </c>
      <c r="O161" t="s">
        <v>83</v>
      </c>
      <c r="P161" t="s">
        <v>1501</v>
      </c>
      <c r="Q161" t="s">
        <v>48</v>
      </c>
      <c r="R161" s="23" t="s">
        <v>1502</v>
      </c>
      <c r="S161" s="23">
        <v>46178</v>
      </c>
      <c r="T161">
        <v>2</v>
      </c>
      <c r="U161">
        <v>5504</v>
      </c>
      <c r="V161">
        <v>0</v>
      </c>
      <c r="W161">
        <v>5504</v>
      </c>
    </row>
    <row r="162" spans="1:23" x14ac:dyDescent="0.25">
      <c r="A162">
        <v>15741</v>
      </c>
      <c r="B162">
        <v>456330245</v>
      </c>
      <c r="C162" t="s">
        <v>1503</v>
      </c>
      <c r="D162" s="8" t="s">
        <v>1504</v>
      </c>
      <c r="E162" t="s">
        <v>644</v>
      </c>
      <c r="G162" t="s">
        <v>53</v>
      </c>
      <c r="H162" t="s">
        <v>54</v>
      </c>
      <c r="I162" t="s">
        <v>30</v>
      </c>
      <c r="J162" t="s">
        <v>55</v>
      </c>
      <c r="K162" t="s">
        <v>27</v>
      </c>
      <c r="L162" t="s">
        <v>1505</v>
      </c>
      <c r="M162" t="s">
        <v>1506</v>
      </c>
      <c r="N162" t="s">
        <v>646</v>
      </c>
      <c r="O162" t="s">
        <v>83</v>
      </c>
      <c r="P162" t="s">
        <v>1507</v>
      </c>
      <c r="Q162" t="s">
        <v>43</v>
      </c>
      <c r="R162" s="23" t="s">
        <v>1508</v>
      </c>
      <c r="S162" s="23">
        <v>46178</v>
      </c>
      <c r="T162">
        <v>2.1</v>
      </c>
      <c r="U162">
        <v>5816</v>
      </c>
      <c r="V162">
        <v>0</v>
      </c>
      <c r="W162">
        <v>5816</v>
      </c>
    </row>
    <row r="163" spans="1:23" x14ac:dyDescent="0.25">
      <c r="A163">
        <v>15741</v>
      </c>
      <c r="B163">
        <v>456309852</v>
      </c>
      <c r="C163" t="s">
        <v>1509</v>
      </c>
      <c r="D163" s="8" t="s">
        <v>1510</v>
      </c>
      <c r="E163" t="s">
        <v>644</v>
      </c>
      <c r="G163" t="s">
        <v>53</v>
      </c>
      <c r="H163" t="s">
        <v>54</v>
      </c>
      <c r="I163" t="s">
        <v>30</v>
      </c>
      <c r="J163" t="s">
        <v>55</v>
      </c>
      <c r="K163" t="s">
        <v>27</v>
      </c>
      <c r="L163" t="s">
        <v>1511</v>
      </c>
      <c r="M163" t="s">
        <v>1512</v>
      </c>
      <c r="N163" t="s">
        <v>646</v>
      </c>
      <c r="O163" t="s">
        <v>83</v>
      </c>
      <c r="P163" t="s">
        <v>1513</v>
      </c>
      <c r="Q163" t="s">
        <v>158</v>
      </c>
      <c r="R163" s="23" t="s">
        <v>517</v>
      </c>
      <c r="S163" s="23">
        <v>46178</v>
      </c>
      <c r="T163">
        <v>2</v>
      </c>
      <c r="U163">
        <v>5504</v>
      </c>
      <c r="V163">
        <v>0</v>
      </c>
      <c r="W163">
        <v>5504</v>
      </c>
    </row>
    <row r="164" spans="1:23" x14ac:dyDescent="0.25">
      <c r="A164">
        <v>15741</v>
      </c>
      <c r="B164">
        <v>456333015</v>
      </c>
      <c r="C164" t="s">
        <v>1514</v>
      </c>
      <c r="D164" s="8" t="s">
        <v>1515</v>
      </c>
      <c r="E164" t="s">
        <v>644</v>
      </c>
      <c r="G164" t="s">
        <v>53</v>
      </c>
      <c r="H164" t="s">
        <v>54</v>
      </c>
      <c r="I164" t="s">
        <v>30</v>
      </c>
      <c r="J164" t="s">
        <v>55</v>
      </c>
      <c r="K164" t="s">
        <v>27</v>
      </c>
      <c r="L164" t="s">
        <v>1516</v>
      </c>
      <c r="M164" t="s">
        <v>1517</v>
      </c>
      <c r="N164" t="s">
        <v>646</v>
      </c>
      <c r="O164" t="s">
        <v>83</v>
      </c>
      <c r="P164" t="s">
        <v>1518</v>
      </c>
      <c r="Q164" t="s">
        <v>48</v>
      </c>
      <c r="R164" s="23" t="s">
        <v>1519</v>
      </c>
      <c r="S164" s="23">
        <v>46178</v>
      </c>
      <c r="T164">
        <v>2</v>
      </c>
      <c r="U164">
        <v>5504</v>
      </c>
      <c r="V164">
        <v>0</v>
      </c>
      <c r="W164">
        <v>5504</v>
      </c>
    </row>
    <row r="165" spans="1:23" x14ac:dyDescent="0.25">
      <c r="A165">
        <v>15741</v>
      </c>
      <c r="B165">
        <v>456333898</v>
      </c>
      <c r="C165" t="s">
        <v>1520</v>
      </c>
      <c r="D165" s="8" t="s">
        <v>1521</v>
      </c>
      <c r="E165" t="s">
        <v>644</v>
      </c>
      <c r="G165" t="s">
        <v>53</v>
      </c>
      <c r="H165" t="s">
        <v>54</v>
      </c>
      <c r="I165" t="s">
        <v>30</v>
      </c>
      <c r="J165" t="s">
        <v>55</v>
      </c>
      <c r="K165" t="s">
        <v>27</v>
      </c>
      <c r="L165" t="s">
        <v>1522</v>
      </c>
      <c r="M165" t="s">
        <v>1523</v>
      </c>
      <c r="N165" t="s">
        <v>646</v>
      </c>
      <c r="O165" t="s">
        <v>83</v>
      </c>
      <c r="P165" t="s">
        <v>1524</v>
      </c>
      <c r="Q165" t="s">
        <v>81</v>
      </c>
      <c r="R165" s="23" t="s">
        <v>1525</v>
      </c>
      <c r="S165" s="23">
        <v>46178</v>
      </c>
      <c r="T165">
        <v>2</v>
      </c>
      <c r="U165">
        <v>5504</v>
      </c>
      <c r="V165">
        <v>0</v>
      </c>
      <c r="W165">
        <v>5504</v>
      </c>
    </row>
    <row r="166" spans="1:23" x14ac:dyDescent="0.25">
      <c r="A166">
        <v>15741</v>
      </c>
      <c r="B166">
        <v>456308705</v>
      </c>
      <c r="C166" t="s">
        <v>1526</v>
      </c>
      <c r="D166" s="8" t="s">
        <v>1527</v>
      </c>
      <c r="E166" t="s">
        <v>644</v>
      </c>
      <c r="G166" t="s">
        <v>53</v>
      </c>
      <c r="H166" t="s">
        <v>54</v>
      </c>
      <c r="I166" t="s">
        <v>30</v>
      </c>
      <c r="J166" t="s">
        <v>55</v>
      </c>
      <c r="K166" t="s">
        <v>27</v>
      </c>
      <c r="L166" t="s">
        <v>1528</v>
      </c>
      <c r="M166" t="s">
        <v>1529</v>
      </c>
      <c r="N166" t="s">
        <v>646</v>
      </c>
      <c r="O166" t="s">
        <v>83</v>
      </c>
      <c r="P166" t="s">
        <v>1530</v>
      </c>
      <c r="Q166" t="s">
        <v>75</v>
      </c>
      <c r="R166" s="23" t="s">
        <v>1531</v>
      </c>
      <c r="S166" s="23">
        <v>46178</v>
      </c>
      <c r="T166">
        <v>2</v>
      </c>
      <c r="U166">
        <v>5504</v>
      </c>
      <c r="V166">
        <v>0</v>
      </c>
      <c r="W166">
        <v>5504</v>
      </c>
    </row>
    <row r="167" spans="1:23" x14ac:dyDescent="0.25">
      <c r="A167">
        <v>15741</v>
      </c>
      <c r="B167">
        <v>456315248</v>
      </c>
      <c r="C167" t="s">
        <v>1532</v>
      </c>
      <c r="D167" s="8" t="s">
        <v>1533</v>
      </c>
      <c r="E167" t="s">
        <v>644</v>
      </c>
      <c r="G167" t="s">
        <v>53</v>
      </c>
      <c r="H167" t="s">
        <v>54</v>
      </c>
      <c r="I167" t="s">
        <v>30</v>
      </c>
      <c r="J167" t="s">
        <v>55</v>
      </c>
      <c r="K167" t="s">
        <v>27</v>
      </c>
      <c r="L167" t="s">
        <v>1534</v>
      </c>
      <c r="M167" t="s">
        <v>1535</v>
      </c>
      <c r="N167" t="s">
        <v>646</v>
      </c>
      <c r="O167" t="s">
        <v>83</v>
      </c>
      <c r="P167" t="s">
        <v>1536</v>
      </c>
      <c r="Q167" t="s">
        <v>50</v>
      </c>
      <c r="R167" s="23" t="s">
        <v>401</v>
      </c>
      <c r="S167" s="23">
        <v>46178</v>
      </c>
      <c r="T167">
        <v>2</v>
      </c>
      <c r="U167">
        <v>5504</v>
      </c>
      <c r="V167">
        <v>0</v>
      </c>
      <c r="W167">
        <v>5504</v>
      </c>
    </row>
    <row r="168" spans="1:23" x14ac:dyDescent="0.25">
      <c r="A168">
        <v>15741</v>
      </c>
      <c r="B168">
        <v>456307526</v>
      </c>
      <c r="C168" t="s">
        <v>1537</v>
      </c>
      <c r="D168" s="8" t="s">
        <v>1538</v>
      </c>
      <c r="E168" t="s">
        <v>644</v>
      </c>
      <c r="G168" t="s">
        <v>53</v>
      </c>
      <c r="H168" t="s">
        <v>54</v>
      </c>
      <c r="I168" t="s">
        <v>30</v>
      </c>
      <c r="J168" t="s">
        <v>55</v>
      </c>
      <c r="K168" t="s">
        <v>27</v>
      </c>
      <c r="L168" t="s">
        <v>1539</v>
      </c>
      <c r="M168" t="s">
        <v>1540</v>
      </c>
      <c r="N168" t="s">
        <v>646</v>
      </c>
      <c r="O168" t="s">
        <v>83</v>
      </c>
      <c r="P168" t="s">
        <v>1541</v>
      </c>
      <c r="Q168" t="s">
        <v>87</v>
      </c>
      <c r="R168" s="23" t="s">
        <v>555</v>
      </c>
      <c r="S168" s="23">
        <v>46178</v>
      </c>
      <c r="T168">
        <v>2.1</v>
      </c>
      <c r="U168">
        <v>5816</v>
      </c>
      <c r="V168">
        <v>0</v>
      </c>
      <c r="W168">
        <v>5816</v>
      </c>
    </row>
    <row r="169" spans="1:23" x14ac:dyDescent="0.25">
      <c r="A169">
        <v>15741</v>
      </c>
      <c r="B169">
        <v>456333969</v>
      </c>
      <c r="C169" t="s">
        <v>1542</v>
      </c>
      <c r="D169" s="8" t="s">
        <v>1543</v>
      </c>
      <c r="E169" t="s">
        <v>644</v>
      </c>
      <c r="G169" t="s">
        <v>53</v>
      </c>
      <c r="H169" t="s">
        <v>54</v>
      </c>
      <c r="I169" t="s">
        <v>30</v>
      </c>
      <c r="J169" t="s">
        <v>55</v>
      </c>
      <c r="K169" t="s">
        <v>27</v>
      </c>
      <c r="L169" t="s">
        <v>1544</v>
      </c>
      <c r="M169" t="s">
        <v>1545</v>
      </c>
      <c r="N169" t="s">
        <v>646</v>
      </c>
      <c r="O169" t="s">
        <v>83</v>
      </c>
      <c r="P169" t="s">
        <v>1546</v>
      </c>
      <c r="Q169" t="s">
        <v>86</v>
      </c>
      <c r="R169" s="23" t="s">
        <v>1547</v>
      </c>
      <c r="S169" s="23">
        <v>46178</v>
      </c>
      <c r="T169">
        <v>2</v>
      </c>
      <c r="U169">
        <v>5504</v>
      </c>
      <c r="V169">
        <v>0</v>
      </c>
      <c r="W169">
        <v>5504</v>
      </c>
    </row>
    <row r="170" spans="1:23" x14ac:dyDescent="0.25">
      <c r="A170">
        <v>15741</v>
      </c>
      <c r="B170">
        <v>456332324</v>
      </c>
      <c r="C170" t="s">
        <v>1548</v>
      </c>
      <c r="D170" s="8" t="s">
        <v>1549</v>
      </c>
      <c r="E170" t="s">
        <v>644</v>
      </c>
      <c r="G170" t="s">
        <v>53</v>
      </c>
      <c r="H170" t="s">
        <v>54</v>
      </c>
      <c r="I170" t="s">
        <v>30</v>
      </c>
      <c r="J170" t="s">
        <v>55</v>
      </c>
      <c r="K170" t="s">
        <v>27</v>
      </c>
      <c r="L170" t="s">
        <v>1550</v>
      </c>
      <c r="M170" t="s">
        <v>1551</v>
      </c>
      <c r="N170" t="s">
        <v>646</v>
      </c>
      <c r="O170" t="s">
        <v>83</v>
      </c>
      <c r="P170" t="s">
        <v>1552</v>
      </c>
      <c r="Q170" t="s">
        <v>80</v>
      </c>
      <c r="R170" s="23" t="s">
        <v>1553</v>
      </c>
      <c r="S170" s="23">
        <v>46178</v>
      </c>
      <c r="T170">
        <v>2.1</v>
      </c>
      <c r="U170">
        <v>5816</v>
      </c>
      <c r="V170">
        <v>0</v>
      </c>
      <c r="W170">
        <v>5816</v>
      </c>
    </row>
    <row r="171" spans="1:23" x14ac:dyDescent="0.25">
      <c r="A171">
        <v>15741</v>
      </c>
      <c r="B171">
        <v>456305630</v>
      </c>
      <c r="C171" t="s">
        <v>1554</v>
      </c>
      <c r="D171" s="8" t="s">
        <v>1555</v>
      </c>
      <c r="E171" t="s">
        <v>644</v>
      </c>
      <c r="G171" t="s">
        <v>53</v>
      </c>
      <c r="H171" t="s">
        <v>54</v>
      </c>
      <c r="I171" t="s">
        <v>30</v>
      </c>
      <c r="J171" t="s">
        <v>55</v>
      </c>
      <c r="K171" t="s">
        <v>27</v>
      </c>
      <c r="L171" t="s">
        <v>1556</v>
      </c>
      <c r="M171" t="s">
        <v>1557</v>
      </c>
      <c r="N171" t="s">
        <v>646</v>
      </c>
      <c r="O171" t="s">
        <v>83</v>
      </c>
      <c r="P171" t="s">
        <v>1558</v>
      </c>
      <c r="Q171" t="s">
        <v>140</v>
      </c>
      <c r="R171" s="23" t="s">
        <v>225</v>
      </c>
      <c r="S171" s="23">
        <v>46178</v>
      </c>
      <c r="T171">
        <v>7.3</v>
      </c>
      <c r="U171">
        <v>7487</v>
      </c>
      <c r="V171">
        <v>0</v>
      </c>
      <c r="W171">
        <v>7487</v>
      </c>
    </row>
    <row r="172" spans="1:23" x14ac:dyDescent="0.25">
      <c r="A172">
        <v>15741</v>
      </c>
      <c r="B172">
        <v>456307394</v>
      </c>
      <c r="C172" t="s">
        <v>1559</v>
      </c>
      <c r="D172" s="8" t="s">
        <v>1560</v>
      </c>
      <c r="E172" t="s">
        <v>644</v>
      </c>
      <c r="G172" t="s">
        <v>53</v>
      </c>
      <c r="H172" t="s">
        <v>54</v>
      </c>
      <c r="I172" t="s">
        <v>30</v>
      </c>
      <c r="J172" t="s">
        <v>55</v>
      </c>
      <c r="K172" t="s">
        <v>27</v>
      </c>
      <c r="L172" t="s">
        <v>1561</v>
      </c>
      <c r="M172" t="s">
        <v>1562</v>
      </c>
      <c r="N172" t="s">
        <v>646</v>
      </c>
      <c r="O172" t="s">
        <v>83</v>
      </c>
      <c r="P172" t="s">
        <v>1563</v>
      </c>
      <c r="Q172" t="s">
        <v>47</v>
      </c>
      <c r="R172" s="23" t="s">
        <v>376</v>
      </c>
      <c r="S172" s="23">
        <v>46178</v>
      </c>
      <c r="T172">
        <v>2</v>
      </c>
      <c r="U172">
        <v>5504</v>
      </c>
      <c r="V172">
        <v>0</v>
      </c>
      <c r="W172">
        <v>5504</v>
      </c>
    </row>
    <row r="173" spans="1:23" x14ac:dyDescent="0.25">
      <c r="A173">
        <v>15741</v>
      </c>
      <c r="B173">
        <v>456309528</v>
      </c>
      <c r="C173" t="s">
        <v>1564</v>
      </c>
      <c r="D173" s="8" t="s">
        <v>1565</v>
      </c>
      <c r="E173" t="s">
        <v>644</v>
      </c>
      <c r="G173" t="s">
        <v>53</v>
      </c>
      <c r="H173" t="s">
        <v>54</v>
      </c>
      <c r="I173" t="s">
        <v>30</v>
      </c>
      <c r="J173" t="s">
        <v>55</v>
      </c>
      <c r="K173" t="s">
        <v>27</v>
      </c>
      <c r="L173" t="s">
        <v>1566</v>
      </c>
      <c r="M173" t="s">
        <v>1567</v>
      </c>
      <c r="N173" t="s">
        <v>646</v>
      </c>
      <c r="O173" t="s">
        <v>83</v>
      </c>
      <c r="P173" t="s">
        <v>1568</v>
      </c>
      <c r="Q173" t="s">
        <v>44</v>
      </c>
      <c r="R173" s="23" t="s">
        <v>162</v>
      </c>
      <c r="S173" s="23">
        <v>46178</v>
      </c>
      <c r="T173">
        <v>2.1</v>
      </c>
      <c r="U173">
        <v>5816</v>
      </c>
      <c r="V173">
        <v>0</v>
      </c>
      <c r="W173">
        <v>5816</v>
      </c>
    </row>
    <row r="174" spans="1:23" x14ac:dyDescent="0.25">
      <c r="A174">
        <v>15741</v>
      </c>
      <c r="B174">
        <v>456331857</v>
      </c>
      <c r="C174" t="s">
        <v>1569</v>
      </c>
      <c r="D174" s="8" t="s">
        <v>1570</v>
      </c>
      <c r="E174" t="s">
        <v>644</v>
      </c>
      <c r="G174" t="s">
        <v>53</v>
      </c>
      <c r="H174" t="s">
        <v>54</v>
      </c>
      <c r="I174" t="s">
        <v>30</v>
      </c>
      <c r="J174" t="s">
        <v>55</v>
      </c>
      <c r="K174" t="s">
        <v>27</v>
      </c>
      <c r="L174" t="s">
        <v>1571</v>
      </c>
      <c r="M174" t="s">
        <v>1572</v>
      </c>
      <c r="N174" t="s">
        <v>646</v>
      </c>
      <c r="O174" t="s">
        <v>83</v>
      </c>
      <c r="P174" t="s">
        <v>1573</v>
      </c>
      <c r="Q174" t="s">
        <v>50</v>
      </c>
      <c r="R174" s="23" t="s">
        <v>271</v>
      </c>
      <c r="S174" s="23">
        <v>46178</v>
      </c>
      <c r="T174">
        <v>2</v>
      </c>
      <c r="U174">
        <v>5504</v>
      </c>
      <c r="V174">
        <v>0</v>
      </c>
      <c r="W174">
        <v>5504</v>
      </c>
    </row>
    <row r="175" spans="1:23" x14ac:dyDescent="0.25">
      <c r="A175">
        <v>15741</v>
      </c>
      <c r="B175">
        <v>456321243</v>
      </c>
      <c r="C175" t="s">
        <v>1574</v>
      </c>
      <c r="D175" s="8" t="s">
        <v>1575</v>
      </c>
      <c r="E175" t="s">
        <v>644</v>
      </c>
      <c r="G175" t="s">
        <v>53</v>
      </c>
      <c r="H175" t="s">
        <v>54</v>
      </c>
      <c r="I175" t="s">
        <v>30</v>
      </c>
      <c r="J175" t="s">
        <v>55</v>
      </c>
      <c r="K175" t="s">
        <v>27</v>
      </c>
      <c r="L175" t="s">
        <v>1576</v>
      </c>
      <c r="M175" t="s">
        <v>1577</v>
      </c>
      <c r="N175" t="s">
        <v>646</v>
      </c>
      <c r="O175" t="s">
        <v>83</v>
      </c>
      <c r="P175" t="s">
        <v>1578</v>
      </c>
      <c r="Q175" t="s">
        <v>66</v>
      </c>
      <c r="R175" s="23" t="s">
        <v>170</v>
      </c>
      <c r="S175" s="23">
        <v>46178</v>
      </c>
      <c r="T175">
        <v>2.1</v>
      </c>
      <c r="U175">
        <v>5816</v>
      </c>
      <c r="V175">
        <v>0</v>
      </c>
      <c r="W175">
        <v>5816</v>
      </c>
    </row>
    <row r="176" spans="1:23" x14ac:dyDescent="0.25">
      <c r="A176">
        <v>15741</v>
      </c>
      <c r="B176">
        <v>456309973</v>
      </c>
      <c r="C176" t="s">
        <v>1579</v>
      </c>
      <c r="D176" s="8" t="s">
        <v>1580</v>
      </c>
      <c r="E176" t="s">
        <v>644</v>
      </c>
      <c r="G176" t="s">
        <v>53</v>
      </c>
      <c r="H176" t="s">
        <v>54</v>
      </c>
      <c r="I176" t="s">
        <v>30</v>
      </c>
      <c r="J176" t="s">
        <v>55</v>
      </c>
      <c r="K176" t="s">
        <v>27</v>
      </c>
      <c r="L176" t="s">
        <v>1581</v>
      </c>
      <c r="M176" t="s">
        <v>1582</v>
      </c>
      <c r="N176" t="s">
        <v>646</v>
      </c>
      <c r="O176" t="s">
        <v>83</v>
      </c>
      <c r="P176" t="s">
        <v>1583</v>
      </c>
      <c r="Q176" t="s">
        <v>148</v>
      </c>
      <c r="R176" s="23" t="s">
        <v>1584</v>
      </c>
      <c r="S176" s="23">
        <v>46178</v>
      </c>
      <c r="T176">
        <v>2</v>
      </c>
      <c r="U176">
        <v>5504</v>
      </c>
      <c r="V176">
        <v>0</v>
      </c>
      <c r="W176">
        <v>5504</v>
      </c>
    </row>
    <row r="177" spans="1:23" x14ac:dyDescent="0.25">
      <c r="A177">
        <v>15741</v>
      </c>
      <c r="B177">
        <v>456330189</v>
      </c>
      <c r="C177" t="s">
        <v>1585</v>
      </c>
      <c r="D177" s="8" t="s">
        <v>1586</v>
      </c>
      <c r="E177" t="s">
        <v>644</v>
      </c>
      <c r="G177" t="s">
        <v>53</v>
      </c>
      <c r="H177" t="s">
        <v>54</v>
      </c>
      <c r="I177" t="s">
        <v>30</v>
      </c>
      <c r="J177" t="s">
        <v>55</v>
      </c>
      <c r="K177" t="s">
        <v>27</v>
      </c>
      <c r="L177" t="s">
        <v>1587</v>
      </c>
      <c r="M177" t="s">
        <v>1588</v>
      </c>
      <c r="N177" t="s">
        <v>646</v>
      </c>
      <c r="O177" t="s">
        <v>83</v>
      </c>
      <c r="P177" t="s">
        <v>1589</v>
      </c>
      <c r="Q177" t="s">
        <v>61</v>
      </c>
      <c r="R177" s="23" t="s">
        <v>127</v>
      </c>
      <c r="S177" s="23">
        <v>46178</v>
      </c>
      <c r="T177">
        <v>21.2</v>
      </c>
      <c r="U177">
        <v>11288</v>
      </c>
      <c r="V177">
        <v>0</v>
      </c>
      <c r="W177">
        <v>11288</v>
      </c>
    </row>
    <row r="178" spans="1:23" x14ac:dyDescent="0.25">
      <c r="A178">
        <v>15741</v>
      </c>
      <c r="B178">
        <v>456332560</v>
      </c>
      <c r="C178" t="s">
        <v>1590</v>
      </c>
      <c r="D178" s="8" t="s">
        <v>1591</v>
      </c>
      <c r="E178" t="s">
        <v>644</v>
      </c>
      <c r="G178" t="s">
        <v>53</v>
      </c>
      <c r="H178" t="s">
        <v>54</v>
      </c>
      <c r="I178" t="s">
        <v>30</v>
      </c>
      <c r="J178" t="s">
        <v>55</v>
      </c>
      <c r="K178" t="s">
        <v>27</v>
      </c>
      <c r="L178" t="s">
        <v>1592</v>
      </c>
      <c r="M178" t="s">
        <v>1593</v>
      </c>
      <c r="N178" t="s">
        <v>646</v>
      </c>
      <c r="O178" t="s">
        <v>83</v>
      </c>
      <c r="P178" t="s">
        <v>1594</v>
      </c>
      <c r="Q178" t="s">
        <v>45</v>
      </c>
      <c r="R178" s="23" t="s">
        <v>1595</v>
      </c>
      <c r="S178" s="23">
        <v>46178</v>
      </c>
      <c r="T178">
        <v>2</v>
      </c>
      <c r="U178">
        <v>5504</v>
      </c>
      <c r="V178">
        <v>0</v>
      </c>
      <c r="W178">
        <v>5504</v>
      </c>
    </row>
    <row r="179" spans="1:23" x14ac:dyDescent="0.25">
      <c r="A179">
        <v>15741</v>
      </c>
      <c r="B179">
        <v>456330073</v>
      </c>
      <c r="C179" t="s">
        <v>1596</v>
      </c>
      <c r="D179" s="8" t="s">
        <v>1597</v>
      </c>
      <c r="E179" t="s">
        <v>644</v>
      </c>
      <c r="G179" t="s">
        <v>53</v>
      </c>
      <c r="H179" t="s">
        <v>54</v>
      </c>
      <c r="I179" t="s">
        <v>30</v>
      </c>
      <c r="J179" t="s">
        <v>55</v>
      </c>
      <c r="K179" t="s">
        <v>27</v>
      </c>
      <c r="L179" t="s">
        <v>1598</v>
      </c>
      <c r="M179" t="s">
        <v>1599</v>
      </c>
      <c r="N179" t="s">
        <v>646</v>
      </c>
      <c r="O179" t="s">
        <v>83</v>
      </c>
      <c r="P179" t="s">
        <v>1600</v>
      </c>
      <c r="Q179" t="s">
        <v>86</v>
      </c>
      <c r="R179" s="23" t="s">
        <v>434</v>
      </c>
      <c r="S179" s="23">
        <v>46178</v>
      </c>
      <c r="T179">
        <v>39.17</v>
      </c>
      <c r="U179">
        <v>15962</v>
      </c>
      <c r="V179">
        <v>0</v>
      </c>
      <c r="W179">
        <v>15962</v>
      </c>
    </row>
    <row r="180" spans="1:23" x14ac:dyDescent="0.25">
      <c r="A180">
        <v>15741</v>
      </c>
      <c r="B180">
        <v>456333287</v>
      </c>
      <c r="C180" t="s">
        <v>1601</v>
      </c>
      <c r="D180" s="8" t="s">
        <v>1602</v>
      </c>
      <c r="E180" t="s">
        <v>644</v>
      </c>
      <c r="G180" t="s">
        <v>53</v>
      </c>
      <c r="H180" t="s">
        <v>54</v>
      </c>
      <c r="I180" t="s">
        <v>30</v>
      </c>
      <c r="J180" t="s">
        <v>55</v>
      </c>
      <c r="K180" t="s">
        <v>27</v>
      </c>
      <c r="L180" t="s">
        <v>1603</v>
      </c>
      <c r="M180" t="s">
        <v>1604</v>
      </c>
      <c r="N180" t="s">
        <v>646</v>
      </c>
      <c r="O180" t="s">
        <v>83</v>
      </c>
      <c r="P180" t="s">
        <v>1605</v>
      </c>
      <c r="Q180" t="s">
        <v>48</v>
      </c>
      <c r="R180" s="23" t="s">
        <v>1606</v>
      </c>
      <c r="S180" s="23">
        <v>46178</v>
      </c>
      <c r="T180">
        <v>2</v>
      </c>
      <c r="U180">
        <v>5504</v>
      </c>
      <c r="V180">
        <v>0</v>
      </c>
      <c r="W180">
        <v>5504</v>
      </c>
    </row>
    <row r="181" spans="1:23" x14ac:dyDescent="0.25">
      <c r="A181">
        <v>15741</v>
      </c>
      <c r="B181">
        <v>456307595</v>
      </c>
      <c r="C181" t="s">
        <v>1607</v>
      </c>
      <c r="D181" s="8" t="s">
        <v>1608</v>
      </c>
      <c r="E181" t="s">
        <v>644</v>
      </c>
      <c r="G181" t="s">
        <v>53</v>
      </c>
      <c r="H181" t="s">
        <v>54</v>
      </c>
      <c r="I181" t="s">
        <v>30</v>
      </c>
      <c r="J181" t="s">
        <v>55</v>
      </c>
      <c r="K181" t="s">
        <v>27</v>
      </c>
      <c r="L181" t="s">
        <v>1609</v>
      </c>
      <c r="M181" t="s">
        <v>1610</v>
      </c>
      <c r="N181" t="s">
        <v>646</v>
      </c>
      <c r="O181" t="s">
        <v>83</v>
      </c>
      <c r="P181" t="s">
        <v>1611</v>
      </c>
      <c r="Q181" t="s">
        <v>48</v>
      </c>
      <c r="R181" s="23" t="s">
        <v>277</v>
      </c>
      <c r="S181" s="23">
        <v>46178</v>
      </c>
      <c r="T181">
        <v>2</v>
      </c>
      <c r="U181">
        <v>5504</v>
      </c>
      <c r="V181">
        <v>0</v>
      </c>
      <c r="W181">
        <v>5504</v>
      </c>
    </row>
    <row r="182" spans="1:23" x14ac:dyDescent="0.25">
      <c r="A182">
        <v>15741</v>
      </c>
      <c r="B182">
        <v>456306465</v>
      </c>
      <c r="C182" t="s">
        <v>1612</v>
      </c>
      <c r="D182" s="8" t="s">
        <v>1613</v>
      </c>
      <c r="E182" t="s">
        <v>644</v>
      </c>
      <c r="G182" t="s">
        <v>53</v>
      </c>
      <c r="H182" t="s">
        <v>54</v>
      </c>
      <c r="I182" t="s">
        <v>30</v>
      </c>
      <c r="J182" t="s">
        <v>55</v>
      </c>
      <c r="K182" t="s">
        <v>27</v>
      </c>
      <c r="L182" t="s">
        <v>1614</v>
      </c>
      <c r="M182" t="s">
        <v>1615</v>
      </c>
      <c r="N182" t="s">
        <v>646</v>
      </c>
      <c r="O182" t="s">
        <v>83</v>
      </c>
      <c r="P182" t="s">
        <v>1616</v>
      </c>
      <c r="Q182" t="s">
        <v>52</v>
      </c>
      <c r="R182" s="23" t="s">
        <v>1617</v>
      </c>
      <c r="S182" s="23">
        <v>46178</v>
      </c>
      <c r="T182">
        <v>2</v>
      </c>
      <c r="U182">
        <v>5504</v>
      </c>
      <c r="V182">
        <v>0</v>
      </c>
      <c r="W182">
        <v>5504</v>
      </c>
    </row>
    <row r="183" spans="1:23" x14ac:dyDescent="0.25">
      <c r="A183">
        <v>15741</v>
      </c>
      <c r="B183">
        <v>456306231</v>
      </c>
      <c r="C183" t="s">
        <v>1618</v>
      </c>
      <c r="D183" s="8" t="s">
        <v>1619</v>
      </c>
      <c r="E183" t="s">
        <v>644</v>
      </c>
      <c r="G183" t="s">
        <v>53</v>
      </c>
      <c r="H183" t="s">
        <v>54</v>
      </c>
      <c r="I183" t="s">
        <v>30</v>
      </c>
      <c r="J183" t="s">
        <v>55</v>
      </c>
      <c r="K183" t="s">
        <v>27</v>
      </c>
      <c r="L183" t="s">
        <v>1620</v>
      </c>
      <c r="M183" t="s">
        <v>1621</v>
      </c>
      <c r="N183" t="s">
        <v>646</v>
      </c>
      <c r="O183" t="s">
        <v>83</v>
      </c>
      <c r="P183" t="s">
        <v>1622</v>
      </c>
      <c r="Q183" t="s">
        <v>52</v>
      </c>
      <c r="R183" s="23" t="s">
        <v>131</v>
      </c>
      <c r="S183" s="23">
        <v>46178</v>
      </c>
      <c r="T183">
        <v>2.1</v>
      </c>
      <c r="U183">
        <v>5816</v>
      </c>
      <c r="V183">
        <v>0</v>
      </c>
      <c r="W183">
        <v>5816</v>
      </c>
    </row>
    <row r="184" spans="1:23" x14ac:dyDescent="0.25">
      <c r="A184">
        <v>15741</v>
      </c>
      <c r="B184">
        <v>456332424</v>
      </c>
      <c r="C184" t="s">
        <v>1623</v>
      </c>
      <c r="D184" s="8" t="s">
        <v>1624</v>
      </c>
      <c r="E184" t="s">
        <v>644</v>
      </c>
      <c r="G184" t="s">
        <v>53</v>
      </c>
      <c r="H184" t="s">
        <v>54</v>
      </c>
      <c r="I184" t="s">
        <v>30</v>
      </c>
      <c r="J184" t="s">
        <v>55</v>
      </c>
      <c r="K184" t="s">
        <v>27</v>
      </c>
      <c r="L184" t="s">
        <v>1625</v>
      </c>
      <c r="M184" t="s">
        <v>1626</v>
      </c>
      <c r="N184" t="s">
        <v>646</v>
      </c>
      <c r="O184" t="s">
        <v>83</v>
      </c>
      <c r="P184" t="s">
        <v>1627</v>
      </c>
      <c r="Q184" t="s">
        <v>48</v>
      </c>
      <c r="R184" s="23" t="s">
        <v>518</v>
      </c>
      <c r="S184" s="23">
        <v>46178</v>
      </c>
      <c r="T184">
        <v>2.1</v>
      </c>
      <c r="U184">
        <v>5816</v>
      </c>
      <c r="V184">
        <v>0</v>
      </c>
      <c r="W184">
        <v>5816</v>
      </c>
    </row>
    <row r="185" spans="1:23" x14ac:dyDescent="0.25">
      <c r="A185">
        <v>15741</v>
      </c>
      <c r="B185">
        <v>456437503</v>
      </c>
      <c r="C185" t="s">
        <v>1628</v>
      </c>
      <c r="D185" s="8" t="s">
        <v>1629</v>
      </c>
      <c r="E185" t="s">
        <v>644</v>
      </c>
      <c r="G185" t="s">
        <v>53</v>
      </c>
      <c r="H185" t="s">
        <v>54</v>
      </c>
      <c r="I185" t="s">
        <v>30</v>
      </c>
      <c r="J185" t="s">
        <v>55</v>
      </c>
      <c r="K185" t="s">
        <v>27</v>
      </c>
      <c r="L185" t="s">
        <v>1630</v>
      </c>
      <c r="M185" t="s">
        <v>1631</v>
      </c>
      <c r="N185" t="s">
        <v>646</v>
      </c>
      <c r="O185" t="s">
        <v>83</v>
      </c>
      <c r="P185" t="s">
        <v>1632</v>
      </c>
      <c r="Q185" t="s">
        <v>52</v>
      </c>
      <c r="R185" s="23" t="s">
        <v>125</v>
      </c>
      <c r="S185" s="23">
        <v>46181</v>
      </c>
      <c r="T185">
        <v>20.25</v>
      </c>
      <c r="U185">
        <v>10802</v>
      </c>
      <c r="V185">
        <v>0</v>
      </c>
      <c r="W185">
        <v>10802</v>
      </c>
    </row>
    <row r="186" spans="1:23" x14ac:dyDescent="0.25">
      <c r="A186">
        <v>15741</v>
      </c>
      <c r="B186">
        <v>456437953</v>
      </c>
      <c r="C186" t="s">
        <v>1633</v>
      </c>
      <c r="D186" s="8" t="s">
        <v>1634</v>
      </c>
      <c r="E186" t="s">
        <v>644</v>
      </c>
      <c r="G186" t="s">
        <v>53</v>
      </c>
      <c r="H186" t="s">
        <v>54</v>
      </c>
      <c r="I186" t="s">
        <v>30</v>
      </c>
      <c r="J186" t="s">
        <v>55</v>
      </c>
      <c r="K186" t="s">
        <v>27</v>
      </c>
      <c r="L186" t="s">
        <v>1635</v>
      </c>
      <c r="M186" t="s">
        <v>1636</v>
      </c>
      <c r="N186" t="s">
        <v>646</v>
      </c>
      <c r="O186" t="s">
        <v>83</v>
      </c>
      <c r="P186" t="s">
        <v>1637</v>
      </c>
      <c r="Q186" t="s">
        <v>49</v>
      </c>
      <c r="R186" s="23" t="s">
        <v>568</v>
      </c>
      <c r="S186" s="23">
        <v>46181</v>
      </c>
      <c r="T186">
        <v>14.63</v>
      </c>
      <c r="U186">
        <v>11733</v>
      </c>
      <c r="V186">
        <v>0</v>
      </c>
      <c r="W186">
        <v>11733</v>
      </c>
    </row>
    <row r="187" spans="1:23" x14ac:dyDescent="0.25">
      <c r="A187">
        <v>15741</v>
      </c>
      <c r="B187">
        <v>456310259</v>
      </c>
      <c r="C187" t="s">
        <v>1638</v>
      </c>
      <c r="D187" s="8" t="s">
        <v>1639</v>
      </c>
      <c r="E187" t="s">
        <v>644</v>
      </c>
      <c r="G187" t="s">
        <v>53</v>
      </c>
      <c r="H187" t="s">
        <v>54</v>
      </c>
      <c r="I187" t="s">
        <v>30</v>
      </c>
      <c r="J187" t="s">
        <v>55</v>
      </c>
      <c r="K187" t="s">
        <v>27</v>
      </c>
      <c r="L187" t="s">
        <v>1640</v>
      </c>
      <c r="M187" t="s">
        <v>1641</v>
      </c>
      <c r="N187" t="s">
        <v>646</v>
      </c>
      <c r="O187" t="s">
        <v>83</v>
      </c>
      <c r="P187" t="s">
        <v>1642</v>
      </c>
      <c r="Q187" t="s">
        <v>52</v>
      </c>
      <c r="R187" s="23" t="s">
        <v>513</v>
      </c>
      <c r="S187" s="23">
        <v>46178</v>
      </c>
      <c r="T187">
        <v>2</v>
      </c>
      <c r="U187">
        <v>5504</v>
      </c>
      <c r="V187">
        <v>0</v>
      </c>
      <c r="W187">
        <v>5504</v>
      </c>
    </row>
    <row r="188" spans="1:23" x14ac:dyDescent="0.25">
      <c r="A188">
        <v>15741</v>
      </c>
      <c r="B188">
        <v>456330643</v>
      </c>
      <c r="C188" t="s">
        <v>1643</v>
      </c>
      <c r="D188" s="8" t="s">
        <v>1644</v>
      </c>
      <c r="E188" t="s">
        <v>644</v>
      </c>
      <c r="G188" t="s">
        <v>53</v>
      </c>
      <c r="H188" t="s">
        <v>54</v>
      </c>
      <c r="I188" t="s">
        <v>30</v>
      </c>
      <c r="J188" t="s">
        <v>55</v>
      </c>
      <c r="K188" t="s">
        <v>27</v>
      </c>
      <c r="L188" t="s">
        <v>1645</v>
      </c>
      <c r="M188" t="s">
        <v>1646</v>
      </c>
      <c r="N188" t="s">
        <v>646</v>
      </c>
      <c r="O188" t="s">
        <v>83</v>
      </c>
      <c r="P188" t="s">
        <v>1647</v>
      </c>
      <c r="Q188" t="s">
        <v>81</v>
      </c>
      <c r="R188" s="23" t="s">
        <v>1648</v>
      </c>
      <c r="S188" s="23">
        <v>46178</v>
      </c>
      <c r="T188">
        <v>2</v>
      </c>
      <c r="U188">
        <v>5504</v>
      </c>
      <c r="V188">
        <v>0</v>
      </c>
      <c r="W188">
        <v>5504</v>
      </c>
    </row>
    <row r="189" spans="1:23" x14ac:dyDescent="0.25">
      <c r="A189">
        <v>15741</v>
      </c>
      <c r="B189">
        <v>456333119</v>
      </c>
      <c r="C189" t="s">
        <v>1649</v>
      </c>
      <c r="D189" s="8" t="s">
        <v>1650</v>
      </c>
      <c r="E189" t="s">
        <v>644</v>
      </c>
      <c r="G189" t="s">
        <v>53</v>
      </c>
      <c r="H189" t="s">
        <v>54</v>
      </c>
      <c r="I189" t="s">
        <v>30</v>
      </c>
      <c r="J189" t="s">
        <v>55</v>
      </c>
      <c r="K189" t="s">
        <v>37</v>
      </c>
      <c r="L189" t="s">
        <v>60</v>
      </c>
      <c r="M189" t="s">
        <v>1651</v>
      </c>
      <c r="N189" t="s">
        <v>646</v>
      </c>
      <c r="O189" t="s">
        <v>83</v>
      </c>
      <c r="P189" t="s">
        <v>1652</v>
      </c>
      <c r="Q189" t="s">
        <v>52</v>
      </c>
      <c r="R189" s="23" t="s">
        <v>1653</v>
      </c>
      <c r="S189" s="23">
        <v>46178</v>
      </c>
      <c r="T189">
        <v>2.1</v>
      </c>
      <c r="U189">
        <v>5816</v>
      </c>
      <c r="V189">
        <v>0</v>
      </c>
      <c r="W189">
        <v>5816</v>
      </c>
    </row>
    <row r="190" spans="1:23" x14ac:dyDescent="0.25">
      <c r="A190">
        <v>15741</v>
      </c>
      <c r="B190">
        <v>456308794</v>
      </c>
      <c r="C190" t="s">
        <v>1654</v>
      </c>
      <c r="D190" s="8" t="s">
        <v>1655</v>
      </c>
      <c r="E190" t="s">
        <v>644</v>
      </c>
      <c r="G190" t="s">
        <v>53</v>
      </c>
      <c r="H190" t="s">
        <v>54</v>
      </c>
      <c r="I190" t="s">
        <v>30</v>
      </c>
      <c r="J190" t="s">
        <v>55</v>
      </c>
      <c r="K190" t="s">
        <v>27</v>
      </c>
      <c r="L190" t="s">
        <v>1656</v>
      </c>
      <c r="M190" t="s">
        <v>1657</v>
      </c>
      <c r="N190" t="s">
        <v>646</v>
      </c>
      <c r="O190" t="s">
        <v>83</v>
      </c>
      <c r="P190" t="s">
        <v>1658</v>
      </c>
      <c r="Q190" t="s">
        <v>45</v>
      </c>
      <c r="R190" s="23" t="s">
        <v>585</v>
      </c>
      <c r="S190" s="23">
        <v>46178</v>
      </c>
      <c r="T190">
        <v>2.1</v>
      </c>
      <c r="U190">
        <v>5816</v>
      </c>
      <c r="V190">
        <v>0</v>
      </c>
      <c r="W190">
        <v>5816</v>
      </c>
    </row>
    <row r="191" spans="1:23" x14ac:dyDescent="0.25">
      <c r="A191">
        <v>15741</v>
      </c>
      <c r="B191">
        <v>456330493</v>
      </c>
      <c r="C191" t="s">
        <v>1659</v>
      </c>
      <c r="D191" s="8" t="s">
        <v>1660</v>
      </c>
      <c r="E191" t="s">
        <v>644</v>
      </c>
      <c r="G191" t="s">
        <v>53</v>
      </c>
      <c r="H191" t="s">
        <v>54</v>
      </c>
      <c r="I191" t="s">
        <v>30</v>
      </c>
      <c r="J191" t="s">
        <v>55</v>
      </c>
      <c r="K191" t="s">
        <v>27</v>
      </c>
      <c r="L191" t="s">
        <v>1661</v>
      </c>
      <c r="M191" t="s">
        <v>1662</v>
      </c>
      <c r="N191" t="s">
        <v>646</v>
      </c>
      <c r="O191" t="s">
        <v>83</v>
      </c>
      <c r="P191" t="s">
        <v>1663</v>
      </c>
      <c r="Q191" t="s">
        <v>47</v>
      </c>
      <c r="R191" s="23" t="s">
        <v>512</v>
      </c>
      <c r="S191" s="23">
        <v>46178</v>
      </c>
      <c r="T191">
        <v>2</v>
      </c>
      <c r="U191">
        <v>5504</v>
      </c>
      <c r="V191">
        <v>0</v>
      </c>
      <c r="W191">
        <v>5504</v>
      </c>
    </row>
    <row r="192" spans="1:23" x14ac:dyDescent="0.25">
      <c r="A192">
        <v>15741</v>
      </c>
      <c r="B192">
        <v>456308158</v>
      </c>
      <c r="C192" t="s">
        <v>1664</v>
      </c>
      <c r="D192" s="8" t="s">
        <v>1665</v>
      </c>
      <c r="E192" t="s">
        <v>644</v>
      </c>
      <c r="G192" t="s">
        <v>53</v>
      </c>
      <c r="H192" t="s">
        <v>54</v>
      </c>
      <c r="I192" t="s">
        <v>30</v>
      </c>
      <c r="J192" t="s">
        <v>55</v>
      </c>
      <c r="K192" t="s">
        <v>27</v>
      </c>
      <c r="L192" t="s">
        <v>1666</v>
      </c>
      <c r="M192" t="s">
        <v>1667</v>
      </c>
      <c r="N192" t="s">
        <v>646</v>
      </c>
      <c r="O192" t="s">
        <v>83</v>
      </c>
      <c r="P192" t="s">
        <v>1668</v>
      </c>
      <c r="Q192" t="s">
        <v>43</v>
      </c>
      <c r="R192" s="23" t="s">
        <v>341</v>
      </c>
      <c r="S192" s="23">
        <v>46178</v>
      </c>
      <c r="T192">
        <v>2</v>
      </c>
      <c r="U192">
        <v>5504</v>
      </c>
      <c r="V192">
        <v>0</v>
      </c>
      <c r="W192">
        <v>5504</v>
      </c>
    </row>
    <row r="193" spans="1:23" x14ac:dyDescent="0.25">
      <c r="A193">
        <v>15741</v>
      </c>
      <c r="B193">
        <v>456333328</v>
      </c>
      <c r="C193" t="s">
        <v>1669</v>
      </c>
      <c r="D193" s="8" t="s">
        <v>1670</v>
      </c>
      <c r="E193" t="s">
        <v>644</v>
      </c>
      <c r="G193" t="s">
        <v>53</v>
      </c>
      <c r="H193" t="s">
        <v>54</v>
      </c>
      <c r="I193" t="s">
        <v>30</v>
      </c>
      <c r="J193" t="s">
        <v>55</v>
      </c>
      <c r="K193" t="s">
        <v>27</v>
      </c>
      <c r="L193" t="s">
        <v>1671</v>
      </c>
      <c r="M193" t="s">
        <v>1672</v>
      </c>
      <c r="N193" t="s">
        <v>646</v>
      </c>
      <c r="O193" t="s">
        <v>83</v>
      </c>
      <c r="P193" t="s">
        <v>1673</v>
      </c>
      <c r="Q193" t="s">
        <v>49</v>
      </c>
      <c r="R193" s="23" t="s">
        <v>1674</v>
      </c>
      <c r="S193" s="23">
        <v>46178</v>
      </c>
      <c r="T193">
        <v>2</v>
      </c>
      <c r="U193">
        <v>6707</v>
      </c>
      <c r="V193">
        <v>0</v>
      </c>
      <c r="W193">
        <v>6707</v>
      </c>
    </row>
    <row r="194" spans="1:23" x14ac:dyDescent="0.25">
      <c r="A194">
        <v>15741</v>
      </c>
      <c r="B194">
        <v>456310062</v>
      </c>
      <c r="C194" t="s">
        <v>1675</v>
      </c>
      <c r="D194" s="8" t="s">
        <v>1676</v>
      </c>
      <c r="E194" t="s">
        <v>644</v>
      </c>
      <c r="G194" t="s">
        <v>53</v>
      </c>
      <c r="H194" t="s">
        <v>54</v>
      </c>
      <c r="I194" t="s">
        <v>30</v>
      </c>
      <c r="J194" t="s">
        <v>55</v>
      </c>
      <c r="K194" t="s">
        <v>27</v>
      </c>
      <c r="L194" t="s">
        <v>1677</v>
      </c>
      <c r="M194" t="s">
        <v>1678</v>
      </c>
      <c r="N194" t="s">
        <v>646</v>
      </c>
      <c r="O194" t="s">
        <v>83</v>
      </c>
      <c r="P194" t="s">
        <v>1679</v>
      </c>
      <c r="Q194" t="s">
        <v>43</v>
      </c>
      <c r="R194" s="23" t="s">
        <v>155</v>
      </c>
      <c r="S194" s="23">
        <v>46178</v>
      </c>
      <c r="T194">
        <v>2</v>
      </c>
      <c r="U194">
        <v>5504</v>
      </c>
      <c r="V194">
        <v>0</v>
      </c>
      <c r="W194">
        <v>5504</v>
      </c>
    </row>
    <row r="195" spans="1:23" x14ac:dyDescent="0.25">
      <c r="A195">
        <v>15741</v>
      </c>
      <c r="B195">
        <v>456309345</v>
      </c>
      <c r="C195" t="s">
        <v>1680</v>
      </c>
      <c r="D195" s="8" t="s">
        <v>1681</v>
      </c>
      <c r="E195" t="s">
        <v>644</v>
      </c>
      <c r="G195" t="s">
        <v>53</v>
      </c>
      <c r="H195" t="s">
        <v>54</v>
      </c>
      <c r="I195" t="s">
        <v>30</v>
      </c>
      <c r="J195" t="s">
        <v>55</v>
      </c>
      <c r="K195" t="s">
        <v>27</v>
      </c>
      <c r="L195" t="s">
        <v>1682</v>
      </c>
      <c r="M195" t="s">
        <v>1683</v>
      </c>
      <c r="N195" t="s">
        <v>646</v>
      </c>
      <c r="O195" t="s">
        <v>83</v>
      </c>
      <c r="P195" t="s">
        <v>1684</v>
      </c>
      <c r="Q195" t="s">
        <v>43</v>
      </c>
      <c r="R195" s="23" t="s">
        <v>1685</v>
      </c>
      <c r="S195" s="23">
        <v>46178</v>
      </c>
      <c r="T195">
        <v>7.3</v>
      </c>
      <c r="U195">
        <v>7409</v>
      </c>
      <c r="V195">
        <v>0</v>
      </c>
      <c r="W195">
        <v>7409</v>
      </c>
    </row>
    <row r="196" spans="1:23" x14ac:dyDescent="0.25">
      <c r="A196">
        <v>15741</v>
      </c>
      <c r="B196">
        <v>456329534</v>
      </c>
      <c r="C196" t="s">
        <v>1686</v>
      </c>
      <c r="D196" s="8" t="s">
        <v>1687</v>
      </c>
      <c r="E196" t="s">
        <v>644</v>
      </c>
      <c r="G196" t="s">
        <v>53</v>
      </c>
      <c r="H196" t="s">
        <v>54</v>
      </c>
      <c r="I196" t="s">
        <v>30</v>
      </c>
      <c r="J196" t="s">
        <v>55</v>
      </c>
      <c r="K196" t="s">
        <v>27</v>
      </c>
      <c r="L196" t="s">
        <v>1688</v>
      </c>
      <c r="M196" t="s">
        <v>1689</v>
      </c>
      <c r="N196" t="s">
        <v>646</v>
      </c>
      <c r="O196" t="s">
        <v>83</v>
      </c>
      <c r="P196" t="s">
        <v>1690</v>
      </c>
      <c r="Q196" t="s">
        <v>44</v>
      </c>
      <c r="R196" s="23" t="s">
        <v>593</v>
      </c>
      <c r="S196" s="23">
        <v>46178</v>
      </c>
      <c r="T196">
        <v>2</v>
      </c>
      <c r="U196">
        <v>5504</v>
      </c>
      <c r="V196">
        <v>0</v>
      </c>
      <c r="W196">
        <v>5504</v>
      </c>
    </row>
    <row r="197" spans="1:23" x14ac:dyDescent="0.25">
      <c r="A197">
        <v>15741</v>
      </c>
      <c r="B197">
        <v>456309172</v>
      </c>
      <c r="C197" t="s">
        <v>1691</v>
      </c>
      <c r="D197" s="8" t="s">
        <v>1692</v>
      </c>
      <c r="E197" t="s">
        <v>644</v>
      </c>
      <c r="G197" t="s">
        <v>53</v>
      </c>
      <c r="H197" t="s">
        <v>54</v>
      </c>
      <c r="I197" t="s">
        <v>30</v>
      </c>
      <c r="J197" t="s">
        <v>55</v>
      </c>
      <c r="K197" t="s">
        <v>27</v>
      </c>
      <c r="L197" t="s">
        <v>1693</v>
      </c>
      <c r="M197" t="s">
        <v>1694</v>
      </c>
      <c r="N197" t="s">
        <v>646</v>
      </c>
      <c r="O197" t="s">
        <v>83</v>
      </c>
      <c r="P197" t="s">
        <v>1695</v>
      </c>
      <c r="Q197" t="s">
        <v>73</v>
      </c>
      <c r="R197" s="23" t="s">
        <v>586</v>
      </c>
      <c r="S197" s="23">
        <v>46178</v>
      </c>
      <c r="T197">
        <v>2</v>
      </c>
      <c r="U197">
        <v>5504</v>
      </c>
      <c r="V197">
        <v>0</v>
      </c>
      <c r="W197">
        <v>5504</v>
      </c>
    </row>
    <row r="198" spans="1:23" x14ac:dyDescent="0.25">
      <c r="A198">
        <v>15741</v>
      </c>
      <c r="B198">
        <v>456333484</v>
      </c>
      <c r="C198" t="s">
        <v>1696</v>
      </c>
      <c r="D198" s="8" t="s">
        <v>1697</v>
      </c>
      <c r="E198" t="s">
        <v>644</v>
      </c>
      <c r="G198" t="s">
        <v>53</v>
      </c>
      <c r="H198" t="s">
        <v>54</v>
      </c>
      <c r="I198" t="s">
        <v>30</v>
      </c>
      <c r="J198" t="s">
        <v>55</v>
      </c>
      <c r="K198" t="s">
        <v>27</v>
      </c>
      <c r="L198" t="s">
        <v>1698</v>
      </c>
      <c r="M198" t="s">
        <v>1699</v>
      </c>
      <c r="N198" t="s">
        <v>646</v>
      </c>
      <c r="O198" t="s">
        <v>83</v>
      </c>
      <c r="P198" t="s">
        <v>1700</v>
      </c>
      <c r="Q198" t="s">
        <v>46</v>
      </c>
      <c r="R198" s="23" t="s">
        <v>1701</v>
      </c>
      <c r="S198" s="23">
        <v>46178</v>
      </c>
      <c r="T198">
        <v>2</v>
      </c>
      <c r="U198">
        <v>5504</v>
      </c>
      <c r="V198">
        <v>0</v>
      </c>
      <c r="W198">
        <v>5504</v>
      </c>
    </row>
    <row r="199" spans="1:23" x14ac:dyDescent="0.25">
      <c r="A199">
        <v>15741</v>
      </c>
      <c r="B199">
        <v>456309716</v>
      </c>
      <c r="C199" t="s">
        <v>1702</v>
      </c>
      <c r="D199" s="8" t="s">
        <v>1703</v>
      </c>
      <c r="E199" t="s">
        <v>644</v>
      </c>
      <c r="G199" t="s">
        <v>53</v>
      </c>
      <c r="H199" t="s">
        <v>54</v>
      </c>
      <c r="I199" t="s">
        <v>30</v>
      </c>
      <c r="J199" t="s">
        <v>55</v>
      </c>
      <c r="K199" t="s">
        <v>27</v>
      </c>
      <c r="L199" t="s">
        <v>1704</v>
      </c>
      <c r="M199" t="s">
        <v>1705</v>
      </c>
      <c r="N199" t="s">
        <v>646</v>
      </c>
      <c r="O199" t="s">
        <v>83</v>
      </c>
      <c r="P199" t="s">
        <v>1706</v>
      </c>
      <c r="Q199" t="s">
        <v>51</v>
      </c>
      <c r="R199" s="23" t="s">
        <v>556</v>
      </c>
      <c r="S199" s="23">
        <v>46178</v>
      </c>
      <c r="T199">
        <v>39.17</v>
      </c>
      <c r="U199">
        <v>15962</v>
      </c>
      <c r="V199">
        <v>0</v>
      </c>
      <c r="W199">
        <v>15962</v>
      </c>
    </row>
    <row r="200" spans="1:23" x14ac:dyDescent="0.25">
      <c r="A200">
        <v>15741</v>
      </c>
      <c r="B200">
        <v>456332116</v>
      </c>
      <c r="C200" t="s">
        <v>1707</v>
      </c>
      <c r="D200" s="8" t="s">
        <v>1708</v>
      </c>
      <c r="E200" t="s">
        <v>644</v>
      </c>
      <c r="G200" t="s">
        <v>53</v>
      </c>
      <c r="H200" t="s">
        <v>54</v>
      </c>
      <c r="I200" t="s">
        <v>30</v>
      </c>
      <c r="J200" t="s">
        <v>55</v>
      </c>
      <c r="K200" t="s">
        <v>27</v>
      </c>
      <c r="L200" t="s">
        <v>1709</v>
      </c>
      <c r="M200" t="s">
        <v>1710</v>
      </c>
      <c r="N200" t="s">
        <v>646</v>
      </c>
      <c r="O200" t="s">
        <v>83</v>
      </c>
      <c r="P200" t="s">
        <v>1711</v>
      </c>
      <c r="Q200" t="s">
        <v>75</v>
      </c>
      <c r="R200" s="23" t="s">
        <v>313</v>
      </c>
      <c r="S200" s="23">
        <v>46178</v>
      </c>
      <c r="T200">
        <v>2</v>
      </c>
      <c r="U200">
        <v>5504</v>
      </c>
      <c r="V200">
        <v>0</v>
      </c>
      <c r="W200">
        <v>5504</v>
      </c>
    </row>
    <row r="201" spans="1:23" hidden="1" x14ac:dyDescent="0.25">
      <c r="A201">
        <v>15741</v>
      </c>
      <c r="B201">
        <v>456257366</v>
      </c>
      <c r="C201" t="s">
        <v>1712</v>
      </c>
      <c r="D201" s="8" t="s">
        <v>1713</v>
      </c>
      <c r="E201" t="s">
        <v>644</v>
      </c>
      <c r="G201" t="s">
        <v>53</v>
      </c>
      <c r="H201" t="s">
        <v>54</v>
      </c>
      <c r="I201" t="s">
        <v>30</v>
      </c>
      <c r="J201" t="s">
        <v>55</v>
      </c>
      <c r="K201" t="s">
        <v>27</v>
      </c>
      <c r="L201" t="s">
        <v>1714</v>
      </c>
      <c r="M201" t="s">
        <v>1715</v>
      </c>
      <c r="N201" t="s">
        <v>646</v>
      </c>
      <c r="O201" t="s">
        <v>83</v>
      </c>
      <c r="P201" t="s">
        <v>1716</v>
      </c>
      <c r="Q201" t="s">
        <v>44</v>
      </c>
      <c r="R201" s="23" t="s">
        <v>1717</v>
      </c>
      <c r="S201" s="23">
        <v>46177</v>
      </c>
      <c r="T201">
        <v>19.399999999999999</v>
      </c>
      <c r="U201">
        <v>11210</v>
      </c>
      <c r="V201">
        <v>0</v>
      </c>
      <c r="W201">
        <v>11210</v>
      </c>
    </row>
    <row r="202" spans="1:23" x14ac:dyDescent="0.25">
      <c r="A202">
        <v>15741</v>
      </c>
      <c r="B202">
        <v>456329684</v>
      </c>
      <c r="C202" t="s">
        <v>1718</v>
      </c>
      <c r="D202" s="8" t="s">
        <v>1719</v>
      </c>
      <c r="E202" t="s">
        <v>644</v>
      </c>
      <c r="G202" t="s">
        <v>53</v>
      </c>
      <c r="H202" t="s">
        <v>54</v>
      </c>
      <c r="I202" t="s">
        <v>30</v>
      </c>
      <c r="J202" t="s">
        <v>55</v>
      </c>
      <c r="K202" t="s">
        <v>27</v>
      </c>
      <c r="L202" t="s">
        <v>1720</v>
      </c>
      <c r="M202" t="s">
        <v>1721</v>
      </c>
      <c r="N202" t="s">
        <v>646</v>
      </c>
      <c r="O202" t="s">
        <v>83</v>
      </c>
      <c r="P202" t="s">
        <v>1722</v>
      </c>
      <c r="Q202" t="s">
        <v>93</v>
      </c>
      <c r="R202" s="23" t="s">
        <v>1723</v>
      </c>
      <c r="S202" s="23">
        <v>46178</v>
      </c>
      <c r="T202">
        <v>21.2</v>
      </c>
      <c r="U202">
        <v>11288</v>
      </c>
      <c r="V202">
        <v>0</v>
      </c>
      <c r="W202">
        <v>11288</v>
      </c>
    </row>
    <row r="203" spans="1:23" x14ac:dyDescent="0.25">
      <c r="A203">
        <v>15741</v>
      </c>
      <c r="B203">
        <v>456307114</v>
      </c>
      <c r="C203" t="s">
        <v>1724</v>
      </c>
      <c r="D203" s="8" t="s">
        <v>1725</v>
      </c>
      <c r="E203" t="s">
        <v>644</v>
      </c>
      <c r="G203" t="s">
        <v>53</v>
      </c>
      <c r="H203" t="s">
        <v>54</v>
      </c>
      <c r="I203" t="s">
        <v>30</v>
      </c>
      <c r="J203" t="s">
        <v>55</v>
      </c>
      <c r="K203" t="s">
        <v>27</v>
      </c>
      <c r="L203" t="s">
        <v>1726</v>
      </c>
      <c r="M203" t="s">
        <v>1727</v>
      </c>
      <c r="N203" t="s">
        <v>646</v>
      </c>
      <c r="O203" t="s">
        <v>83</v>
      </c>
      <c r="P203" t="s">
        <v>1728</v>
      </c>
      <c r="Q203" t="s">
        <v>161</v>
      </c>
      <c r="R203" s="23" t="s">
        <v>1729</v>
      </c>
      <c r="S203" s="23">
        <v>46178</v>
      </c>
      <c r="T203">
        <v>6.9</v>
      </c>
      <c r="U203">
        <v>13287</v>
      </c>
      <c r="V203">
        <v>0</v>
      </c>
      <c r="W203">
        <v>13287</v>
      </c>
    </row>
    <row r="204" spans="1:23" x14ac:dyDescent="0.25">
      <c r="A204">
        <v>15741</v>
      </c>
      <c r="B204">
        <v>456308018</v>
      </c>
      <c r="C204" t="s">
        <v>1730</v>
      </c>
      <c r="D204" s="8" t="s">
        <v>1731</v>
      </c>
      <c r="E204" t="s">
        <v>644</v>
      </c>
      <c r="G204" t="s">
        <v>53</v>
      </c>
      <c r="H204" t="s">
        <v>54</v>
      </c>
      <c r="I204" t="s">
        <v>30</v>
      </c>
      <c r="J204" t="s">
        <v>55</v>
      </c>
      <c r="K204" t="s">
        <v>27</v>
      </c>
      <c r="L204" t="s">
        <v>1732</v>
      </c>
      <c r="M204" t="s">
        <v>1733</v>
      </c>
      <c r="N204" t="s">
        <v>646</v>
      </c>
      <c r="O204" t="s">
        <v>83</v>
      </c>
      <c r="P204" t="s">
        <v>1734</v>
      </c>
      <c r="Q204" t="s">
        <v>44</v>
      </c>
      <c r="R204" s="23" t="s">
        <v>356</v>
      </c>
      <c r="S204" s="23">
        <v>46178</v>
      </c>
      <c r="T204">
        <v>2.1</v>
      </c>
      <c r="U204">
        <v>5816</v>
      </c>
      <c r="V204">
        <v>0</v>
      </c>
      <c r="W204">
        <v>5816</v>
      </c>
    </row>
    <row r="205" spans="1:23" x14ac:dyDescent="0.25">
      <c r="A205">
        <v>15741</v>
      </c>
      <c r="B205">
        <v>456436709</v>
      </c>
      <c r="C205" t="s">
        <v>1735</v>
      </c>
      <c r="D205" s="8" t="s">
        <v>1736</v>
      </c>
      <c r="E205" t="s">
        <v>644</v>
      </c>
      <c r="G205" t="s">
        <v>53</v>
      </c>
      <c r="H205" t="s">
        <v>54</v>
      </c>
      <c r="I205" t="s">
        <v>30</v>
      </c>
      <c r="J205" t="s">
        <v>55</v>
      </c>
      <c r="K205" t="s">
        <v>27</v>
      </c>
      <c r="L205" t="s">
        <v>1737</v>
      </c>
      <c r="M205" t="s">
        <v>1738</v>
      </c>
      <c r="N205" t="s">
        <v>646</v>
      </c>
      <c r="O205" t="s">
        <v>83</v>
      </c>
      <c r="P205" t="s">
        <v>1739</v>
      </c>
      <c r="Q205" t="s">
        <v>50</v>
      </c>
      <c r="R205" s="23" t="s">
        <v>1740</v>
      </c>
      <c r="S205" s="23">
        <v>46181</v>
      </c>
      <c r="T205">
        <v>2.1</v>
      </c>
      <c r="U205">
        <v>5816</v>
      </c>
      <c r="V205">
        <v>0</v>
      </c>
      <c r="W205">
        <v>5816</v>
      </c>
    </row>
    <row r="206" spans="1:23" x14ac:dyDescent="0.25">
      <c r="A206">
        <v>15741</v>
      </c>
      <c r="B206">
        <v>456331921</v>
      </c>
      <c r="C206" t="s">
        <v>1741</v>
      </c>
      <c r="D206" s="8" t="s">
        <v>1742</v>
      </c>
      <c r="E206" t="s">
        <v>644</v>
      </c>
      <c r="G206" t="s">
        <v>53</v>
      </c>
      <c r="H206" t="s">
        <v>54</v>
      </c>
      <c r="I206" t="s">
        <v>30</v>
      </c>
      <c r="J206" t="s">
        <v>55</v>
      </c>
      <c r="K206" t="s">
        <v>27</v>
      </c>
      <c r="L206" t="s">
        <v>1743</v>
      </c>
      <c r="M206" t="s">
        <v>1744</v>
      </c>
      <c r="N206" t="s">
        <v>646</v>
      </c>
      <c r="O206" t="s">
        <v>83</v>
      </c>
      <c r="P206" t="s">
        <v>1745</v>
      </c>
      <c r="Q206" t="s">
        <v>43</v>
      </c>
      <c r="R206" s="23" t="s">
        <v>145</v>
      </c>
      <c r="S206" s="23">
        <v>46178</v>
      </c>
      <c r="T206">
        <v>2</v>
      </c>
      <c r="U206">
        <v>5504</v>
      </c>
      <c r="V206">
        <v>0</v>
      </c>
      <c r="W206">
        <v>5504</v>
      </c>
    </row>
    <row r="207" spans="1:23" x14ac:dyDescent="0.25">
      <c r="A207">
        <v>15741</v>
      </c>
      <c r="B207">
        <v>456331721</v>
      </c>
      <c r="C207" t="s">
        <v>1746</v>
      </c>
      <c r="D207" s="8" t="s">
        <v>1747</v>
      </c>
      <c r="E207" t="s">
        <v>644</v>
      </c>
      <c r="G207" t="s">
        <v>53</v>
      </c>
      <c r="H207" t="s">
        <v>54</v>
      </c>
      <c r="I207" t="s">
        <v>30</v>
      </c>
      <c r="J207" t="s">
        <v>55</v>
      </c>
      <c r="K207" t="s">
        <v>27</v>
      </c>
      <c r="L207" t="s">
        <v>1748</v>
      </c>
      <c r="M207" t="s">
        <v>1749</v>
      </c>
      <c r="N207" t="s">
        <v>646</v>
      </c>
      <c r="O207" t="s">
        <v>83</v>
      </c>
      <c r="P207" t="s">
        <v>1750</v>
      </c>
      <c r="Q207" t="s">
        <v>50</v>
      </c>
      <c r="R207" s="23" t="s">
        <v>1751</v>
      </c>
      <c r="S207" s="23">
        <v>46178</v>
      </c>
      <c r="T207">
        <v>2.1</v>
      </c>
      <c r="U207">
        <v>5816</v>
      </c>
      <c r="V207">
        <v>0</v>
      </c>
      <c r="W207">
        <v>5816</v>
      </c>
    </row>
    <row r="208" spans="1:23" x14ac:dyDescent="0.25">
      <c r="A208">
        <v>15741</v>
      </c>
      <c r="B208">
        <v>456438164</v>
      </c>
      <c r="C208" t="s">
        <v>1752</v>
      </c>
      <c r="D208" s="8" t="s">
        <v>1753</v>
      </c>
      <c r="E208" t="s">
        <v>644</v>
      </c>
      <c r="G208" t="s">
        <v>53</v>
      </c>
      <c r="H208" t="s">
        <v>54</v>
      </c>
      <c r="I208" t="s">
        <v>30</v>
      </c>
      <c r="J208" t="s">
        <v>55</v>
      </c>
      <c r="K208" t="s">
        <v>27</v>
      </c>
      <c r="L208" t="s">
        <v>1754</v>
      </c>
      <c r="M208" t="s">
        <v>1755</v>
      </c>
      <c r="N208" t="s">
        <v>646</v>
      </c>
      <c r="O208" t="s">
        <v>83</v>
      </c>
      <c r="P208" t="s">
        <v>1756</v>
      </c>
      <c r="Q208" t="s">
        <v>104</v>
      </c>
      <c r="R208" s="23" t="s">
        <v>354</v>
      </c>
      <c r="S208" s="23">
        <v>46181</v>
      </c>
      <c r="T208">
        <v>12</v>
      </c>
      <c r="U208">
        <v>9752</v>
      </c>
      <c r="V208">
        <v>0</v>
      </c>
      <c r="W208">
        <v>9752</v>
      </c>
    </row>
    <row r="209" spans="1:23" x14ac:dyDescent="0.25">
      <c r="A209">
        <v>15741</v>
      </c>
      <c r="B209">
        <v>456315350</v>
      </c>
      <c r="C209" t="s">
        <v>1757</v>
      </c>
      <c r="D209" s="8" t="s">
        <v>1758</v>
      </c>
      <c r="E209" t="s">
        <v>644</v>
      </c>
      <c r="G209" t="s">
        <v>53</v>
      </c>
      <c r="H209" t="s">
        <v>54</v>
      </c>
      <c r="I209" t="s">
        <v>30</v>
      </c>
      <c r="J209" t="s">
        <v>55</v>
      </c>
      <c r="K209" t="s">
        <v>27</v>
      </c>
      <c r="L209" t="s">
        <v>1759</v>
      </c>
      <c r="M209" t="s">
        <v>1760</v>
      </c>
      <c r="N209" t="s">
        <v>646</v>
      </c>
      <c r="O209" t="s">
        <v>83</v>
      </c>
      <c r="P209" t="s">
        <v>1761</v>
      </c>
      <c r="Q209" t="s">
        <v>52</v>
      </c>
      <c r="R209" s="23" t="s">
        <v>1762</v>
      </c>
      <c r="S209" s="23">
        <v>46178</v>
      </c>
      <c r="T209">
        <v>2</v>
      </c>
      <c r="U209">
        <v>5504</v>
      </c>
      <c r="V209">
        <v>0</v>
      </c>
      <c r="W209">
        <v>5504</v>
      </c>
    </row>
    <row r="210" spans="1:23" x14ac:dyDescent="0.25">
      <c r="A210">
        <v>15741</v>
      </c>
      <c r="B210">
        <v>456436485</v>
      </c>
      <c r="C210" t="s">
        <v>1763</v>
      </c>
      <c r="D210" s="8" t="s">
        <v>1764</v>
      </c>
      <c r="E210" t="s">
        <v>644</v>
      </c>
      <c r="G210" t="s">
        <v>53</v>
      </c>
      <c r="H210" t="s">
        <v>54</v>
      </c>
      <c r="I210" t="s">
        <v>30</v>
      </c>
      <c r="J210" t="s">
        <v>55</v>
      </c>
      <c r="K210" t="s">
        <v>27</v>
      </c>
      <c r="L210" t="s">
        <v>1765</v>
      </c>
      <c r="M210" t="s">
        <v>1766</v>
      </c>
      <c r="N210" t="s">
        <v>646</v>
      </c>
      <c r="O210" t="s">
        <v>83</v>
      </c>
      <c r="P210" t="s">
        <v>1767</v>
      </c>
      <c r="Q210" t="s">
        <v>50</v>
      </c>
      <c r="R210" s="23" t="s">
        <v>1768</v>
      </c>
      <c r="S210" s="23">
        <v>46181</v>
      </c>
      <c r="T210">
        <v>2</v>
      </c>
      <c r="U210">
        <v>5504</v>
      </c>
      <c r="V210">
        <v>0</v>
      </c>
      <c r="W210">
        <v>5504</v>
      </c>
    </row>
    <row r="211" spans="1:23" x14ac:dyDescent="0.25">
      <c r="A211">
        <v>15741</v>
      </c>
      <c r="B211">
        <v>456331045</v>
      </c>
      <c r="C211" t="s">
        <v>1769</v>
      </c>
      <c r="D211" s="8" t="s">
        <v>1770</v>
      </c>
      <c r="E211" t="s">
        <v>644</v>
      </c>
      <c r="G211" t="s">
        <v>53</v>
      </c>
      <c r="H211" t="s">
        <v>54</v>
      </c>
      <c r="I211" t="s">
        <v>30</v>
      </c>
      <c r="J211" t="s">
        <v>55</v>
      </c>
      <c r="K211" t="s">
        <v>27</v>
      </c>
      <c r="L211" t="s">
        <v>1771</v>
      </c>
      <c r="M211" t="s">
        <v>1772</v>
      </c>
      <c r="N211" t="s">
        <v>646</v>
      </c>
      <c r="O211" t="s">
        <v>83</v>
      </c>
      <c r="P211" t="s">
        <v>1773</v>
      </c>
      <c r="Q211" t="s">
        <v>143</v>
      </c>
      <c r="R211" s="23" t="s">
        <v>1774</v>
      </c>
      <c r="S211" s="23">
        <v>46178</v>
      </c>
      <c r="T211">
        <v>2</v>
      </c>
      <c r="U211">
        <v>5504</v>
      </c>
      <c r="V211">
        <v>0</v>
      </c>
      <c r="W211">
        <v>5504</v>
      </c>
    </row>
    <row r="212" spans="1:23" x14ac:dyDescent="0.25">
      <c r="A212">
        <v>15741</v>
      </c>
      <c r="B212">
        <v>456330415</v>
      </c>
      <c r="C212" t="s">
        <v>1775</v>
      </c>
      <c r="D212" s="8" t="s">
        <v>1776</v>
      </c>
      <c r="E212" t="s">
        <v>644</v>
      </c>
      <c r="G212" t="s">
        <v>53</v>
      </c>
      <c r="H212" t="s">
        <v>54</v>
      </c>
      <c r="I212" t="s">
        <v>30</v>
      </c>
      <c r="J212" t="s">
        <v>55</v>
      </c>
      <c r="K212" t="s">
        <v>27</v>
      </c>
      <c r="L212" t="s">
        <v>1777</v>
      </c>
      <c r="M212" t="s">
        <v>1778</v>
      </c>
      <c r="N212" t="s">
        <v>646</v>
      </c>
      <c r="O212" t="s">
        <v>83</v>
      </c>
      <c r="P212" t="s">
        <v>1779</v>
      </c>
      <c r="Q212" t="s">
        <v>45</v>
      </c>
      <c r="R212" s="23" t="s">
        <v>598</v>
      </c>
      <c r="S212" s="23">
        <v>46178</v>
      </c>
      <c r="T212">
        <v>21.2</v>
      </c>
      <c r="U212">
        <v>11106</v>
      </c>
      <c r="V212">
        <v>0</v>
      </c>
      <c r="W212">
        <v>11106</v>
      </c>
    </row>
    <row r="213" spans="1:23" x14ac:dyDescent="0.25">
      <c r="A213">
        <v>15741</v>
      </c>
      <c r="B213">
        <v>456332499</v>
      </c>
      <c r="C213" t="s">
        <v>1780</v>
      </c>
      <c r="D213" s="8" t="s">
        <v>1781</v>
      </c>
      <c r="E213" t="s">
        <v>644</v>
      </c>
      <c r="G213" t="s">
        <v>53</v>
      </c>
      <c r="H213" t="s">
        <v>54</v>
      </c>
      <c r="I213" t="s">
        <v>30</v>
      </c>
      <c r="J213" t="s">
        <v>55</v>
      </c>
      <c r="K213" t="s">
        <v>27</v>
      </c>
      <c r="L213" t="s">
        <v>1782</v>
      </c>
      <c r="M213" t="s">
        <v>1783</v>
      </c>
      <c r="N213" t="s">
        <v>646</v>
      </c>
      <c r="O213" t="s">
        <v>83</v>
      </c>
      <c r="P213" t="s">
        <v>1784</v>
      </c>
      <c r="Q213" t="s">
        <v>49</v>
      </c>
      <c r="R213" s="23" t="s">
        <v>1785</v>
      </c>
      <c r="S213" s="23">
        <v>46178</v>
      </c>
      <c r="T213">
        <v>21.2</v>
      </c>
      <c r="U213">
        <v>13587</v>
      </c>
      <c r="V213">
        <v>0</v>
      </c>
      <c r="W213">
        <v>13587</v>
      </c>
    </row>
    <row r="214" spans="1:23" x14ac:dyDescent="0.25">
      <c r="A214">
        <v>15741</v>
      </c>
      <c r="B214">
        <v>456329448</v>
      </c>
      <c r="C214" t="s">
        <v>1786</v>
      </c>
      <c r="D214" s="8" t="s">
        <v>1787</v>
      </c>
      <c r="E214" t="s">
        <v>644</v>
      </c>
      <c r="G214" t="s">
        <v>53</v>
      </c>
      <c r="H214" t="s">
        <v>54</v>
      </c>
      <c r="I214" t="s">
        <v>30</v>
      </c>
      <c r="J214" t="s">
        <v>55</v>
      </c>
      <c r="K214" t="s">
        <v>27</v>
      </c>
      <c r="L214" t="s">
        <v>1788</v>
      </c>
      <c r="M214" t="s">
        <v>1789</v>
      </c>
      <c r="N214" t="s">
        <v>646</v>
      </c>
      <c r="O214" t="s">
        <v>83</v>
      </c>
      <c r="P214" t="s">
        <v>1790</v>
      </c>
      <c r="Q214" t="s">
        <v>43</v>
      </c>
      <c r="R214" s="23" t="s">
        <v>1791</v>
      </c>
      <c r="S214" s="23">
        <v>46178</v>
      </c>
      <c r="T214">
        <v>2</v>
      </c>
      <c r="U214">
        <v>5504</v>
      </c>
      <c r="V214">
        <v>0</v>
      </c>
      <c r="W214">
        <v>5504</v>
      </c>
    </row>
    <row r="215" spans="1:23" x14ac:dyDescent="0.25">
      <c r="A215">
        <v>15741</v>
      </c>
      <c r="B215">
        <v>456331090</v>
      </c>
      <c r="C215" t="s">
        <v>1792</v>
      </c>
      <c r="D215" s="8" t="s">
        <v>1793</v>
      </c>
      <c r="E215" t="s">
        <v>644</v>
      </c>
      <c r="G215" t="s">
        <v>53</v>
      </c>
      <c r="H215" t="s">
        <v>54</v>
      </c>
      <c r="I215" t="s">
        <v>30</v>
      </c>
      <c r="J215" t="s">
        <v>55</v>
      </c>
      <c r="K215" t="s">
        <v>27</v>
      </c>
      <c r="L215" t="s">
        <v>1794</v>
      </c>
      <c r="M215" t="s">
        <v>1795</v>
      </c>
      <c r="N215" t="s">
        <v>646</v>
      </c>
      <c r="O215" t="s">
        <v>83</v>
      </c>
      <c r="P215" t="s">
        <v>1796</v>
      </c>
      <c r="Q215" t="s">
        <v>158</v>
      </c>
      <c r="R215" s="23" t="s">
        <v>617</v>
      </c>
      <c r="S215" s="23">
        <v>46178</v>
      </c>
      <c r="T215">
        <v>2</v>
      </c>
      <c r="U215">
        <v>5504</v>
      </c>
      <c r="V215">
        <v>0</v>
      </c>
      <c r="W215">
        <v>5504</v>
      </c>
    </row>
    <row r="216" spans="1:23" x14ac:dyDescent="0.25">
      <c r="A216">
        <v>15741</v>
      </c>
      <c r="B216">
        <v>456308338</v>
      </c>
      <c r="C216" t="s">
        <v>1797</v>
      </c>
      <c r="D216" s="8" t="s">
        <v>1798</v>
      </c>
      <c r="E216" t="s">
        <v>644</v>
      </c>
      <c r="G216" t="s">
        <v>53</v>
      </c>
      <c r="H216" t="s">
        <v>54</v>
      </c>
      <c r="I216" t="s">
        <v>30</v>
      </c>
      <c r="J216" t="s">
        <v>55</v>
      </c>
      <c r="K216" t="s">
        <v>27</v>
      </c>
      <c r="L216" t="s">
        <v>1799</v>
      </c>
      <c r="M216" t="s">
        <v>1800</v>
      </c>
      <c r="N216" t="s">
        <v>646</v>
      </c>
      <c r="O216" t="s">
        <v>83</v>
      </c>
      <c r="P216" t="s">
        <v>1801</v>
      </c>
      <c r="Q216" t="s">
        <v>43</v>
      </c>
      <c r="R216" s="23" t="s">
        <v>146</v>
      </c>
      <c r="S216" s="23">
        <v>46178</v>
      </c>
      <c r="T216">
        <v>39.17</v>
      </c>
      <c r="U216">
        <v>15962</v>
      </c>
      <c r="V216">
        <v>0</v>
      </c>
      <c r="W216">
        <v>15962</v>
      </c>
    </row>
    <row r="217" spans="1:23" x14ac:dyDescent="0.25">
      <c r="A217">
        <v>15741</v>
      </c>
      <c r="B217">
        <v>456330867</v>
      </c>
      <c r="C217" t="s">
        <v>1802</v>
      </c>
      <c r="D217" s="8" t="s">
        <v>1803</v>
      </c>
      <c r="E217" t="s">
        <v>644</v>
      </c>
      <c r="G217" t="s">
        <v>53</v>
      </c>
      <c r="H217" t="s">
        <v>54</v>
      </c>
      <c r="I217" t="s">
        <v>30</v>
      </c>
      <c r="J217" t="s">
        <v>55</v>
      </c>
      <c r="K217" t="s">
        <v>27</v>
      </c>
      <c r="L217" t="s">
        <v>1804</v>
      </c>
      <c r="M217" t="s">
        <v>1805</v>
      </c>
      <c r="N217" t="s">
        <v>646</v>
      </c>
      <c r="O217" t="s">
        <v>83</v>
      </c>
      <c r="P217" t="s">
        <v>1806</v>
      </c>
      <c r="Q217" t="s">
        <v>50</v>
      </c>
      <c r="R217" s="23" t="s">
        <v>635</v>
      </c>
      <c r="S217" s="23">
        <v>46178</v>
      </c>
      <c r="T217">
        <v>2</v>
      </c>
      <c r="U217">
        <v>5504</v>
      </c>
      <c r="V217">
        <v>0</v>
      </c>
      <c r="W217">
        <v>5504</v>
      </c>
    </row>
    <row r="218" spans="1:23" x14ac:dyDescent="0.25">
      <c r="A218">
        <v>15741</v>
      </c>
      <c r="B218">
        <v>456307260</v>
      </c>
      <c r="C218" t="s">
        <v>1807</v>
      </c>
      <c r="D218" s="8" t="s">
        <v>1808</v>
      </c>
      <c r="E218" t="s">
        <v>644</v>
      </c>
      <c r="G218" t="s">
        <v>53</v>
      </c>
      <c r="H218" t="s">
        <v>54</v>
      </c>
      <c r="I218" t="s">
        <v>30</v>
      </c>
      <c r="J218" t="s">
        <v>55</v>
      </c>
      <c r="K218" t="s">
        <v>27</v>
      </c>
      <c r="L218" t="s">
        <v>1809</v>
      </c>
      <c r="M218" t="s">
        <v>1810</v>
      </c>
      <c r="N218" t="s">
        <v>646</v>
      </c>
      <c r="O218" t="s">
        <v>83</v>
      </c>
      <c r="P218" t="s">
        <v>1811</v>
      </c>
      <c r="Q218" t="s">
        <v>73</v>
      </c>
      <c r="R218" s="23" t="s">
        <v>402</v>
      </c>
      <c r="S218" s="23">
        <v>46178</v>
      </c>
      <c r="T218">
        <v>2.1</v>
      </c>
      <c r="U218">
        <v>5816</v>
      </c>
      <c r="V218">
        <v>0</v>
      </c>
      <c r="W218">
        <v>5816</v>
      </c>
    </row>
    <row r="219" spans="1:23" x14ac:dyDescent="0.25">
      <c r="A219">
        <v>15741</v>
      </c>
      <c r="B219">
        <v>456332187</v>
      </c>
      <c r="C219" t="s">
        <v>1812</v>
      </c>
      <c r="D219" s="8" t="s">
        <v>1813</v>
      </c>
      <c r="E219" t="s">
        <v>644</v>
      </c>
      <c r="G219" t="s">
        <v>53</v>
      </c>
      <c r="H219" t="s">
        <v>54</v>
      </c>
      <c r="I219" t="s">
        <v>30</v>
      </c>
      <c r="J219" t="s">
        <v>55</v>
      </c>
      <c r="K219" t="s">
        <v>27</v>
      </c>
      <c r="L219" t="s">
        <v>1814</v>
      </c>
      <c r="M219" t="s">
        <v>165</v>
      </c>
      <c r="N219" t="s">
        <v>646</v>
      </c>
      <c r="O219" t="s">
        <v>83</v>
      </c>
      <c r="P219" t="s">
        <v>1815</v>
      </c>
      <c r="Q219" t="s">
        <v>104</v>
      </c>
      <c r="R219" s="23" t="s">
        <v>1816</v>
      </c>
      <c r="S219" s="23">
        <v>46178</v>
      </c>
      <c r="T219">
        <v>2</v>
      </c>
      <c r="U219">
        <v>6193</v>
      </c>
      <c r="V219">
        <v>0</v>
      </c>
      <c r="W219">
        <v>6193</v>
      </c>
    </row>
    <row r="220" spans="1:23" x14ac:dyDescent="0.25">
      <c r="A220">
        <v>15741</v>
      </c>
      <c r="B220">
        <v>456333195</v>
      </c>
      <c r="C220" t="s">
        <v>1817</v>
      </c>
      <c r="D220" s="8" t="s">
        <v>1818</v>
      </c>
      <c r="E220" t="s">
        <v>644</v>
      </c>
      <c r="G220" t="s">
        <v>53</v>
      </c>
      <c r="H220" t="s">
        <v>54</v>
      </c>
      <c r="I220" t="s">
        <v>30</v>
      </c>
      <c r="J220" t="s">
        <v>55</v>
      </c>
      <c r="K220" t="s">
        <v>27</v>
      </c>
      <c r="L220" t="s">
        <v>1819</v>
      </c>
      <c r="M220" t="s">
        <v>1820</v>
      </c>
      <c r="N220" t="s">
        <v>646</v>
      </c>
      <c r="O220" t="s">
        <v>83</v>
      </c>
      <c r="P220" t="s">
        <v>1821</v>
      </c>
      <c r="Q220" t="s">
        <v>43</v>
      </c>
      <c r="R220" s="23" t="s">
        <v>1822</v>
      </c>
      <c r="S220" s="23">
        <v>46178</v>
      </c>
      <c r="T220">
        <v>12.4</v>
      </c>
      <c r="U220">
        <v>8993</v>
      </c>
      <c r="V220">
        <v>0</v>
      </c>
      <c r="W220">
        <v>8993</v>
      </c>
    </row>
    <row r="221" spans="1:23" x14ac:dyDescent="0.25">
      <c r="A221">
        <v>15741</v>
      </c>
      <c r="B221">
        <v>456306012</v>
      </c>
      <c r="C221" t="s">
        <v>1823</v>
      </c>
      <c r="D221" s="8" t="s">
        <v>1824</v>
      </c>
      <c r="E221" t="s">
        <v>644</v>
      </c>
      <c r="G221" t="s">
        <v>53</v>
      </c>
      <c r="H221" t="s">
        <v>54</v>
      </c>
      <c r="I221" t="s">
        <v>30</v>
      </c>
      <c r="J221" t="s">
        <v>55</v>
      </c>
      <c r="K221" t="s">
        <v>27</v>
      </c>
      <c r="L221" t="s">
        <v>1825</v>
      </c>
      <c r="M221" t="s">
        <v>1826</v>
      </c>
      <c r="N221" t="s">
        <v>646</v>
      </c>
      <c r="O221" t="s">
        <v>83</v>
      </c>
      <c r="P221" t="s">
        <v>1827</v>
      </c>
      <c r="Q221" t="s">
        <v>47</v>
      </c>
      <c r="R221" s="23" t="s">
        <v>1828</v>
      </c>
      <c r="S221" s="23">
        <v>46178</v>
      </c>
      <c r="T221">
        <v>17.899999999999999</v>
      </c>
      <c r="U221">
        <v>10575</v>
      </c>
      <c r="V221">
        <v>0</v>
      </c>
      <c r="W221">
        <v>10575</v>
      </c>
    </row>
    <row r="222" spans="1:23" x14ac:dyDescent="0.25">
      <c r="A222">
        <v>15741</v>
      </c>
      <c r="B222">
        <v>456437359</v>
      </c>
      <c r="C222" t="s">
        <v>1829</v>
      </c>
      <c r="D222" s="8" t="s">
        <v>1830</v>
      </c>
      <c r="E222" t="s">
        <v>644</v>
      </c>
      <c r="G222" t="s">
        <v>53</v>
      </c>
      <c r="H222" t="s">
        <v>54</v>
      </c>
      <c r="I222" t="s">
        <v>30</v>
      </c>
      <c r="J222" t="s">
        <v>55</v>
      </c>
      <c r="K222" t="s">
        <v>27</v>
      </c>
      <c r="L222" t="s">
        <v>1831</v>
      </c>
      <c r="M222" t="s">
        <v>1832</v>
      </c>
      <c r="N222" t="s">
        <v>646</v>
      </c>
      <c r="O222" t="s">
        <v>83</v>
      </c>
      <c r="P222" t="s">
        <v>1833</v>
      </c>
      <c r="Q222" t="s">
        <v>105</v>
      </c>
      <c r="R222" s="23" t="s">
        <v>540</v>
      </c>
      <c r="S222" s="23">
        <v>46181</v>
      </c>
      <c r="T222">
        <v>21.2</v>
      </c>
      <c r="U222">
        <v>14609</v>
      </c>
      <c r="V222">
        <v>0</v>
      </c>
      <c r="W222">
        <v>14609</v>
      </c>
    </row>
    <row r="223" spans="1:23" x14ac:dyDescent="0.25">
      <c r="A223">
        <v>15741</v>
      </c>
      <c r="B223">
        <v>456305424</v>
      </c>
      <c r="C223" t="s">
        <v>1834</v>
      </c>
      <c r="D223" s="8" t="s">
        <v>1835</v>
      </c>
      <c r="E223" t="s">
        <v>644</v>
      </c>
      <c r="G223" t="s">
        <v>53</v>
      </c>
      <c r="H223" t="s">
        <v>54</v>
      </c>
      <c r="I223" t="s">
        <v>30</v>
      </c>
      <c r="J223" t="s">
        <v>55</v>
      </c>
      <c r="K223" t="s">
        <v>27</v>
      </c>
      <c r="L223" t="s">
        <v>1836</v>
      </c>
      <c r="M223" t="s">
        <v>1826</v>
      </c>
      <c r="N223" t="s">
        <v>646</v>
      </c>
      <c r="O223" t="s">
        <v>83</v>
      </c>
      <c r="P223" t="s">
        <v>1827</v>
      </c>
      <c r="Q223" t="s">
        <v>47</v>
      </c>
      <c r="R223" s="23" t="s">
        <v>303</v>
      </c>
      <c r="S223" s="23">
        <v>46178</v>
      </c>
      <c r="T223">
        <v>12.4</v>
      </c>
      <c r="U223">
        <v>8993</v>
      </c>
      <c r="V223">
        <v>0</v>
      </c>
      <c r="W223">
        <v>8993</v>
      </c>
    </row>
    <row r="224" spans="1:23" x14ac:dyDescent="0.25">
      <c r="A224">
        <v>15741</v>
      </c>
      <c r="B224">
        <v>456333845</v>
      </c>
      <c r="C224" t="s">
        <v>1837</v>
      </c>
      <c r="D224" s="8" t="s">
        <v>1838</v>
      </c>
      <c r="E224" t="s">
        <v>644</v>
      </c>
      <c r="G224" t="s">
        <v>53</v>
      </c>
      <c r="H224" t="s">
        <v>54</v>
      </c>
      <c r="I224" t="s">
        <v>30</v>
      </c>
      <c r="J224" t="s">
        <v>55</v>
      </c>
      <c r="K224" t="s">
        <v>27</v>
      </c>
      <c r="L224" t="s">
        <v>1839</v>
      </c>
      <c r="M224" t="s">
        <v>1840</v>
      </c>
      <c r="N224" t="s">
        <v>646</v>
      </c>
      <c r="O224" t="s">
        <v>83</v>
      </c>
      <c r="P224" t="s">
        <v>1841</v>
      </c>
      <c r="Q224" t="s">
        <v>43</v>
      </c>
      <c r="R224" s="23" t="s">
        <v>486</v>
      </c>
      <c r="S224" s="23">
        <v>46178</v>
      </c>
      <c r="T224">
        <v>6.6</v>
      </c>
      <c r="U224">
        <v>7086</v>
      </c>
      <c r="V224">
        <v>0</v>
      </c>
      <c r="W224">
        <v>7086</v>
      </c>
    </row>
    <row r="225" spans="1:23" x14ac:dyDescent="0.25">
      <c r="A225">
        <v>15741</v>
      </c>
      <c r="B225">
        <v>456333377</v>
      </c>
      <c r="C225" t="s">
        <v>1842</v>
      </c>
      <c r="D225" s="8" t="s">
        <v>1843</v>
      </c>
      <c r="E225" t="s">
        <v>644</v>
      </c>
      <c r="G225" t="s">
        <v>53</v>
      </c>
      <c r="H225" t="s">
        <v>54</v>
      </c>
      <c r="I225" t="s">
        <v>30</v>
      </c>
      <c r="J225" t="s">
        <v>55</v>
      </c>
      <c r="K225" t="s">
        <v>27</v>
      </c>
      <c r="L225" t="s">
        <v>1844</v>
      </c>
      <c r="M225" t="s">
        <v>1845</v>
      </c>
      <c r="N225" t="s">
        <v>646</v>
      </c>
      <c r="O225" t="s">
        <v>83</v>
      </c>
      <c r="P225" t="s">
        <v>1846</v>
      </c>
      <c r="Q225" t="s">
        <v>66</v>
      </c>
      <c r="R225" s="23" t="s">
        <v>1847</v>
      </c>
      <c r="S225" s="23">
        <v>46178</v>
      </c>
      <c r="T225">
        <v>2.1</v>
      </c>
      <c r="U225">
        <v>5816</v>
      </c>
      <c r="V225">
        <v>0</v>
      </c>
      <c r="W225">
        <v>5816</v>
      </c>
    </row>
    <row r="226" spans="1:23" x14ac:dyDescent="0.25">
      <c r="A226">
        <v>15741</v>
      </c>
      <c r="B226">
        <v>456307747</v>
      </c>
      <c r="C226" t="s">
        <v>1848</v>
      </c>
      <c r="D226" s="8" t="s">
        <v>1849</v>
      </c>
      <c r="E226" t="s">
        <v>644</v>
      </c>
      <c r="G226" t="s">
        <v>53</v>
      </c>
      <c r="H226" t="s">
        <v>54</v>
      </c>
      <c r="I226" t="s">
        <v>30</v>
      </c>
      <c r="J226" t="s">
        <v>55</v>
      </c>
      <c r="K226" t="s">
        <v>27</v>
      </c>
      <c r="L226" t="s">
        <v>1850</v>
      </c>
      <c r="M226" t="s">
        <v>1851</v>
      </c>
      <c r="N226" t="s">
        <v>646</v>
      </c>
      <c r="O226" t="s">
        <v>83</v>
      </c>
      <c r="P226" t="s">
        <v>1852</v>
      </c>
      <c r="Q226" t="s">
        <v>44</v>
      </c>
      <c r="R226" s="23" t="s">
        <v>223</v>
      </c>
      <c r="S226" s="23">
        <v>46178</v>
      </c>
      <c r="T226">
        <v>2</v>
      </c>
      <c r="U226">
        <v>5504</v>
      </c>
      <c r="V226">
        <v>0</v>
      </c>
      <c r="W226">
        <v>5504</v>
      </c>
    </row>
    <row r="227" spans="1:23" x14ac:dyDescent="0.25">
      <c r="A227">
        <v>15741</v>
      </c>
      <c r="B227">
        <v>456304949</v>
      </c>
      <c r="C227" t="s">
        <v>1853</v>
      </c>
      <c r="D227" s="8" t="s">
        <v>1854</v>
      </c>
      <c r="E227" t="s">
        <v>644</v>
      </c>
      <c r="G227" t="s">
        <v>53</v>
      </c>
      <c r="H227" t="s">
        <v>54</v>
      </c>
      <c r="I227" t="s">
        <v>30</v>
      </c>
      <c r="J227" t="s">
        <v>55</v>
      </c>
      <c r="K227" t="s">
        <v>27</v>
      </c>
      <c r="L227" t="s">
        <v>1855</v>
      </c>
      <c r="M227" t="s">
        <v>1856</v>
      </c>
      <c r="N227" t="s">
        <v>646</v>
      </c>
      <c r="O227" t="s">
        <v>83</v>
      </c>
      <c r="P227" t="s">
        <v>1857</v>
      </c>
      <c r="Q227" t="s">
        <v>44</v>
      </c>
      <c r="R227" s="23" t="s">
        <v>624</v>
      </c>
      <c r="S227" s="23">
        <v>46178</v>
      </c>
      <c r="T227">
        <v>39.17</v>
      </c>
      <c r="U227">
        <v>15962</v>
      </c>
      <c r="V227">
        <v>0</v>
      </c>
      <c r="W227">
        <v>15962</v>
      </c>
    </row>
    <row r="228" spans="1:23" x14ac:dyDescent="0.25">
      <c r="A228">
        <v>15741</v>
      </c>
      <c r="B228">
        <v>456305197</v>
      </c>
      <c r="C228" t="s">
        <v>1858</v>
      </c>
      <c r="D228" s="8" t="s">
        <v>1859</v>
      </c>
      <c r="E228" t="s">
        <v>644</v>
      </c>
      <c r="G228" t="s">
        <v>53</v>
      </c>
      <c r="H228" t="s">
        <v>54</v>
      </c>
      <c r="I228" t="s">
        <v>30</v>
      </c>
      <c r="J228" t="s">
        <v>55</v>
      </c>
      <c r="K228" t="s">
        <v>27</v>
      </c>
      <c r="L228" t="s">
        <v>1860</v>
      </c>
      <c r="M228" t="s">
        <v>167</v>
      </c>
      <c r="N228" t="s">
        <v>646</v>
      </c>
      <c r="O228" t="s">
        <v>83</v>
      </c>
      <c r="P228" t="s">
        <v>1861</v>
      </c>
      <c r="Q228" t="s">
        <v>50</v>
      </c>
      <c r="R228" s="23" t="s">
        <v>1862</v>
      </c>
      <c r="S228" s="23">
        <v>46178</v>
      </c>
      <c r="T228">
        <v>2</v>
      </c>
      <c r="U228">
        <v>5504</v>
      </c>
      <c r="V228">
        <v>0</v>
      </c>
      <c r="W228">
        <v>5504</v>
      </c>
    </row>
    <row r="229" spans="1:23" x14ac:dyDescent="0.25">
      <c r="A229">
        <v>15741</v>
      </c>
      <c r="B229">
        <v>456331503</v>
      </c>
      <c r="C229" t="s">
        <v>1863</v>
      </c>
      <c r="D229" s="8" t="s">
        <v>1864</v>
      </c>
      <c r="E229" t="s">
        <v>644</v>
      </c>
      <c r="G229" t="s">
        <v>53</v>
      </c>
      <c r="H229" t="s">
        <v>54</v>
      </c>
      <c r="I229" t="s">
        <v>30</v>
      </c>
      <c r="J229" t="s">
        <v>55</v>
      </c>
      <c r="K229" t="s">
        <v>27</v>
      </c>
      <c r="L229" t="s">
        <v>1865</v>
      </c>
      <c r="M229" t="s">
        <v>1866</v>
      </c>
      <c r="N229" t="s">
        <v>646</v>
      </c>
      <c r="O229" t="s">
        <v>83</v>
      </c>
      <c r="P229" t="s">
        <v>1867</v>
      </c>
      <c r="Q229" t="s">
        <v>81</v>
      </c>
      <c r="R229" s="23" t="s">
        <v>400</v>
      </c>
      <c r="S229" s="23">
        <v>46178</v>
      </c>
      <c r="T229">
        <v>2</v>
      </c>
      <c r="U229">
        <v>5504</v>
      </c>
      <c r="V229">
        <v>0</v>
      </c>
      <c r="W229">
        <v>5504</v>
      </c>
    </row>
    <row r="230" spans="1:23" x14ac:dyDescent="0.25">
      <c r="A230">
        <v>15741</v>
      </c>
      <c r="B230">
        <v>456304311</v>
      </c>
      <c r="C230" t="s">
        <v>1868</v>
      </c>
      <c r="D230" s="8" t="s">
        <v>1869</v>
      </c>
      <c r="E230" t="s">
        <v>644</v>
      </c>
      <c r="G230" t="s">
        <v>53</v>
      </c>
      <c r="H230" t="s">
        <v>54</v>
      </c>
      <c r="I230" t="s">
        <v>30</v>
      </c>
      <c r="J230" t="s">
        <v>55</v>
      </c>
      <c r="K230" t="s">
        <v>27</v>
      </c>
      <c r="L230" t="s">
        <v>1870</v>
      </c>
      <c r="M230" t="s">
        <v>1871</v>
      </c>
      <c r="N230" t="s">
        <v>646</v>
      </c>
      <c r="O230" t="s">
        <v>83</v>
      </c>
      <c r="P230" t="s">
        <v>1872</v>
      </c>
      <c r="Q230" t="s">
        <v>66</v>
      </c>
      <c r="R230" s="23" t="s">
        <v>403</v>
      </c>
      <c r="S230" s="23">
        <v>46178</v>
      </c>
      <c r="T230">
        <v>2</v>
      </c>
      <c r="U230">
        <v>5504</v>
      </c>
      <c r="V230">
        <v>0</v>
      </c>
      <c r="W230">
        <v>5504</v>
      </c>
    </row>
    <row r="231" spans="1:23" x14ac:dyDescent="0.25">
      <c r="A231">
        <v>15741</v>
      </c>
      <c r="B231">
        <v>456437729</v>
      </c>
      <c r="C231" t="s">
        <v>1873</v>
      </c>
      <c r="D231" s="8" t="s">
        <v>1874</v>
      </c>
      <c r="E231" t="s">
        <v>644</v>
      </c>
      <c r="G231" t="s">
        <v>53</v>
      </c>
      <c r="H231" t="s">
        <v>54</v>
      </c>
      <c r="I231" t="s">
        <v>30</v>
      </c>
      <c r="J231" t="s">
        <v>55</v>
      </c>
      <c r="K231" t="s">
        <v>27</v>
      </c>
      <c r="L231" t="s">
        <v>1875</v>
      </c>
      <c r="M231" t="s">
        <v>1876</v>
      </c>
      <c r="N231" t="s">
        <v>646</v>
      </c>
      <c r="O231" t="s">
        <v>83</v>
      </c>
      <c r="P231" t="s">
        <v>1877</v>
      </c>
      <c r="Q231" t="s">
        <v>81</v>
      </c>
      <c r="R231" s="23" t="s">
        <v>456</v>
      </c>
      <c r="S231" s="23">
        <v>46181</v>
      </c>
      <c r="T231">
        <v>21.2</v>
      </c>
      <c r="U231">
        <v>11106</v>
      </c>
      <c r="V231">
        <v>0</v>
      </c>
      <c r="W231">
        <v>11106</v>
      </c>
    </row>
    <row r="232" spans="1:23" hidden="1" x14ac:dyDescent="0.25">
      <c r="A232">
        <v>15741</v>
      </c>
      <c r="B232">
        <v>455768706</v>
      </c>
      <c r="C232" t="s">
        <v>1878</v>
      </c>
      <c r="D232" s="8" t="s">
        <v>1879</v>
      </c>
      <c r="E232" t="s">
        <v>644</v>
      </c>
      <c r="G232" t="s">
        <v>53</v>
      </c>
      <c r="H232" t="s">
        <v>54</v>
      </c>
      <c r="I232" t="s">
        <v>30</v>
      </c>
      <c r="J232" t="s">
        <v>55</v>
      </c>
      <c r="K232" t="s">
        <v>27</v>
      </c>
      <c r="L232" t="s">
        <v>1880</v>
      </c>
      <c r="M232" t="s">
        <v>1881</v>
      </c>
      <c r="N232" t="s">
        <v>646</v>
      </c>
      <c r="O232" t="s">
        <v>83</v>
      </c>
      <c r="P232" t="s">
        <v>1882</v>
      </c>
      <c r="Q232" t="s">
        <v>72</v>
      </c>
      <c r="R232" s="23" t="s">
        <v>514</v>
      </c>
      <c r="S232" s="23">
        <v>46175</v>
      </c>
      <c r="T232">
        <v>222.4</v>
      </c>
      <c r="U232">
        <v>73607</v>
      </c>
      <c r="V232">
        <v>11999.94</v>
      </c>
      <c r="W232">
        <v>85606.94</v>
      </c>
    </row>
    <row r="233" spans="1:23" x14ac:dyDescent="0.25">
      <c r="A233">
        <v>15741</v>
      </c>
      <c r="B233">
        <v>456333076</v>
      </c>
      <c r="C233" t="s">
        <v>1883</v>
      </c>
      <c r="D233" s="8" t="s">
        <v>1884</v>
      </c>
      <c r="E233" t="s">
        <v>644</v>
      </c>
      <c r="G233" t="s">
        <v>53</v>
      </c>
      <c r="H233" t="s">
        <v>54</v>
      </c>
      <c r="I233" t="s">
        <v>30</v>
      </c>
      <c r="J233" t="s">
        <v>55</v>
      </c>
      <c r="K233" t="s">
        <v>27</v>
      </c>
      <c r="L233" t="s">
        <v>1885</v>
      </c>
      <c r="M233" t="s">
        <v>1886</v>
      </c>
      <c r="N233" t="s">
        <v>646</v>
      </c>
      <c r="O233" t="s">
        <v>83</v>
      </c>
      <c r="P233" t="s">
        <v>1887</v>
      </c>
      <c r="Q233" t="s">
        <v>44</v>
      </c>
      <c r="R233" s="23" t="s">
        <v>1888</v>
      </c>
      <c r="S233" s="23">
        <v>46178</v>
      </c>
      <c r="T233">
        <v>2</v>
      </c>
      <c r="U233">
        <v>5504</v>
      </c>
      <c r="V233">
        <v>0</v>
      </c>
      <c r="W233">
        <v>5504</v>
      </c>
    </row>
    <row r="234" spans="1:23" x14ac:dyDescent="0.25">
      <c r="A234">
        <v>15741</v>
      </c>
      <c r="B234">
        <v>456331565</v>
      </c>
      <c r="C234" t="s">
        <v>1889</v>
      </c>
      <c r="D234" s="8" t="s">
        <v>1890</v>
      </c>
      <c r="E234" t="s">
        <v>644</v>
      </c>
      <c r="G234" t="s">
        <v>53</v>
      </c>
      <c r="H234" t="s">
        <v>54</v>
      </c>
      <c r="I234" t="s">
        <v>30</v>
      </c>
      <c r="J234" t="s">
        <v>55</v>
      </c>
      <c r="K234" t="s">
        <v>27</v>
      </c>
      <c r="L234" t="s">
        <v>1891</v>
      </c>
      <c r="M234" t="s">
        <v>1892</v>
      </c>
      <c r="N234" t="s">
        <v>646</v>
      </c>
      <c r="O234" t="s">
        <v>83</v>
      </c>
      <c r="P234" t="s">
        <v>1893</v>
      </c>
      <c r="Q234" t="s">
        <v>81</v>
      </c>
      <c r="R234" s="23" t="s">
        <v>1894</v>
      </c>
      <c r="S234" s="23">
        <v>46178</v>
      </c>
      <c r="T234">
        <v>2</v>
      </c>
      <c r="U234">
        <v>5504</v>
      </c>
      <c r="V234">
        <v>0</v>
      </c>
      <c r="W234">
        <v>5504</v>
      </c>
    </row>
    <row r="235" spans="1:23" x14ac:dyDescent="0.25">
      <c r="A235">
        <v>15741</v>
      </c>
      <c r="B235">
        <v>456330803</v>
      </c>
      <c r="C235" t="s">
        <v>1895</v>
      </c>
      <c r="D235" s="8" t="s">
        <v>1896</v>
      </c>
      <c r="E235" t="s">
        <v>644</v>
      </c>
      <c r="G235" t="s">
        <v>53</v>
      </c>
      <c r="H235" t="s">
        <v>54</v>
      </c>
      <c r="I235" t="s">
        <v>30</v>
      </c>
      <c r="J235" t="s">
        <v>55</v>
      </c>
      <c r="K235" t="s">
        <v>27</v>
      </c>
      <c r="L235" t="s">
        <v>558</v>
      </c>
      <c r="M235" t="s">
        <v>1897</v>
      </c>
      <c r="N235" t="s">
        <v>646</v>
      </c>
      <c r="O235" t="s">
        <v>83</v>
      </c>
      <c r="P235" t="s">
        <v>1898</v>
      </c>
      <c r="Q235" t="s">
        <v>78</v>
      </c>
      <c r="R235" s="23" t="s">
        <v>126</v>
      </c>
      <c r="S235" s="23">
        <v>46178</v>
      </c>
      <c r="T235">
        <v>21.2</v>
      </c>
      <c r="U235">
        <v>11106</v>
      </c>
      <c r="V235">
        <v>0</v>
      </c>
      <c r="W235">
        <v>11106</v>
      </c>
    </row>
    <row r="236" spans="1:23" x14ac:dyDescent="0.25">
      <c r="A236">
        <v>15741</v>
      </c>
      <c r="B236">
        <v>456329981</v>
      </c>
      <c r="C236" t="s">
        <v>1899</v>
      </c>
      <c r="D236" s="8" t="s">
        <v>1900</v>
      </c>
      <c r="E236" t="s">
        <v>644</v>
      </c>
      <c r="G236" t="s">
        <v>53</v>
      </c>
      <c r="H236" t="s">
        <v>54</v>
      </c>
      <c r="I236" t="s">
        <v>30</v>
      </c>
      <c r="J236" t="s">
        <v>55</v>
      </c>
      <c r="K236" t="s">
        <v>27</v>
      </c>
      <c r="L236" t="s">
        <v>1901</v>
      </c>
      <c r="M236" t="s">
        <v>1902</v>
      </c>
      <c r="N236" t="s">
        <v>646</v>
      </c>
      <c r="O236" t="s">
        <v>83</v>
      </c>
      <c r="P236" t="s">
        <v>1903</v>
      </c>
      <c r="Q236" t="s">
        <v>104</v>
      </c>
      <c r="R236" s="23" t="s">
        <v>636</v>
      </c>
      <c r="S236" s="23">
        <v>46178</v>
      </c>
      <c r="T236">
        <v>2</v>
      </c>
      <c r="U236">
        <v>6193</v>
      </c>
      <c r="V236">
        <v>0</v>
      </c>
      <c r="W236">
        <v>6193</v>
      </c>
    </row>
    <row r="237" spans="1:23" hidden="1" x14ac:dyDescent="0.25">
      <c r="A237">
        <v>15741</v>
      </c>
      <c r="B237">
        <v>456227394</v>
      </c>
      <c r="C237" t="s">
        <v>1904</v>
      </c>
      <c r="D237" s="8" t="s">
        <v>1905</v>
      </c>
      <c r="E237" t="s">
        <v>644</v>
      </c>
      <c r="G237" t="s">
        <v>53</v>
      </c>
      <c r="H237" t="s">
        <v>54</v>
      </c>
      <c r="I237" t="s">
        <v>30</v>
      </c>
      <c r="J237" t="s">
        <v>55</v>
      </c>
      <c r="K237" t="s">
        <v>27</v>
      </c>
      <c r="L237" t="s">
        <v>1906</v>
      </c>
      <c r="M237" t="s">
        <v>1907</v>
      </c>
      <c r="N237" t="s">
        <v>646</v>
      </c>
      <c r="O237" t="s">
        <v>83</v>
      </c>
      <c r="P237" t="s">
        <v>1908</v>
      </c>
      <c r="Q237" t="s">
        <v>50</v>
      </c>
      <c r="R237" s="23" t="s">
        <v>342</v>
      </c>
      <c r="S237" s="23">
        <v>46177</v>
      </c>
      <c r="T237">
        <v>2.1</v>
      </c>
      <c r="U237">
        <v>5816</v>
      </c>
      <c r="V237">
        <v>0</v>
      </c>
      <c r="W237">
        <v>5816</v>
      </c>
    </row>
    <row r="238" spans="1:23" x14ac:dyDescent="0.25">
      <c r="A238">
        <v>15741</v>
      </c>
      <c r="B238">
        <v>456333245</v>
      </c>
      <c r="C238" t="s">
        <v>1909</v>
      </c>
      <c r="D238" s="8" t="s">
        <v>1910</v>
      </c>
      <c r="E238" t="s">
        <v>644</v>
      </c>
      <c r="G238" t="s">
        <v>53</v>
      </c>
      <c r="H238" t="s">
        <v>54</v>
      </c>
      <c r="I238" t="s">
        <v>30</v>
      </c>
      <c r="J238" t="s">
        <v>55</v>
      </c>
      <c r="K238" t="s">
        <v>27</v>
      </c>
      <c r="L238" t="s">
        <v>1911</v>
      </c>
      <c r="M238" t="s">
        <v>1912</v>
      </c>
      <c r="N238" t="s">
        <v>646</v>
      </c>
      <c r="O238" t="s">
        <v>83</v>
      </c>
      <c r="P238" t="s">
        <v>1913</v>
      </c>
      <c r="Q238" t="s">
        <v>83</v>
      </c>
      <c r="R238" s="23" t="s">
        <v>348</v>
      </c>
      <c r="S238" s="23">
        <v>46178</v>
      </c>
      <c r="T238">
        <v>2</v>
      </c>
      <c r="U238">
        <v>5504</v>
      </c>
      <c r="V238">
        <v>0</v>
      </c>
      <c r="W238">
        <v>5504</v>
      </c>
    </row>
    <row r="239" spans="1:23" x14ac:dyDescent="0.25">
      <c r="A239">
        <v>15741</v>
      </c>
      <c r="B239">
        <v>456330317</v>
      </c>
      <c r="C239" t="s">
        <v>1914</v>
      </c>
      <c r="D239" s="8" t="s">
        <v>1915</v>
      </c>
      <c r="E239" t="s">
        <v>644</v>
      </c>
      <c r="G239" t="s">
        <v>53</v>
      </c>
      <c r="H239" t="s">
        <v>54</v>
      </c>
      <c r="I239" t="s">
        <v>30</v>
      </c>
      <c r="J239" t="s">
        <v>55</v>
      </c>
      <c r="K239" t="s">
        <v>27</v>
      </c>
      <c r="L239" t="s">
        <v>1916</v>
      </c>
      <c r="M239" t="s">
        <v>1917</v>
      </c>
      <c r="N239" t="s">
        <v>646</v>
      </c>
      <c r="O239" t="s">
        <v>83</v>
      </c>
      <c r="P239" t="s">
        <v>1918</v>
      </c>
      <c r="Q239" t="s">
        <v>83</v>
      </c>
      <c r="R239" s="23" t="s">
        <v>276</v>
      </c>
      <c r="S239" s="23">
        <v>46178</v>
      </c>
      <c r="T239">
        <v>2</v>
      </c>
      <c r="U239">
        <v>5504</v>
      </c>
      <c r="V239">
        <v>0</v>
      </c>
      <c r="W239">
        <v>5504</v>
      </c>
    </row>
    <row r="240" spans="1:23" x14ac:dyDescent="0.25">
      <c r="A240">
        <v>15741</v>
      </c>
      <c r="B240">
        <v>456333407</v>
      </c>
      <c r="C240" t="s">
        <v>1919</v>
      </c>
      <c r="D240" s="8" t="s">
        <v>1920</v>
      </c>
      <c r="E240" t="s">
        <v>644</v>
      </c>
      <c r="G240" t="s">
        <v>53</v>
      </c>
      <c r="H240" t="s">
        <v>54</v>
      </c>
      <c r="I240" t="s">
        <v>30</v>
      </c>
      <c r="J240" t="s">
        <v>55</v>
      </c>
      <c r="K240" t="s">
        <v>27</v>
      </c>
      <c r="L240" t="s">
        <v>1921</v>
      </c>
      <c r="M240" t="s">
        <v>1922</v>
      </c>
      <c r="N240" t="s">
        <v>646</v>
      </c>
      <c r="O240" t="s">
        <v>83</v>
      </c>
      <c r="P240" t="s">
        <v>1923</v>
      </c>
      <c r="Q240" t="s">
        <v>68</v>
      </c>
      <c r="R240" s="23" t="s">
        <v>1847</v>
      </c>
      <c r="S240" s="23">
        <v>46178</v>
      </c>
      <c r="T240">
        <v>2.2000000000000002</v>
      </c>
      <c r="U240">
        <v>5816</v>
      </c>
      <c r="V240">
        <v>0</v>
      </c>
      <c r="W240">
        <v>5816</v>
      </c>
    </row>
    <row r="241" spans="1:23" x14ac:dyDescent="0.25">
      <c r="A241">
        <v>15741</v>
      </c>
      <c r="B241">
        <v>456438054</v>
      </c>
      <c r="C241" t="s">
        <v>1924</v>
      </c>
      <c r="D241" s="8" t="s">
        <v>1925</v>
      </c>
      <c r="E241" t="s">
        <v>644</v>
      </c>
      <c r="G241" t="s">
        <v>53</v>
      </c>
      <c r="H241" t="s">
        <v>54</v>
      </c>
      <c r="I241" t="s">
        <v>30</v>
      </c>
      <c r="J241" t="s">
        <v>55</v>
      </c>
      <c r="K241" t="s">
        <v>27</v>
      </c>
      <c r="L241" t="s">
        <v>1926</v>
      </c>
      <c r="M241" t="s">
        <v>1927</v>
      </c>
      <c r="N241" t="s">
        <v>646</v>
      </c>
      <c r="O241" t="s">
        <v>83</v>
      </c>
      <c r="P241" t="s">
        <v>1928</v>
      </c>
      <c r="Q241" t="s">
        <v>71</v>
      </c>
      <c r="R241" s="23" t="s">
        <v>1929</v>
      </c>
      <c r="S241" s="23">
        <v>46181</v>
      </c>
      <c r="T241">
        <v>21.2</v>
      </c>
      <c r="U241">
        <v>11106</v>
      </c>
      <c r="V241">
        <v>0</v>
      </c>
      <c r="W241">
        <v>11106</v>
      </c>
    </row>
    <row r="242" spans="1:23" x14ac:dyDescent="0.25">
      <c r="A242">
        <v>15741</v>
      </c>
      <c r="B242">
        <v>456332898</v>
      </c>
      <c r="C242" t="s">
        <v>1930</v>
      </c>
      <c r="D242" s="8" t="s">
        <v>1931</v>
      </c>
      <c r="E242" t="s">
        <v>644</v>
      </c>
      <c r="G242" t="s">
        <v>53</v>
      </c>
      <c r="H242" t="s">
        <v>54</v>
      </c>
      <c r="I242" t="s">
        <v>30</v>
      </c>
      <c r="J242" t="s">
        <v>55</v>
      </c>
      <c r="K242" t="s">
        <v>27</v>
      </c>
      <c r="L242" t="s">
        <v>1932</v>
      </c>
      <c r="M242" t="s">
        <v>1933</v>
      </c>
      <c r="N242" t="s">
        <v>646</v>
      </c>
      <c r="O242" t="s">
        <v>83</v>
      </c>
      <c r="P242" t="s">
        <v>1934</v>
      </c>
      <c r="Q242" t="s">
        <v>44</v>
      </c>
      <c r="R242" s="23" t="s">
        <v>1935</v>
      </c>
      <c r="S242" s="23">
        <v>46178</v>
      </c>
      <c r="T242">
        <v>148.72</v>
      </c>
      <c r="U242">
        <v>40542</v>
      </c>
      <c r="V242">
        <v>0</v>
      </c>
      <c r="W242">
        <v>40542</v>
      </c>
    </row>
    <row r="243" spans="1:23" x14ac:dyDescent="0.25">
      <c r="A243">
        <v>15741</v>
      </c>
      <c r="B243">
        <v>456436956</v>
      </c>
      <c r="C243" t="s">
        <v>1936</v>
      </c>
      <c r="D243" s="8" t="s">
        <v>1937</v>
      </c>
      <c r="E243" t="s">
        <v>644</v>
      </c>
      <c r="G243" t="s">
        <v>53</v>
      </c>
      <c r="H243" t="s">
        <v>54</v>
      </c>
      <c r="I243" t="s">
        <v>30</v>
      </c>
      <c r="J243" t="s">
        <v>55</v>
      </c>
      <c r="K243" t="s">
        <v>27</v>
      </c>
      <c r="L243" t="s">
        <v>558</v>
      </c>
      <c r="M243" t="s">
        <v>1938</v>
      </c>
      <c r="N243" t="s">
        <v>646</v>
      </c>
      <c r="O243" t="s">
        <v>83</v>
      </c>
      <c r="P243" t="s">
        <v>1939</v>
      </c>
      <c r="Q243" t="s">
        <v>78</v>
      </c>
      <c r="R243" s="23" t="s">
        <v>599</v>
      </c>
      <c r="S243" s="23">
        <v>46181</v>
      </c>
      <c r="T243">
        <v>21.2</v>
      </c>
      <c r="U243">
        <v>11106</v>
      </c>
      <c r="V243">
        <v>0</v>
      </c>
      <c r="W243">
        <v>11106</v>
      </c>
    </row>
    <row r="244" spans="1:23" x14ac:dyDescent="0.25">
      <c r="A244">
        <v>15741</v>
      </c>
      <c r="B244">
        <v>456307853</v>
      </c>
      <c r="C244" t="s">
        <v>1940</v>
      </c>
      <c r="D244" s="8" t="s">
        <v>1941</v>
      </c>
      <c r="E244" t="s">
        <v>644</v>
      </c>
      <c r="G244" t="s">
        <v>53</v>
      </c>
      <c r="H244" t="s">
        <v>54</v>
      </c>
      <c r="I244" t="s">
        <v>30</v>
      </c>
      <c r="J244" t="s">
        <v>55</v>
      </c>
      <c r="K244" t="s">
        <v>27</v>
      </c>
      <c r="L244" t="s">
        <v>1942</v>
      </c>
      <c r="M244" t="s">
        <v>1943</v>
      </c>
      <c r="N244" t="s">
        <v>646</v>
      </c>
      <c r="O244" t="s">
        <v>83</v>
      </c>
      <c r="P244" t="s">
        <v>1944</v>
      </c>
      <c r="Q244" t="s">
        <v>105</v>
      </c>
      <c r="R244" s="23" t="s">
        <v>351</v>
      </c>
      <c r="S244" s="23">
        <v>46178</v>
      </c>
      <c r="T244">
        <v>2.1</v>
      </c>
      <c r="U244">
        <v>6722</v>
      </c>
      <c r="V244">
        <v>0</v>
      </c>
      <c r="W244">
        <v>6722</v>
      </c>
    </row>
    <row r="245" spans="1:23" x14ac:dyDescent="0.25">
      <c r="A245">
        <v>15741</v>
      </c>
      <c r="B245">
        <v>456306648</v>
      </c>
      <c r="C245" t="s">
        <v>1945</v>
      </c>
      <c r="D245" s="8" t="s">
        <v>1946</v>
      </c>
      <c r="E245" t="s">
        <v>644</v>
      </c>
      <c r="G245" t="s">
        <v>53</v>
      </c>
      <c r="H245" t="s">
        <v>54</v>
      </c>
      <c r="I245" t="s">
        <v>30</v>
      </c>
      <c r="J245" t="s">
        <v>55</v>
      </c>
      <c r="K245" t="s">
        <v>27</v>
      </c>
      <c r="L245" t="s">
        <v>1947</v>
      </c>
      <c r="M245" t="s">
        <v>1948</v>
      </c>
      <c r="N245" t="s">
        <v>646</v>
      </c>
      <c r="O245" t="s">
        <v>83</v>
      </c>
      <c r="P245" t="s">
        <v>1949</v>
      </c>
      <c r="Q245" t="s">
        <v>87</v>
      </c>
      <c r="R245" s="23" t="s">
        <v>1950</v>
      </c>
      <c r="S245" s="23">
        <v>46178</v>
      </c>
      <c r="T245">
        <v>2.1</v>
      </c>
      <c r="U245">
        <v>5816</v>
      </c>
      <c r="V245">
        <v>0</v>
      </c>
      <c r="W245">
        <v>5816</v>
      </c>
    </row>
    <row r="246" spans="1:23" x14ac:dyDescent="0.25">
      <c r="A246">
        <v>15741</v>
      </c>
      <c r="B246">
        <v>456308537</v>
      </c>
      <c r="C246" t="s">
        <v>1951</v>
      </c>
      <c r="D246" s="8" t="s">
        <v>1952</v>
      </c>
      <c r="E246" t="s">
        <v>644</v>
      </c>
      <c r="G246" t="s">
        <v>53</v>
      </c>
      <c r="H246" t="s">
        <v>54</v>
      </c>
      <c r="I246" t="s">
        <v>30</v>
      </c>
      <c r="J246" t="s">
        <v>55</v>
      </c>
      <c r="K246" t="s">
        <v>27</v>
      </c>
      <c r="L246" t="s">
        <v>1953</v>
      </c>
      <c r="M246" t="s">
        <v>1954</v>
      </c>
      <c r="N246" t="s">
        <v>646</v>
      </c>
      <c r="O246" t="s">
        <v>83</v>
      </c>
      <c r="P246" t="s">
        <v>1955</v>
      </c>
      <c r="Q246" t="s">
        <v>52</v>
      </c>
      <c r="R246" s="23" t="s">
        <v>392</v>
      </c>
      <c r="S246" s="23">
        <v>46178</v>
      </c>
      <c r="T246">
        <v>7.3</v>
      </c>
      <c r="U246">
        <v>7409</v>
      </c>
      <c r="V246">
        <v>0</v>
      </c>
      <c r="W246">
        <v>7409</v>
      </c>
    </row>
    <row r="247" spans="1:23" x14ac:dyDescent="0.25">
      <c r="A247">
        <v>15741</v>
      </c>
      <c r="B247">
        <v>456436832</v>
      </c>
      <c r="C247" t="s">
        <v>1956</v>
      </c>
      <c r="D247" s="8" t="s">
        <v>1957</v>
      </c>
      <c r="E247" t="s">
        <v>644</v>
      </c>
      <c r="G247" t="s">
        <v>53</v>
      </c>
      <c r="H247" t="s">
        <v>54</v>
      </c>
      <c r="I247" t="s">
        <v>30</v>
      </c>
      <c r="J247" t="s">
        <v>55</v>
      </c>
      <c r="K247" t="s">
        <v>27</v>
      </c>
      <c r="L247" t="s">
        <v>1958</v>
      </c>
      <c r="M247" t="s">
        <v>1959</v>
      </c>
      <c r="N247" t="s">
        <v>646</v>
      </c>
      <c r="O247" t="s">
        <v>83</v>
      </c>
      <c r="P247" t="s">
        <v>1960</v>
      </c>
      <c r="Q247" t="s">
        <v>81</v>
      </c>
      <c r="R247" s="23" t="s">
        <v>482</v>
      </c>
      <c r="S247" s="23">
        <v>46181</v>
      </c>
      <c r="T247">
        <v>14.63</v>
      </c>
      <c r="U247">
        <v>9628</v>
      </c>
      <c r="V247">
        <v>0</v>
      </c>
      <c r="W247">
        <v>9628</v>
      </c>
    </row>
    <row r="248" spans="1:23" x14ac:dyDescent="0.25">
      <c r="A248">
        <v>15741</v>
      </c>
      <c r="B248">
        <v>456332032</v>
      </c>
      <c r="C248" t="s">
        <v>1961</v>
      </c>
      <c r="D248" s="8" t="s">
        <v>1962</v>
      </c>
      <c r="E248" t="s">
        <v>644</v>
      </c>
      <c r="G248" t="s">
        <v>53</v>
      </c>
      <c r="H248" t="s">
        <v>54</v>
      </c>
      <c r="I248" t="s">
        <v>30</v>
      </c>
      <c r="J248" t="s">
        <v>55</v>
      </c>
      <c r="K248" t="s">
        <v>27</v>
      </c>
      <c r="L248" t="s">
        <v>1963</v>
      </c>
      <c r="M248" t="s">
        <v>1964</v>
      </c>
      <c r="N248" t="s">
        <v>646</v>
      </c>
      <c r="O248" t="s">
        <v>83</v>
      </c>
      <c r="P248" t="s">
        <v>1965</v>
      </c>
      <c r="Q248" t="s">
        <v>44</v>
      </c>
      <c r="R248" s="23" t="s">
        <v>1966</v>
      </c>
      <c r="S248" s="23">
        <v>46178</v>
      </c>
      <c r="T248">
        <v>2</v>
      </c>
      <c r="U248">
        <v>5504</v>
      </c>
      <c r="V248">
        <v>0</v>
      </c>
      <c r="W248">
        <v>5504</v>
      </c>
    </row>
    <row r="249" spans="1:23" x14ac:dyDescent="0.25">
      <c r="A249">
        <v>15741</v>
      </c>
      <c r="B249">
        <v>456334114</v>
      </c>
      <c r="C249" t="s">
        <v>1967</v>
      </c>
      <c r="D249" s="8" t="s">
        <v>1968</v>
      </c>
      <c r="E249" t="s">
        <v>644</v>
      </c>
      <c r="G249" t="s">
        <v>53</v>
      </c>
      <c r="H249" t="s">
        <v>54</v>
      </c>
      <c r="I249" t="s">
        <v>30</v>
      </c>
      <c r="J249" t="s">
        <v>55</v>
      </c>
      <c r="K249" t="s">
        <v>27</v>
      </c>
      <c r="L249" t="s">
        <v>1969</v>
      </c>
      <c r="M249" t="s">
        <v>1158</v>
      </c>
      <c r="N249" t="s">
        <v>646</v>
      </c>
      <c r="O249" t="s">
        <v>83</v>
      </c>
      <c r="P249" t="s">
        <v>1970</v>
      </c>
      <c r="Q249" t="s">
        <v>144</v>
      </c>
      <c r="R249" s="23" t="s">
        <v>1971</v>
      </c>
      <c r="S249" s="23">
        <v>46178</v>
      </c>
      <c r="T249">
        <v>2.1</v>
      </c>
      <c r="U249">
        <v>5816</v>
      </c>
      <c r="V249">
        <v>0</v>
      </c>
      <c r="W249">
        <v>5816</v>
      </c>
    </row>
    <row r="250" spans="1:23" hidden="1" x14ac:dyDescent="0.25">
      <c r="A250">
        <v>15741</v>
      </c>
      <c r="B250">
        <v>455804378</v>
      </c>
      <c r="C250" t="s">
        <v>1972</v>
      </c>
      <c r="D250" s="8" t="s">
        <v>1973</v>
      </c>
      <c r="E250" t="s">
        <v>644</v>
      </c>
      <c r="G250" t="s">
        <v>53</v>
      </c>
      <c r="H250" t="s">
        <v>54</v>
      </c>
      <c r="I250" t="s">
        <v>30</v>
      </c>
      <c r="J250" t="s">
        <v>55</v>
      </c>
      <c r="K250" t="s">
        <v>27</v>
      </c>
      <c r="L250" t="s">
        <v>1974</v>
      </c>
      <c r="M250" t="s">
        <v>1975</v>
      </c>
      <c r="N250" t="s">
        <v>646</v>
      </c>
      <c r="O250" t="s">
        <v>83</v>
      </c>
      <c r="P250" t="s">
        <v>1976</v>
      </c>
      <c r="Q250" t="s">
        <v>191</v>
      </c>
      <c r="R250" s="23" t="s">
        <v>241</v>
      </c>
      <c r="S250" s="23">
        <v>46175</v>
      </c>
      <c r="T250">
        <v>102</v>
      </c>
      <c r="U250">
        <v>47498</v>
      </c>
      <c r="V250">
        <v>4439.88</v>
      </c>
      <c r="W250">
        <v>51937.88</v>
      </c>
    </row>
    <row r="251" spans="1:23" x14ac:dyDescent="0.25">
      <c r="A251">
        <v>15741</v>
      </c>
      <c r="B251">
        <v>456331001</v>
      </c>
      <c r="C251" t="s">
        <v>1977</v>
      </c>
      <c r="D251" s="8" t="s">
        <v>1978</v>
      </c>
      <c r="E251" t="s">
        <v>644</v>
      </c>
      <c r="G251" t="s">
        <v>53</v>
      </c>
      <c r="H251" t="s">
        <v>54</v>
      </c>
      <c r="I251" t="s">
        <v>30</v>
      </c>
      <c r="J251" t="s">
        <v>55</v>
      </c>
      <c r="K251" t="s">
        <v>27</v>
      </c>
      <c r="L251" t="s">
        <v>1979</v>
      </c>
      <c r="M251" t="s">
        <v>1980</v>
      </c>
      <c r="N251" t="s">
        <v>646</v>
      </c>
      <c r="O251" t="s">
        <v>83</v>
      </c>
      <c r="P251" t="s">
        <v>1981</v>
      </c>
      <c r="Q251" t="s">
        <v>52</v>
      </c>
      <c r="R251" s="23" t="s">
        <v>1982</v>
      </c>
      <c r="S251" s="23">
        <v>46178</v>
      </c>
      <c r="T251">
        <v>2</v>
      </c>
      <c r="U251">
        <v>5504</v>
      </c>
      <c r="V251">
        <v>0</v>
      </c>
      <c r="W251">
        <v>5504</v>
      </c>
    </row>
    <row r="252" spans="1:23" x14ac:dyDescent="0.25">
      <c r="A252">
        <v>15741</v>
      </c>
      <c r="B252">
        <v>456331966</v>
      </c>
      <c r="C252" t="s">
        <v>1983</v>
      </c>
      <c r="D252" s="8" t="s">
        <v>1984</v>
      </c>
      <c r="E252" t="s">
        <v>644</v>
      </c>
      <c r="G252" t="s">
        <v>53</v>
      </c>
      <c r="H252" t="s">
        <v>54</v>
      </c>
      <c r="I252" t="s">
        <v>30</v>
      </c>
      <c r="J252" t="s">
        <v>55</v>
      </c>
      <c r="K252" t="s">
        <v>27</v>
      </c>
      <c r="L252" t="s">
        <v>1985</v>
      </c>
      <c r="M252" t="s">
        <v>1986</v>
      </c>
      <c r="N252" t="s">
        <v>646</v>
      </c>
      <c r="O252" t="s">
        <v>83</v>
      </c>
      <c r="P252" t="s">
        <v>1987</v>
      </c>
      <c r="Q252" t="s">
        <v>87</v>
      </c>
      <c r="R252" s="23" t="s">
        <v>399</v>
      </c>
      <c r="S252" s="23">
        <v>46178</v>
      </c>
      <c r="T252">
        <v>2</v>
      </c>
      <c r="U252">
        <v>5504</v>
      </c>
      <c r="V252">
        <v>0</v>
      </c>
      <c r="W252">
        <v>5504</v>
      </c>
    </row>
    <row r="253" spans="1:23" x14ac:dyDescent="0.25">
      <c r="A253">
        <v>15741</v>
      </c>
      <c r="B253">
        <v>456437075</v>
      </c>
      <c r="C253" t="s">
        <v>1988</v>
      </c>
      <c r="D253" s="8" t="s">
        <v>1989</v>
      </c>
      <c r="E253" t="s">
        <v>644</v>
      </c>
      <c r="G253" t="s">
        <v>53</v>
      </c>
      <c r="H253" t="s">
        <v>54</v>
      </c>
      <c r="I253" t="s">
        <v>30</v>
      </c>
      <c r="J253" t="s">
        <v>55</v>
      </c>
      <c r="K253" t="s">
        <v>27</v>
      </c>
      <c r="L253" t="s">
        <v>1990</v>
      </c>
      <c r="M253" t="s">
        <v>1991</v>
      </c>
      <c r="N253" t="s">
        <v>646</v>
      </c>
      <c r="O253" t="s">
        <v>83</v>
      </c>
      <c r="P253" t="s">
        <v>1992</v>
      </c>
      <c r="Q253" t="s">
        <v>70</v>
      </c>
      <c r="R253" s="23" t="s">
        <v>481</v>
      </c>
      <c r="S253" s="23">
        <v>46181</v>
      </c>
      <c r="T253">
        <v>21.2</v>
      </c>
      <c r="U253">
        <v>11106</v>
      </c>
      <c r="V253">
        <v>0</v>
      </c>
      <c r="W253">
        <v>11106</v>
      </c>
    </row>
    <row r="254" spans="1:23" x14ac:dyDescent="0.25">
      <c r="A254">
        <v>15741</v>
      </c>
      <c r="B254">
        <v>456329841</v>
      </c>
      <c r="C254" t="s">
        <v>1993</v>
      </c>
      <c r="D254" s="8" t="s">
        <v>1994</v>
      </c>
      <c r="E254" t="s">
        <v>644</v>
      </c>
      <c r="G254" t="s">
        <v>53</v>
      </c>
      <c r="H254" t="s">
        <v>54</v>
      </c>
      <c r="I254" t="s">
        <v>30</v>
      </c>
      <c r="J254" t="s">
        <v>55</v>
      </c>
      <c r="K254" t="s">
        <v>27</v>
      </c>
      <c r="L254" t="s">
        <v>1995</v>
      </c>
      <c r="M254" t="s">
        <v>1996</v>
      </c>
      <c r="N254" t="s">
        <v>646</v>
      </c>
      <c r="O254" t="s">
        <v>83</v>
      </c>
      <c r="P254" t="s">
        <v>1997</v>
      </c>
      <c r="Q254" t="s">
        <v>45</v>
      </c>
      <c r="R254" s="23" t="s">
        <v>1998</v>
      </c>
      <c r="S254" s="23">
        <v>46178</v>
      </c>
      <c r="T254">
        <v>21.2</v>
      </c>
      <c r="U254">
        <v>11106</v>
      </c>
      <c r="V254">
        <v>0</v>
      </c>
      <c r="W254">
        <v>11106</v>
      </c>
    </row>
    <row r="255" spans="1:23" x14ac:dyDescent="0.25">
      <c r="A255">
        <v>15741</v>
      </c>
      <c r="B255">
        <v>456329031</v>
      </c>
      <c r="C255" t="s">
        <v>1999</v>
      </c>
      <c r="D255" s="8" t="s">
        <v>2000</v>
      </c>
      <c r="E255" t="s">
        <v>644</v>
      </c>
      <c r="G255" t="s">
        <v>53</v>
      </c>
      <c r="H255" t="s">
        <v>54</v>
      </c>
      <c r="I255" t="s">
        <v>30</v>
      </c>
      <c r="J255" t="s">
        <v>55</v>
      </c>
      <c r="K255" t="s">
        <v>27</v>
      </c>
      <c r="L255" t="s">
        <v>2001</v>
      </c>
      <c r="M255" t="s">
        <v>2002</v>
      </c>
      <c r="N255" t="s">
        <v>646</v>
      </c>
      <c r="O255" t="s">
        <v>83</v>
      </c>
      <c r="P255" t="s">
        <v>2003</v>
      </c>
      <c r="Q255" t="s">
        <v>44</v>
      </c>
      <c r="R255" s="23" t="s">
        <v>314</v>
      </c>
      <c r="S255" s="23">
        <v>46178</v>
      </c>
      <c r="T255">
        <v>6.4</v>
      </c>
      <c r="U255">
        <v>7086</v>
      </c>
      <c r="V255">
        <v>0</v>
      </c>
      <c r="W255">
        <v>7086</v>
      </c>
    </row>
    <row r="256" spans="1:23" x14ac:dyDescent="0.25">
      <c r="A256">
        <v>15741</v>
      </c>
      <c r="B256">
        <v>456331608</v>
      </c>
      <c r="C256" t="s">
        <v>2004</v>
      </c>
      <c r="D256" s="8" t="s">
        <v>2005</v>
      </c>
      <c r="E256" t="s">
        <v>644</v>
      </c>
      <c r="G256" t="s">
        <v>53</v>
      </c>
      <c r="H256" t="s">
        <v>54</v>
      </c>
      <c r="I256" t="s">
        <v>30</v>
      </c>
      <c r="J256" t="s">
        <v>55</v>
      </c>
      <c r="K256" t="s">
        <v>27</v>
      </c>
      <c r="L256" t="s">
        <v>2006</v>
      </c>
      <c r="M256" t="s">
        <v>2007</v>
      </c>
      <c r="N256" t="s">
        <v>646</v>
      </c>
      <c r="O256" t="s">
        <v>83</v>
      </c>
      <c r="P256" t="s">
        <v>2008</v>
      </c>
      <c r="Q256" t="s">
        <v>87</v>
      </c>
      <c r="R256" s="23" t="s">
        <v>224</v>
      </c>
      <c r="S256" s="23">
        <v>46178</v>
      </c>
      <c r="T256">
        <v>2</v>
      </c>
      <c r="U256">
        <v>5504</v>
      </c>
      <c r="V256">
        <v>0</v>
      </c>
      <c r="W256">
        <v>5504</v>
      </c>
    </row>
    <row r="257" spans="1:23" x14ac:dyDescent="0.25">
      <c r="A257">
        <v>15741</v>
      </c>
      <c r="B257">
        <v>456320770</v>
      </c>
      <c r="C257" t="s">
        <v>2009</v>
      </c>
      <c r="D257" s="8" t="s">
        <v>2010</v>
      </c>
      <c r="E257" t="s">
        <v>644</v>
      </c>
      <c r="G257" t="s">
        <v>53</v>
      </c>
      <c r="H257" t="s">
        <v>54</v>
      </c>
      <c r="I257" t="s">
        <v>30</v>
      </c>
      <c r="J257" t="s">
        <v>55</v>
      </c>
      <c r="K257" t="s">
        <v>27</v>
      </c>
      <c r="L257" t="s">
        <v>2011</v>
      </c>
      <c r="M257" t="s">
        <v>2012</v>
      </c>
      <c r="N257" t="s">
        <v>646</v>
      </c>
      <c r="O257" t="s">
        <v>83</v>
      </c>
      <c r="P257" t="s">
        <v>2013</v>
      </c>
      <c r="Q257" t="s">
        <v>44</v>
      </c>
      <c r="R257" s="23" t="s">
        <v>566</v>
      </c>
      <c r="S257" s="23">
        <v>46178</v>
      </c>
      <c r="T257">
        <v>12.4</v>
      </c>
      <c r="U257">
        <v>8993</v>
      </c>
      <c r="V257">
        <v>0</v>
      </c>
      <c r="W257">
        <v>8993</v>
      </c>
    </row>
    <row r="258" spans="1:23" x14ac:dyDescent="0.25">
      <c r="A258">
        <v>15741</v>
      </c>
      <c r="B258">
        <v>456437195</v>
      </c>
      <c r="C258" t="s">
        <v>2014</v>
      </c>
      <c r="D258" s="8" t="s">
        <v>2015</v>
      </c>
      <c r="E258" t="s">
        <v>644</v>
      </c>
      <c r="G258" t="s">
        <v>53</v>
      </c>
      <c r="H258" t="s">
        <v>54</v>
      </c>
      <c r="I258" t="s">
        <v>30</v>
      </c>
      <c r="J258" t="s">
        <v>55</v>
      </c>
      <c r="K258" t="s">
        <v>27</v>
      </c>
      <c r="L258" t="s">
        <v>2016</v>
      </c>
      <c r="M258" t="s">
        <v>2017</v>
      </c>
      <c r="N258" t="s">
        <v>646</v>
      </c>
      <c r="O258" t="s">
        <v>83</v>
      </c>
      <c r="P258" t="s">
        <v>2018</v>
      </c>
      <c r="Q258" t="s">
        <v>43</v>
      </c>
      <c r="R258" s="23" t="s">
        <v>520</v>
      </c>
      <c r="S258" s="23">
        <v>46181</v>
      </c>
      <c r="T258">
        <v>12.4</v>
      </c>
      <c r="U258">
        <v>8993</v>
      </c>
      <c r="V258">
        <v>0</v>
      </c>
      <c r="W258">
        <v>8993</v>
      </c>
    </row>
    <row r="259" spans="1:23" x14ac:dyDescent="0.25">
      <c r="A259">
        <v>15741</v>
      </c>
      <c r="B259">
        <v>456331331</v>
      </c>
      <c r="C259" t="s">
        <v>2019</v>
      </c>
      <c r="D259" s="8" t="s">
        <v>2020</v>
      </c>
      <c r="E259" t="s">
        <v>644</v>
      </c>
      <c r="G259" t="s">
        <v>53</v>
      </c>
      <c r="H259" t="s">
        <v>54</v>
      </c>
      <c r="I259" t="s">
        <v>30</v>
      </c>
      <c r="J259" t="s">
        <v>55</v>
      </c>
      <c r="K259" t="s">
        <v>27</v>
      </c>
      <c r="L259" t="s">
        <v>2021</v>
      </c>
      <c r="M259" t="s">
        <v>2022</v>
      </c>
      <c r="N259" t="s">
        <v>646</v>
      </c>
      <c r="O259" t="s">
        <v>83</v>
      </c>
      <c r="P259" t="s">
        <v>2023</v>
      </c>
      <c r="Q259" t="s">
        <v>43</v>
      </c>
      <c r="R259" s="23" t="s">
        <v>485</v>
      </c>
      <c r="S259" s="23">
        <v>46178</v>
      </c>
      <c r="T259">
        <v>12.4</v>
      </c>
      <c r="U259">
        <v>8993</v>
      </c>
      <c r="V259">
        <v>0</v>
      </c>
      <c r="W259">
        <v>8993</v>
      </c>
    </row>
    <row r="260" spans="1:23" hidden="1" x14ac:dyDescent="0.25">
      <c r="A260">
        <v>15741</v>
      </c>
      <c r="B260">
        <v>456207612</v>
      </c>
      <c r="C260" t="s">
        <v>2024</v>
      </c>
      <c r="D260" s="8" t="s">
        <v>2025</v>
      </c>
      <c r="E260" t="s">
        <v>644</v>
      </c>
      <c r="G260" t="s">
        <v>53</v>
      </c>
      <c r="H260" t="s">
        <v>54</v>
      </c>
      <c r="I260" t="s">
        <v>30</v>
      </c>
      <c r="J260" t="s">
        <v>55</v>
      </c>
      <c r="K260" t="s">
        <v>27</v>
      </c>
      <c r="L260" t="s">
        <v>2026</v>
      </c>
      <c r="M260" t="s">
        <v>2027</v>
      </c>
      <c r="N260" t="s">
        <v>646</v>
      </c>
      <c r="O260" t="s">
        <v>83</v>
      </c>
      <c r="P260" t="s">
        <v>2028</v>
      </c>
      <c r="Q260" t="s">
        <v>151</v>
      </c>
      <c r="R260" s="23" t="s">
        <v>534</v>
      </c>
      <c r="S260" s="23">
        <v>46177</v>
      </c>
      <c r="T260">
        <v>93.3</v>
      </c>
      <c r="U260">
        <v>58426</v>
      </c>
      <c r="V260">
        <v>6209.88</v>
      </c>
      <c r="W260">
        <v>64635.88</v>
      </c>
    </row>
    <row r="261" spans="1:23" hidden="1" x14ac:dyDescent="0.25">
      <c r="A261">
        <v>15741</v>
      </c>
      <c r="B261">
        <v>456229321</v>
      </c>
      <c r="C261" t="s">
        <v>2029</v>
      </c>
      <c r="D261" s="8" t="s">
        <v>2030</v>
      </c>
      <c r="E261" t="s">
        <v>644</v>
      </c>
      <c r="G261" t="s">
        <v>53</v>
      </c>
      <c r="H261" t="s">
        <v>54</v>
      </c>
      <c r="I261" t="s">
        <v>30</v>
      </c>
      <c r="J261" t="s">
        <v>55</v>
      </c>
      <c r="K261" t="s">
        <v>27</v>
      </c>
      <c r="L261" t="s">
        <v>2031</v>
      </c>
      <c r="M261" t="s">
        <v>2032</v>
      </c>
      <c r="N261" t="s">
        <v>646</v>
      </c>
      <c r="O261" t="s">
        <v>83</v>
      </c>
      <c r="P261" t="s">
        <v>2033</v>
      </c>
      <c r="Q261" t="s">
        <v>48</v>
      </c>
      <c r="R261" s="23" t="s">
        <v>521</v>
      </c>
      <c r="S261" s="23">
        <v>46177</v>
      </c>
      <c r="T261">
        <v>39.17</v>
      </c>
      <c r="U261">
        <v>15962</v>
      </c>
      <c r="V261">
        <v>0</v>
      </c>
      <c r="W261">
        <v>15962</v>
      </c>
    </row>
    <row r="262" spans="1:23" hidden="1" x14ac:dyDescent="0.25">
      <c r="A262">
        <v>15741</v>
      </c>
      <c r="B262">
        <v>456258837</v>
      </c>
      <c r="C262" t="s">
        <v>2034</v>
      </c>
      <c r="D262" s="8" t="s">
        <v>2035</v>
      </c>
      <c r="E262" t="s">
        <v>644</v>
      </c>
      <c r="G262" t="s">
        <v>53</v>
      </c>
      <c r="H262" t="s">
        <v>54</v>
      </c>
      <c r="I262" t="s">
        <v>30</v>
      </c>
      <c r="J262" t="s">
        <v>55</v>
      </c>
      <c r="K262" t="s">
        <v>27</v>
      </c>
      <c r="L262" t="s">
        <v>2036</v>
      </c>
      <c r="M262" t="s">
        <v>626</v>
      </c>
      <c r="N262" t="s">
        <v>646</v>
      </c>
      <c r="O262" t="s">
        <v>83</v>
      </c>
      <c r="P262" t="s">
        <v>2037</v>
      </c>
      <c r="Q262" t="s">
        <v>45</v>
      </c>
      <c r="R262" s="23" t="s">
        <v>2038</v>
      </c>
      <c r="S262" s="23">
        <v>46177</v>
      </c>
      <c r="T262">
        <v>2.1</v>
      </c>
      <c r="U262">
        <v>5816</v>
      </c>
      <c r="V262">
        <v>0</v>
      </c>
      <c r="W262">
        <v>5816</v>
      </c>
    </row>
    <row r="263" spans="1:23" hidden="1" x14ac:dyDescent="0.25">
      <c r="A263">
        <v>15741</v>
      </c>
      <c r="B263">
        <v>456228673</v>
      </c>
      <c r="C263" t="s">
        <v>2039</v>
      </c>
      <c r="D263" s="8" t="s">
        <v>2040</v>
      </c>
      <c r="E263" t="s">
        <v>644</v>
      </c>
      <c r="G263" t="s">
        <v>53</v>
      </c>
      <c r="H263" t="s">
        <v>54</v>
      </c>
      <c r="I263" t="s">
        <v>30</v>
      </c>
      <c r="J263" t="s">
        <v>55</v>
      </c>
      <c r="K263" t="s">
        <v>27</v>
      </c>
      <c r="L263" t="s">
        <v>2041</v>
      </c>
      <c r="M263" t="s">
        <v>2042</v>
      </c>
      <c r="N263" t="s">
        <v>646</v>
      </c>
      <c r="O263" t="s">
        <v>83</v>
      </c>
      <c r="P263" t="s">
        <v>2043</v>
      </c>
      <c r="Q263" t="s">
        <v>45</v>
      </c>
      <c r="R263" s="23" t="s">
        <v>163</v>
      </c>
      <c r="S263" s="23">
        <v>46177</v>
      </c>
      <c r="T263">
        <v>2.1</v>
      </c>
      <c r="U263">
        <v>5816</v>
      </c>
      <c r="V263">
        <v>0</v>
      </c>
      <c r="W263">
        <v>5816</v>
      </c>
    </row>
    <row r="264" spans="1:23" hidden="1" x14ac:dyDescent="0.25">
      <c r="A264">
        <v>15741</v>
      </c>
      <c r="B264">
        <v>456243104</v>
      </c>
      <c r="C264" t="s">
        <v>2044</v>
      </c>
      <c r="D264" s="8" t="s">
        <v>2045</v>
      </c>
      <c r="E264" t="s">
        <v>644</v>
      </c>
      <c r="G264" t="s">
        <v>53</v>
      </c>
      <c r="H264" t="s">
        <v>54</v>
      </c>
      <c r="I264" t="s">
        <v>30</v>
      </c>
      <c r="J264" t="s">
        <v>55</v>
      </c>
      <c r="K264" t="s">
        <v>27</v>
      </c>
      <c r="L264" t="s">
        <v>2046</v>
      </c>
      <c r="M264" t="s">
        <v>2047</v>
      </c>
      <c r="N264" t="s">
        <v>646</v>
      </c>
      <c r="O264" t="s">
        <v>83</v>
      </c>
      <c r="P264" t="s">
        <v>2048</v>
      </c>
      <c r="Q264" t="s">
        <v>52</v>
      </c>
      <c r="R264" s="23" t="s">
        <v>2049</v>
      </c>
      <c r="S264" s="23">
        <v>46177</v>
      </c>
      <c r="T264">
        <v>2.1</v>
      </c>
      <c r="U264">
        <v>5816</v>
      </c>
      <c r="V264">
        <v>0</v>
      </c>
      <c r="W264">
        <v>5816</v>
      </c>
    </row>
    <row r="265" spans="1:23" hidden="1" x14ac:dyDescent="0.25">
      <c r="A265">
        <v>15741</v>
      </c>
      <c r="B265">
        <v>456257945</v>
      </c>
      <c r="C265" t="s">
        <v>2050</v>
      </c>
      <c r="D265" s="8" t="s">
        <v>2051</v>
      </c>
      <c r="E265" t="s">
        <v>644</v>
      </c>
      <c r="G265" t="s">
        <v>53</v>
      </c>
      <c r="H265" t="s">
        <v>54</v>
      </c>
      <c r="I265" t="s">
        <v>30</v>
      </c>
      <c r="J265" t="s">
        <v>55</v>
      </c>
      <c r="K265" t="s">
        <v>27</v>
      </c>
      <c r="L265" t="s">
        <v>2052</v>
      </c>
      <c r="M265" t="s">
        <v>2053</v>
      </c>
      <c r="N265" t="s">
        <v>646</v>
      </c>
      <c r="O265" t="s">
        <v>83</v>
      </c>
      <c r="P265" t="s">
        <v>2054</v>
      </c>
      <c r="Q265" t="s">
        <v>43</v>
      </c>
      <c r="R265" s="23" t="s">
        <v>2055</v>
      </c>
      <c r="S265" s="23">
        <v>46177</v>
      </c>
      <c r="T265">
        <v>5.6</v>
      </c>
      <c r="U265">
        <v>6775</v>
      </c>
      <c r="V265">
        <v>0</v>
      </c>
      <c r="W265">
        <v>6775</v>
      </c>
    </row>
    <row r="266" spans="1:23" x14ac:dyDescent="0.25">
      <c r="A266">
        <v>15741</v>
      </c>
      <c r="B266">
        <v>456302201</v>
      </c>
      <c r="C266" t="s">
        <v>2056</v>
      </c>
      <c r="D266" s="8" t="s">
        <v>2057</v>
      </c>
      <c r="E266" t="s">
        <v>644</v>
      </c>
      <c r="G266" t="s">
        <v>53</v>
      </c>
      <c r="H266" t="s">
        <v>54</v>
      </c>
      <c r="I266" t="s">
        <v>30</v>
      </c>
      <c r="J266" t="s">
        <v>55</v>
      </c>
      <c r="K266" t="s">
        <v>27</v>
      </c>
      <c r="L266" t="s">
        <v>2058</v>
      </c>
      <c r="M266" t="s">
        <v>2059</v>
      </c>
      <c r="N266" t="s">
        <v>646</v>
      </c>
      <c r="O266" t="s">
        <v>83</v>
      </c>
      <c r="P266" t="s">
        <v>564</v>
      </c>
      <c r="Q266" t="s">
        <v>253</v>
      </c>
      <c r="R266" s="23" t="s">
        <v>154</v>
      </c>
      <c r="S266" s="23">
        <v>46178</v>
      </c>
      <c r="T266">
        <v>5</v>
      </c>
      <c r="U266">
        <v>9598</v>
      </c>
      <c r="V266">
        <v>0</v>
      </c>
      <c r="W266">
        <v>9598</v>
      </c>
    </row>
    <row r="267" spans="1:23" hidden="1" x14ac:dyDescent="0.25">
      <c r="A267">
        <v>15741</v>
      </c>
      <c r="B267">
        <v>456014601</v>
      </c>
      <c r="C267" t="s">
        <v>2060</v>
      </c>
      <c r="D267" s="8" t="s">
        <v>2061</v>
      </c>
      <c r="E267" t="s">
        <v>644</v>
      </c>
      <c r="G267" t="s">
        <v>53</v>
      </c>
      <c r="H267" t="s">
        <v>54</v>
      </c>
      <c r="I267" t="s">
        <v>30</v>
      </c>
      <c r="J267" t="s">
        <v>55</v>
      </c>
      <c r="K267" t="s">
        <v>27</v>
      </c>
      <c r="L267" t="s">
        <v>2062</v>
      </c>
      <c r="M267" t="s">
        <v>2063</v>
      </c>
      <c r="N267" t="s">
        <v>646</v>
      </c>
      <c r="O267" t="s">
        <v>83</v>
      </c>
      <c r="P267" t="s">
        <v>2064</v>
      </c>
      <c r="Q267" t="s">
        <v>66</v>
      </c>
      <c r="R267" s="23" t="s">
        <v>309</v>
      </c>
      <c r="S267" s="23">
        <v>46176</v>
      </c>
      <c r="T267">
        <v>2</v>
      </c>
      <c r="U267">
        <v>5504</v>
      </c>
      <c r="V267">
        <v>0</v>
      </c>
      <c r="W267">
        <v>5504</v>
      </c>
    </row>
    <row r="268" spans="1:23" hidden="1" x14ac:dyDescent="0.25">
      <c r="A268">
        <v>15741</v>
      </c>
      <c r="B268">
        <v>456230126</v>
      </c>
      <c r="C268" t="s">
        <v>2065</v>
      </c>
      <c r="D268" s="8" t="s">
        <v>2066</v>
      </c>
      <c r="E268" t="s">
        <v>644</v>
      </c>
      <c r="G268" t="s">
        <v>53</v>
      </c>
      <c r="H268" t="s">
        <v>54</v>
      </c>
      <c r="I268" t="s">
        <v>30</v>
      </c>
      <c r="J268" t="s">
        <v>55</v>
      </c>
      <c r="K268" t="s">
        <v>27</v>
      </c>
      <c r="L268" t="s">
        <v>2067</v>
      </c>
      <c r="M268" t="s">
        <v>2068</v>
      </c>
      <c r="N268" t="s">
        <v>646</v>
      </c>
      <c r="O268" t="s">
        <v>83</v>
      </c>
      <c r="P268" t="s">
        <v>2069</v>
      </c>
      <c r="Q268" t="s">
        <v>75</v>
      </c>
      <c r="R268" s="23" t="s">
        <v>405</v>
      </c>
      <c r="S268" s="23">
        <v>46177</v>
      </c>
      <c r="T268">
        <v>2.1</v>
      </c>
      <c r="U268">
        <v>5816</v>
      </c>
      <c r="V268">
        <v>0</v>
      </c>
      <c r="W268">
        <v>5816</v>
      </c>
    </row>
    <row r="269" spans="1:23" hidden="1" x14ac:dyDescent="0.25">
      <c r="A269">
        <v>15741</v>
      </c>
      <c r="B269">
        <v>456244250</v>
      </c>
      <c r="C269" t="s">
        <v>2070</v>
      </c>
      <c r="D269" s="8" t="s">
        <v>2071</v>
      </c>
      <c r="E269" t="s">
        <v>644</v>
      </c>
      <c r="G269" t="s">
        <v>53</v>
      </c>
      <c r="H269" t="s">
        <v>54</v>
      </c>
      <c r="I269" t="s">
        <v>30</v>
      </c>
      <c r="J269" t="s">
        <v>55</v>
      </c>
      <c r="K269" t="s">
        <v>27</v>
      </c>
      <c r="L269" t="s">
        <v>2072</v>
      </c>
      <c r="M269" t="s">
        <v>469</v>
      </c>
      <c r="N269" t="s">
        <v>646</v>
      </c>
      <c r="O269" t="s">
        <v>83</v>
      </c>
      <c r="P269" t="s">
        <v>2073</v>
      </c>
      <c r="Q269" t="s">
        <v>48</v>
      </c>
      <c r="R269" s="23" t="s">
        <v>2074</v>
      </c>
      <c r="S269" s="23">
        <v>46177</v>
      </c>
      <c r="T269">
        <v>2.1</v>
      </c>
      <c r="U269">
        <v>5816</v>
      </c>
      <c r="V269">
        <v>0</v>
      </c>
      <c r="W269">
        <v>5816</v>
      </c>
    </row>
    <row r="270" spans="1:23" hidden="1" x14ac:dyDescent="0.25">
      <c r="A270">
        <v>15741</v>
      </c>
      <c r="B270">
        <v>456223689</v>
      </c>
      <c r="C270" t="s">
        <v>2075</v>
      </c>
      <c r="D270" s="8" t="s">
        <v>2076</v>
      </c>
      <c r="E270" t="s">
        <v>644</v>
      </c>
      <c r="G270" t="s">
        <v>53</v>
      </c>
      <c r="H270" t="s">
        <v>54</v>
      </c>
      <c r="I270" t="s">
        <v>30</v>
      </c>
      <c r="J270" t="s">
        <v>55</v>
      </c>
      <c r="K270" t="s">
        <v>27</v>
      </c>
      <c r="L270" t="s">
        <v>2077</v>
      </c>
      <c r="M270" t="s">
        <v>2078</v>
      </c>
      <c r="N270" t="s">
        <v>646</v>
      </c>
      <c r="O270" t="s">
        <v>83</v>
      </c>
      <c r="P270" t="s">
        <v>2079</v>
      </c>
      <c r="Q270" t="s">
        <v>43</v>
      </c>
      <c r="R270" s="23" t="s">
        <v>524</v>
      </c>
      <c r="S270" s="23">
        <v>46177</v>
      </c>
      <c r="T270">
        <v>12.3</v>
      </c>
      <c r="U270">
        <v>8993</v>
      </c>
      <c r="V270">
        <v>0</v>
      </c>
      <c r="W270">
        <v>8993</v>
      </c>
    </row>
    <row r="271" spans="1:23" hidden="1" x14ac:dyDescent="0.25">
      <c r="A271">
        <v>15741</v>
      </c>
      <c r="B271">
        <v>456244147</v>
      </c>
      <c r="C271" t="s">
        <v>2080</v>
      </c>
      <c r="D271" s="8" t="s">
        <v>2081</v>
      </c>
      <c r="E271" t="s">
        <v>644</v>
      </c>
      <c r="G271" t="s">
        <v>53</v>
      </c>
      <c r="H271" t="s">
        <v>54</v>
      </c>
      <c r="I271" t="s">
        <v>30</v>
      </c>
      <c r="J271" t="s">
        <v>55</v>
      </c>
      <c r="K271" t="s">
        <v>27</v>
      </c>
      <c r="L271" t="s">
        <v>2082</v>
      </c>
      <c r="M271" t="s">
        <v>2083</v>
      </c>
      <c r="N271" t="s">
        <v>646</v>
      </c>
      <c r="O271" t="s">
        <v>83</v>
      </c>
      <c r="P271" t="s">
        <v>2084</v>
      </c>
      <c r="Q271" t="s">
        <v>109</v>
      </c>
      <c r="R271" s="23" t="s">
        <v>2085</v>
      </c>
      <c r="S271" s="23">
        <v>46177</v>
      </c>
      <c r="T271">
        <v>1.7</v>
      </c>
      <c r="U271">
        <v>6923</v>
      </c>
      <c r="V271">
        <v>0</v>
      </c>
      <c r="W271">
        <v>6923</v>
      </c>
    </row>
    <row r="272" spans="1:23" x14ac:dyDescent="0.25">
      <c r="A272">
        <v>15741</v>
      </c>
      <c r="B272">
        <v>456302474</v>
      </c>
      <c r="C272" t="s">
        <v>2086</v>
      </c>
      <c r="D272" s="8" t="s">
        <v>2087</v>
      </c>
      <c r="E272" t="s">
        <v>644</v>
      </c>
      <c r="G272" t="s">
        <v>53</v>
      </c>
      <c r="H272" t="s">
        <v>54</v>
      </c>
      <c r="I272" t="s">
        <v>30</v>
      </c>
      <c r="J272" t="s">
        <v>55</v>
      </c>
      <c r="K272" t="s">
        <v>27</v>
      </c>
      <c r="L272" t="s">
        <v>2088</v>
      </c>
      <c r="M272" t="s">
        <v>2089</v>
      </c>
      <c r="N272" t="s">
        <v>646</v>
      </c>
      <c r="O272" t="s">
        <v>83</v>
      </c>
      <c r="P272" t="s">
        <v>207</v>
      </c>
      <c r="Q272" t="s">
        <v>109</v>
      </c>
      <c r="R272" s="23" t="s">
        <v>487</v>
      </c>
      <c r="S272" s="23">
        <v>46178</v>
      </c>
      <c r="T272">
        <v>122</v>
      </c>
      <c r="U272">
        <v>43214</v>
      </c>
      <c r="V272">
        <v>7488</v>
      </c>
      <c r="W272">
        <v>50702</v>
      </c>
    </row>
    <row r="273" spans="1:23" hidden="1" x14ac:dyDescent="0.25">
      <c r="A273">
        <v>15741</v>
      </c>
      <c r="B273">
        <v>456243465</v>
      </c>
      <c r="C273" t="s">
        <v>2090</v>
      </c>
      <c r="D273" s="8" t="s">
        <v>2091</v>
      </c>
      <c r="E273" t="s">
        <v>644</v>
      </c>
      <c r="G273" t="s">
        <v>53</v>
      </c>
      <c r="H273" t="s">
        <v>54</v>
      </c>
      <c r="I273" t="s">
        <v>30</v>
      </c>
      <c r="J273" t="s">
        <v>55</v>
      </c>
      <c r="K273" t="s">
        <v>27</v>
      </c>
      <c r="L273" t="s">
        <v>2092</v>
      </c>
      <c r="M273" t="s">
        <v>2093</v>
      </c>
      <c r="N273" t="s">
        <v>646</v>
      </c>
      <c r="O273" t="s">
        <v>83</v>
      </c>
      <c r="P273" t="s">
        <v>2094</v>
      </c>
      <c r="Q273" t="s">
        <v>87</v>
      </c>
      <c r="R273" s="23" t="s">
        <v>2095</v>
      </c>
      <c r="S273" s="23">
        <v>46177</v>
      </c>
      <c r="T273">
        <v>2.1</v>
      </c>
      <c r="U273">
        <v>5816</v>
      </c>
      <c r="V273">
        <v>0</v>
      </c>
      <c r="W273">
        <v>5816</v>
      </c>
    </row>
    <row r="274" spans="1:23" hidden="1" x14ac:dyDescent="0.25">
      <c r="A274">
        <v>15741</v>
      </c>
      <c r="B274">
        <v>455772781</v>
      </c>
      <c r="C274" t="s">
        <v>2096</v>
      </c>
      <c r="D274" s="8" t="s">
        <v>2097</v>
      </c>
      <c r="E274" t="s">
        <v>644</v>
      </c>
      <c r="G274" t="s">
        <v>53</v>
      </c>
      <c r="H274" t="s">
        <v>54</v>
      </c>
      <c r="I274" t="s">
        <v>30</v>
      </c>
      <c r="J274" t="s">
        <v>55</v>
      </c>
      <c r="K274" t="s">
        <v>27</v>
      </c>
      <c r="L274" t="s">
        <v>2098</v>
      </c>
      <c r="M274" t="s">
        <v>2099</v>
      </c>
      <c r="N274" t="s">
        <v>646</v>
      </c>
      <c r="O274" t="s">
        <v>83</v>
      </c>
      <c r="P274" t="s">
        <v>2100</v>
      </c>
      <c r="Q274" t="s">
        <v>112</v>
      </c>
      <c r="R274" s="23" t="s">
        <v>210</v>
      </c>
      <c r="S274" s="23">
        <v>46175</v>
      </c>
      <c r="T274">
        <v>12</v>
      </c>
      <c r="U274">
        <v>10892</v>
      </c>
      <c r="V274">
        <v>0</v>
      </c>
      <c r="W274">
        <v>10892</v>
      </c>
    </row>
    <row r="275" spans="1:23" hidden="1" x14ac:dyDescent="0.25">
      <c r="A275">
        <v>15741</v>
      </c>
      <c r="B275">
        <v>456226355</v>
      </c>
      <c r="C275" t="s">
        <v>2101</v>
      </c>
      <c r="D275" s="8" t="s">
        <v>2102</v>
      </c>
      <c r="E275" t="s">
        <v>644</v>
      </c>
      <c r="G275" t="s">
        <v>53</v>
      </c>
      <c r="H275" t="s">
        <v>54</v>
      </c>
      <c r="I275" t="s">
        <v>30</v>
      </c>
      <c r="J275" t="s">
        <v>55</v>
      </c>
      <c r="K275" t="s">
        <v>27</v>
      </c>
      <c r="L275" t="s">
        <v>2103</v>
      </c>
      <c r="M275" t="s">
        <v>618</v>
      </c>
      <c r="N275" t="s">
        <v>646</v>
      </c>
      <c r="O275" t="s">
        <v>83</v>
      </c>
      <c r="P275" t="s">
        <v>2104</v>
      </c>
      <c r="Q275" t="s">
        <v>47</v>
      </c>
      <c r="R275" s="23" t="s">
        <v>74</v>
      </c>
      <c r="S275" s="23">
        <v>46177</v>
      </c>
      <c r="T275">
        <v>39.17</v>
      </c>
      <c r="U275">
        <v>15962</v>
      </c>
      <c r="V275">
        <v>0</v>
      </c>
      <c r="W275">
        <v>15962</v>
      </c>
    </row>
    <row r="276" spans="1:23" hidden="1" x14ac:dyDescent="0.25">
      <c r="A276">
        <v>15741</v>
      </c>
      <c r="B276">
        <v>456258079</v>
      </c>
      <c r="C276" t="s">
        <v>2105</v>
      </c>
      <c r="D276" s="8" t="s">
        <v>2106</v>
      </c>
      <c r="E276" t="s">
        <v>644</v>
      </c>
      <c r="G276" t="s">
        <v>53</v>
      </c>
      <c r="H276" t="s">
        <v>54</v>
      </c>
      <c r="I276" t="s">
        <v>30</v>
      </c>
      <c r="J276" t="s">
        <v>55</v>
      </c>
      <c r="K276" t="s">
        <v>27</v>
      </c>
      <c r="L276" t="s">
        <v>2107</v>
      </c>
      <c r="M276" t="s">
        <v>2108</v>
      </c>
      <c r="N276" t="s">
        <v>646</v>
      </c>
      <c r="O276" t="s">
        <v>83</v>
      </c>
      <c r="P276" t="s">
        <v>2109</v>
      </c>
      <c r="Q276" t="s">
        <v>43</v>
      </c>
      <c r="R276" s="23" t="s">
        <v>129</v>
      </c>
      <c r="S276" s="23">
        <v>46177</v>
      </c>
      <c r="T276">
        <v>12.3</v>
      </c>
      <c r="U276">
        <v>8993</v>
      </c>
      <c r="V276">
        <v>0</v>
      </c>
      <c r="W276">
        <v>8993</v>
      </c>
    </row>
    <row r="277" spans="1:23" hidden="1" x14ac:dyDescent="0.25">
      <c r="A277">
        <v>15741</v>
      </c>
      <c r="B277">
        <v>456224929</v>
      </c>
      <c r="C277" t="s">
        <v>2110</v>
      </c>
      <c r="D277" s="8" t="s">
        <v>2111</v>
      </c>
      <c r="E277" t="s">
        <v>644</v>
      </c>
      <c r="G277" t="s">
        <v>53</v>
      </c>
      <c r="H277" t="s">
        <v>54</v>
      </c>
      <c r="I277" t="s">
        <v>30</v>
      </c>
      <c r="J277" t="s">
        <v>55</v>
      </c>
      <c r="K277" t="s">
        <v>27</v>
      </c>
      <c r="L277" t="s">
        <v>2112</v>
      </c>
      <c r="M277" t="s">
        <v>2113</v>
      </c>
      <c r="N277" t="s">
        <v>646</v>
      </c>
      <c r="O277" t="s">
        <v>83</v>
      </c>
      <c r="P277" t="s">
        <v>2114</v>
      </c>
      <c r="Q277" t="s">
        <v>86</v>
      </c>
      <c r="R277" s="23" t="s">
        <v>393</v>
      </c>
      <c r="S277" s="23">
        <v>46177</v>
      </c>
      <c r="T277">
        <v>19.399999999999999</v>
      </c>
      <c r="U277">
        <v>11210</v>
      </c>
      <c r="V277">
        <v>0</v>
      </c>
      <c r="W277">
        <v>11210</v>
      </c>
    </row>
    <row r="278" spans="1:23" hidden="1" x14ac:dyDescent="0.25">
      <c r="A278">
        <v>15741</v>
      </c>
      <c r="B278">
        <v>456009078</v>
      </c>
      <c r="C278" t="s">
        <v>2115</v>
      </c>
      <c r="D278" s="8" t="s">
        <v>2116</v>
      </c>
      <c r="E278" t="s">
        <v>644</v>
      </c>
      <c r="G278" t="s">
        <v>53</v>
      </c>
      <c r="H278" t="s">
        <v>54</v>
      </c>
      <c r="I278" t="s">
        <v>30</v>
      </c>
      <c r="J278" t="s">
        <v>55</v>
      </c>
      <c r="K278" t="s">
        <v>27</v>
      </c>
      <c r="L278" t="s">
        <v>2117</v>
      </c>
      <c r="M278" t="s">
        <v>2118</v>
      </c>
      <c r="N278" t="s">
        <v>646</v>
      </c>
      <c r="O278" t="s">
        <v>83</v>
      </c>
      <c r="P278" t="s">
        <v>2119</v>
      </c>
      <c r="Q278" t="s">
        <v>81</v>
      </c>
      <c r="R278" s="23" t="s">
        <v>2120</v>
      </c>
      <c r="S278" s="23">
        <v>46176</v>
      </c>
      <c r="T278">
        <v>39.17</v>
      </c>
      <c r="U278">
        <v>15962</v>
      </c>
      <c r="V278">
        <v>0</v>
      </c>
      <c r="W278">
        <v>15962</v>
      </c>
    </row>
    <row r="279" spans="1:23" hidden="1" x14ac:dyDescent="0.25">
      <c r="A279">
        <v>15741</v>
      </c>
      <c r="B279">
        <v>456010312</v>
      </c>
      <c r="C279" t="s">
        <v>2121</v>
      </c>
      <c r="D279" s="8" t="s">
        <v>2122</v>
      </c>
      <c r="E279" t="s">
        <v>644</v>
      </c>
      <c r="G279" t="s">
        <v>53</v>
      </c>
      <c r="H279" t="s">
        <v>54</v>
      </c>
      <c r="I279" t="s">
        <v>30</v>
      </c>
      <c r="J279" t="s">
        <v>55</v>
      </c>
      <c r="K279" t="s">
        <v>27</v>
      </c>
      <c r="L279" t="s">
        <v>2123</v>
      </c>
      <c r="M279" t="s">
        <v>2124</v>
      </c>
      <c r="N279" t="s">
        <v>646</v>
      </c>
      <c r="O279" t="s">
        <v>83</v>
      </c>
      <c r="P279" t="s">
        <v>2125</v>
      </c>
      <c r="Q279" t="s">
        <v>148</v>
      </c>
      <c r="R279" s="23" t="s">
        <v>2126</v>
      </c>
      <c r="S279" s="23">
        <v>46176</v>
      </c>
      <c r="T279">
        <v>20.6</v>
      </c>
      <c r="U279">
        <v>10802</v>
      </c>
      <c r="V279">
        <v>0</v>
      </c>
      <c r="W279">
        <v>10802</v>
      </c>
    </row>
    <row r="280" spans="1:23" hidden="1" x14ac:dyDescent="0.25">
      <c r="A280">
        <v>15741</v>
      </c>
      <c r="B280">
        <v>456228502</v>
      </c>
      <c r="C280" t="s">
        <v>2127</v>
      </c>
      <c r="D280" s="8" t="s">
        <v>2128</v>
      </c>
      <c r="E280" t="s">
        <v>644</v>
      </c>
      <c r="G280" t="s">
        <v>53</v>
      </c>
      <c r="H280" t="s">
        <v>54</v>
      </c>
      <c r="I280" t="s">
        <v>30</v>
      </c>
      <c r="J280" t="s">
        <v>55</v>
      </c>
      <c r="K280" t="s">
        <v>27</v>
      </c>
      <c r="L280" t="s">
        <v>2129</v>
      </c>
      <c r="M280" t="s">
        <v>2130</v>
      </c>
      <c r="N280" t="s">
        <v>646</v>
      </c>
      <c r="O280" t="s">
        <v>83</v>
      </c>
      <c r="P280" t="s">
        <v>2131</v>
      </c>
      <c r="Q280" t="s">
        <v>158</v>
      </c>
      <c r="R280" s="23" t="s">
        <v>172</v>
      </c>
      <c r="S280" s="23">
        <v>46177</v>
      </c>
      <c r="T280">
        <v>2.1</v>
      </c>
      <c r="U280">
        <v>5816</v>
      </c>
      <c r="V280">
        <v>0</v>
      </c>
      <c r="W280">
        <v>5816</v>
      </c>
    </row>
    <row r="281" spans="1:23" hidden="1" x14ac:dyDescent="0.25">
      <c r="A281">
        <v>15741</v>
      </c>
      <c r="B281">
        <v>456227627</v>
      </c>
      <c r="C281" t="s">
        <v>2132</v>
      </c>
      <c r="D281" s="8" t="s">
        <v>2133</v>
      </c>
      <c r="E281" t="s">
        <v>644</v>
      </c>
      <c r="G281" t="s">
        <v>53</v>
      </c>
      <c r="H281" t="s">
        <v>54</v>
      </c>
      <c r="I281" t="s">
        <v>30</v>
      </c>
      <c r="J281" t="s">
        <v>55</v>
      </c>
      <c r="K281" t="s">
        <v>27</v>
      </c>
      <c r="L281" t="s">
        <v>2134</v>
      </c>
      <c r="M281" t="s">
        <v>2135</v>
      </c>
      <c r="N281" t="s">
        <v>646</v>
      </c>
      <c r="O281" t="s">
        <v>83</v>
      </c>
      <c r="P281" t="s">
        <v>2136</v>
      </c>
      <c r="Q281" t="s">
        <v>158</v>
      </c>
      <c r="R281" s="23" t="s">
        <v>352</v>
      </c>
      <c r="S281" s="23">
        <v>46177</v>
      </c>
      <c r="T281">
        <v>2.1</v>
      </c>
      <c r="U281">
        <v>5816</v>
      </c>
      <c r="V281">
        <v>0</v>
      </c>
      <c r="W281">
        <v>5816</v>
      </c>
    </row>
    <row r="282" spans="1:23" hidden="1" x14ac:dyDescent="0.25">
      <c r="A282">
        <v>15741</v>
      </c>
      <c r="B282">
        <v>456227297</v>
      </c>
      <c r="C282" t="s">
        <v>1904</v>
      </c>
      <c r="D282" s="8" t="s">
        <v>2137</v>
      </c>
      <c r="E282" t="s">
        <v>644</v>
      </c>
      <c r="G282" t="s">
        <v>53</v>
      </c>
      <c r="H282" t="s">
        <v>54</v>
      </c>
      <c r="I282" t="s">
        <v>30</v>
      </c>
      <c r="J282" t="s">
        <v>55</v>
      </c>
      <c r="K282" t="s">
        <v>27</v>
      </c>
      <c r="L282" t="s">
        <v>2138</v>
      </c>
      <c r="M282" t="s">
        <v>1907</v>
      </c>
      <c r="N282" t="s">
        <v>646</v>
      </c>
      <c r="O282" t="s">
        <v>83</v>
      </c>
      <c r="P282" t="s">
        <v>2139</v>
      </c>
      <c r="Q282" t="s">
        <v>81</v>
      </c>
      <c r="R282" s="23" t="s">
        <v>505</v>
      </c>
      <c r="S282" s="23">
        <v>46177</v>
      </c>
      <c r="T282">
        <v>2.1</v>
      </c>
      <c r="U282">
        <v>5816</v>
      </c>
      <c r="V282">
        <v>0</v>
      </c>
      <c r="W282">
        <v>5816</v>
      </c>
    </row>
    <row r="283" spans="1:23" hidden="1" x14ac:dyDescent="0.25">
      <c r="A283">
        <v>15741</v>
      </c>
      <c r="B283">
        <v>456223189</v>
      </c>
      <c r="C283" t="s">
        <v>2140</v>
      </c>
      <c r="D283" s="8" t="s">
        <v>2141</v>
      </c>
      <c r="E283" t="s">
        <v>644</v>
      </c>
      <c r="G283" t="s">
        <v>53</v>
      </c>
      <c r="H283" t="s">
        <v>54</v>
      </c>
      <c r="I283" t="s">
        <v>30</v>
      </c>
      <c r="J283" t="s">
        <v>55</v>
      </c>
      <c r="K283" t="s">
        <v>27</v>
      </c>
      <c r="L283" t="s">
        <v>2142</v>
      </c>
      <c r="M283" t="s">
        <v>2143</v>
      </c>
      <c r="N283" t="s">
        <v>646</v>
      </c>
      <c r="O283" t="s">
        <v>83</v>
      </c>
      <c r="P283" t="s">
        <v>2144</v>
      </c>
      <c r="Q283" t="s">
        <v>45</v>
      </c>
      <c r="R283" s="23" t="s">
        <v>587</v>
      </c>
      <c r="S283" s="23">
        <v>46177</v>
      </c>
      <c r="T283">
        <v>2</v>
      </c>
      <c r="U283">
        <v>5504</v>
      </c>
      <c r="V283">
        <v>0</v>
      </c>
      <c r="W283">
        <v>5504</v>
      </c>
    </row>
    <row r="284" spans="1:23" hidden="1" x14ac:dyDescent="0.25">
      <c r="A284">
        <v>15741</v>
      </c>
      <c r="B284">
        <v>456226589</v>
      </c>
      <c r="C284" t="s">
        <v>2145</v>
      </c>
      <c r="D284" s="8" t="s">
        <v>2146</v>
      </c>
      <c r="E284" t="s">
        <v>644</v>
      </c>
      <c r="G284" t="s">
        <v>53</v>
      </c>
      <c r="H284" t="s">
        <v>54</v>
      </c>
      <c r="I284" t="s">
        <v>30</v>
      </c>
      <c r="J284" t="s">
        <v>55</v>
      </c>
      <c r="K284" t="s">
        <v>27</v>
      </c>
      <c r="L284" t="s">
        <v>2147</v>
      </c>
      <c r="M284" t="s">
        <v>2148</v>
      </c>
      <c r="N284" t="s">
        <v>646</v>
      </c>
      <c r="O284" t="s">
        <v>83</v>
      </c>
      <c r="P284" t="s">
        <v>2149</v>
      </c>
      <c r="Q284" t="s">
        <v>43</v>
      </c>
      <c r="R284" s="23" t="s">
        <v>368</v>
      </c>
      <c r="S284" s="23">
        <v>46177</v>
      </c>
      <c r="T284">
        <v>2.1</v>
      </c>
      <c r="U284">
        <v>5816</v>
      </c>
      <c r="V284">
        <v>0</v>
      </c>
      <c r="W284">
        <v>5816</v>
      </c>
    </row>
    <row r="285" spans="1:23" hidden="1" x14ac:dyDescent="0.25">
      <c r="A285">
        <v>15741</v>
      </c>
      <c r="B285">
        <v>456226778</v>
      </c>
      <c r="C285" t="s">
        <v>2150</v>
      </c>
      <c r="D285" s="8" t="s">
        <v>2151</v>
      </c>
      <c r="E285" t="s">
        <v>644</v>
      </c>
      <c r="G285" t="s">
        <v>53</v>
      </c>
      <c r="H285" t="s">
        <v>54</v>
      </c>
      <c r="I285" t="s">
        <v>30</v>
      </c>
      <c r="J285" t="s">
        <v>55</v>
      </c>
      <c r="K285" t="s">
        <v>27</v>
      </c>
      <c r="L285" t="s">
        <v>2152</v>
      </c>
      <c r="M285" t="s">
        <v>2153</v>
      </c>
      <c r="N285" t="s">
        <v>646</v>
      </c>
      <c r="O285" t="s">
        <v>83</v>
      </c>
      <c r="P285" t="s">
        <v>2154</v>
      </c>
      <c r="Q285" t="s">
        <v>44</v>
      </c>
      <c r="R285" s="23" t="s">
        <v>2155</v>
      </c>
      <c r="S285" s="23">
        <v>46177</v>
      </c>
      <c r="T285">
        <v>2.1</v>
      </c>
      <c r="U285">
        <v>5816</v>
      </c>
      <c r="V285">
        <v>0</v>
      </c>
      <c r="W285">
        <v>5816</v>
      </c>
    </row>
    <row r="286" spans="1:23" hidden="1" x14ac:dyDescent="0.25">
      <c r="A286">
        <v>15741</v>
      </c>
      <c r="B286">
        <v>456255957</v>
      </c>
      <c r="C286" t="s">
        <v>2156</v>
      </c>
      <c r="D286" s="8" t="s">
        <v>2157</v>
      </c>
      <c r="E286" t="s">
        <v>644</v>
      </c>
      <c r="G286" t="s">
        <v>53</v>
      </c>
      <c r="H286" t="s">
        <v>54</v>
      </c>
      <c r="I286" t="s">
        <v>30</v>
      </c>
      <c r="J286" t="s">
        <v>55</v>
      </c>
      <c r="K286" t="s">
        <v>27</v>
      </c>
      <c r="L286" t="s">
        <v>2158</v>
      </c>
      <c r="M286" t="s">
        <v>2159</v>
      </c>
      <c r="N286" t="s">
        <v>646</v>
      </c>
      <c r="O286" t="s">
        <v>83</v>
      </c>
      <c r="P286" t="s">
        <v>2160</v>
      </c>
      <c r="Q286" t="s">
        <v>47</v>
      </c>
      <c r="R286" s="23" t="s">
        <v>186</v>
      </c>
      <c r="S286" s="23">
        <v>46177</v>
      </c>
      <c r="T286">
        <v>2.1</v>
      </c>
      <c r="U286">
        <v>5816</v>
      </c>
      <c r="V286">
        <v>0</v>
      </c>
      <c r="W286">
        <v>5816</v>
      </c>
    </row>
    <row r="287" spans="1:23" hidden="1" x14ac:dyDescent="0.25">
      <c r="A287">
        <v>15741</v>
      </c>
      <c r="B287">
        <v>456256848</v>
      </c>
      <c r="C287" t="s">
        <v>2161</v>
      </c>
      <c r="D287" s="8" t="s">
        <v>2162</v>
      </c>
      <c r="E287" t="s">
        <v>644</v>
      </c>
      <c r="G287" t="s">
        <v>53</v>
      </c>
      <c r="H287" t="s">
        <v>54</v>
      </c>
      <c r="I287" t="s">
        <v>30</v>
      </c>
      <c r="J287" t="s">
        <v>55</v>
      </c>
      <c r="K287" t="s">
        <v>27</v>
      </c>
      <c r="L287" t="s">
        <v>2163</v>
      </c>
      <c r="M287" t="s">
        <v>2164</v>
      </c>
      <c r="N287" t="s">
        <v>646</v>
      </c>
      <c r="O287" t="s">
        <v>83</v>
      </c>
      <c r="P287" t="s">
        <v>2165</v>
      </c>
      <c r="Q287" t="s">
        <v>49</v>
      </c>
      <c r="R287" s="23" t="s">
        <v>2166</v>
      </c>
      <c r="S287" s="23">
        <v>46177</v>
      </c>
      <c r="T287">
        <v>19.399999999999999</v>
      </c>
      <c r="U287">
        <v>13662</v>
      </c>
      <c r="V287">
        <v>0</v>
      </c>
      <c r="W287">
        <v>13662</v>
      </c>
    </row>
    <row r="288" spans="1:23" hidden="1" x14ac:dyDescent="0.25">
      <c r="A288">
        <v>15741</v>
      </c>
      <c r="B288">
        <v>456243326</v>
      </c>
      <c r="C288" t="s">
        <v>2167</v>
      </c>
      <c r="D288" s="8" t="s">
        <v>2168</v>
      </c>
      <c r="E288" t="s">
        <v>644</v>
      </c>
      <c r="G288" t="s">
        <v>53</v>
      </c>
      <c r="H288" t="s">
        <v>54</v>
      </c>
      <c r="I288" t="s">
        <v>30</v>
      </c>
      <c r="J288" t="s">
        <v>55</v>
      </c>
      <c r="K288" t="s">
        <v>27</v>
      </c>
      <c r="L288" t="s">
        <v>2169</v>
      </c>
      <c r="M288" t="s">
        <v>2170</v>
      </c>
      <c r="N288" t="s">
        <v>646</v>
      </c>
      <c r="O288" t="s">
        <v>83</v>
      </c>
      <c r="P288" t="s">
        <v>2171</v>
      </c>
      <c r="Q288" t="s">
        <v>44</v>
      </c>
      <c r="R288" s="23" t="s">
        <v>536</v>
      </c>
      <c r="S288" s="23">
        <v>46177</v>
      </c>
      <c r="T288">
        <v>1.8</v>
      </c>
      <c r="U288">
        <v>5504</v>
      </c>
      <c r="V288">
        <v>0</v>
      </c>
      <c r="W288">
        <v>5504</v>
      </c>
    </row>
    <row r="289" spans="1:23" hidden="1" x14ac:dyDescent="0.25">
      <c r="A289">
        <v>15741</v>
      </c>
      <c r="B289">
        <v>456208037</v>
      </c>
      <c r="C289" t="s">
        <v>2172</v>
      </c>
      <c r="D289" s="8" t="s">
        <v>2173</v>
      </c>
      <c r="E289" t="s">
        <v>644</v>
      </c>
      <c r="G289" t="s">
        <v>53</v>
      </c>
      <c r="H289" t="s">
        <v>54</v>
      </c>
      <c r="I289" t="s">
        <v>30</v>
      </c>
      <c r="J289" t="s">
        <v>55</v>
      </c>
      <c r="K289" t="s">
        <v>27</v>
      </c>
      <c r="L289" t="s">
        <v>2174</v>
      </c>
      <c r="M289" t="s">
        <v>2175</v>
      </c>
      <c r="N289" t="s">
        <v>646</v>
      </c>
      <c r="O289" t="s">
        <v>83</v>
      </c>
      <c r="P289" t="s">
        <v>2176</v>
      </c>
      <c r="Q289" t="s">
        <v>90</v>
      </c>
      <c r="R289" s="23" t="s">
        <v>239</v>
      </c>
      <c r="S289" s="23">
        <v>46177</v>
      </c>
      <c r="T289">
        <v>129.77000000000001</v>
      </c>
      <c r="U289">
        <v>39894</v>
      </c>
      <c r="V289">
        <v>7109.82</v>
      </c>
      <c r="W289">
        <v>47003.82</v>
      </c>
    </row>
    <row r="290" spans="1:23" hidden="1" x14ac:dyDescent="0.25">
      <c r="A290">
        <v>15741</v>
      </c>
      <c r="B290">
        <v>456255741</v>
      </c>
      <c r="C290" t="s">
        <v>2177</v>
      </c>
      <c r="D290" s="8" t="s">
        <v>2178</v>
      </c>
      <c r="E290" t="s">
        <v>644</v>
      </c>
      <c r="G290" t="s">
        <v>53</v>
      </c>
      <c r="H290" t="s">
        <v>54</v>
      </c>
      <c r="I290" t="s">
        <v>30</v>
      </c>
      <c r="J290" t="s">
        <v>55</v>
      </c>
      <c r="K290" t="s">
        <v>27</v>
      </c>
      <c r="L290" t="s">
        <v>2179</v>
      </c>
      <c r="M290" t="s">
        <v>2180</v>
      </c>
      <c r="N290" t="s">
        <v>646</v>
      </c>
      <c r="O290" t="s">
        <v>83</v>
      </c>
      <c r="P290" t="s">
        <v>2181</v>
      </c>
      <c r="Q290" t="s">
        <v>48</v>
      </c>
      <c r="R290" s="23" t="s">
        <v>504</v>
      </c>
      <c r="S290" s="23">
        <v>46177</v>
      </c>
      <c r="T290">
        <v>2.1</v>
      </c>
      <c r="U290">
        <v>5816</v>
      </c>
      <c r="V290">
        <v>0</v>
      </c>
      <c r="W290">
        <v>5816</v>
      </c>
    </row>
    <row r="291" spans="1:23" hidden="1" x14ac:dyDescent="0.25">
      <c r="A291">
        <v>15741</v>
      </c>
      <c r="B291">
        <v>456224403</v>
      </c>
      <c r="C291" t="s">
        <v>2182</v>
      </c>
      <c r="D291" s="8" t="s">
        <v>2183</v>
      </c>
      <c r="E291" t="s">
        <v>644</v>
      </c>
      <c r="G291" t="s">
        <v>53</v>
      </c>
      <c r="H291" t="s">
        <v>54</v>
      </c>
      <c r="I291" t="s">
        <v>30</v>
      </c>
      <c r="J291" t="s">
        <v>55</v>
      </c>
      <c r="K291" t="s">
        <v>27</v>
      </c>
      <c r="L291" t="s">
        <v>2184</v>
      </c>
      <c r="M291" t="s">
        <v>165</v>
      </c>
      <c r="N291" t="s">
        <v>646</v>
      </c>
      <c r="O291" t="s">
        <v>83</v>
      </c>
      <c r="P291" t="s">
        <v>2185</v>
      </c>
      <c r="Q291" t="s">
        <v>86</v>
      </c>
      <c r="R291" s="23" t="s">
        <v>523</v>
      </c>
      <c r="S291" s="23">
        <v>46177</v>
      </c>
      <c r="T291">
        <v>2.1</v>
      </c>
      <c r="U291">
        <v>5816</v>
      </c>
      <c r="V291">
        <v>0</v>
      </c>
      <c r="W291">
        <v>5816</v>
      </c>
    </row>
    <row r="292" spans="1:23" hidden="1" x14ac:dyDescent="0.25">
      <c r="A292">
        <v>15741</v>
      </c>
      <c r="B292">
        <v>456258962</v>
      </c>
      <c r="C292" t="s">
        <v>2186</v>
      </c>
      <c r="D292" s="8" t="s">
        <v>2187</v>
      </c>
      <c r="E292" t="s">
        <v>644</v>
      </c>
      <c r="G292" t="s">
        <v>53</v>
      </c>
      <c r="H292" t="s">
        <v>54</v>
      </c>
      <c r="I292" t="s">
        <v>30</v>
      </c>
      <c r="J292" t="s">
        <v>55</v>
      </c>
      <c r="K292" t="s">
        <v>27</v>
      </c>
      <c r="L292" t="s">
        <v>2188</v>
      </c>
      <c r="M292" t="s">
        <v>2189</v>
      </c>
      <c r="N292" t="s">
        <v>646</v>
      </c>
      <c r="O292" t="s">
        <v>83</v>
      </c>
      <c r="P292" t="s">
        <v>2190</v>
      </c>
      <c r="Q292" t="s">
        <v>104</v>
      </c>
      <c r="R292" s="23" t="s">
        <v>2191</v>
      </c>
      <c r="S292" s="23">
        <v>46177</v>
      </c>
      <c r="T292">
        <v>1.8</v>
      </c>
      <c r="U292">
        <v>6193</v>
      </c>
      <c r="V292">
        <v>0</v>
      </c>
      <c r="W292">
        <v>6193</v>
      </c>
    </row>
    <row r="293" spans="1:23" hidden="1" x14ac:dyDescent="0.25">
      <c r="A293">
        <v>15741</v>
      </c>
      <c r="B293">
        <v>455781714</v>
      </c>
      <c r="C293" t="s">
        <v>2192</v>
      </c>
      <c r="D293" s="8" t="s">
        <v>2193</v>
      </c>
      <c r="E293" t="s">
        <v>644</v>
      </c>
      <c r="G293" t="s">
        <v>53</v>
      </c>
      <c r="H293" t="s">
        <v>54</v>
      </c>
      <c r="I293" t="s">
        <v>30</v>
      </c>
      <c r="J293" t="s">
        <v>55</v>
      </c>
      <c r="K293" t="s">
        <v>27</v>
      </c>
      <c r="L293" t="s">
        <v>2194</v>
      </c>
      <c r="M293" t="s">
        <v>2195</v>
      </c>
      <c r="N293" t="s">
        <v>646</v>
      </c>
      <c r="O293" t="s">
        <v>83</v>
      </c>
      <c r="P293" t="s">
        <v>2196</v>
      </c>
      <c r="Q293" t="s">
        <v>148</v>
      </c>
      <c r="R293" s="23" t="s">
        <v>242</v>
      </c>
      <c r="S293" s="23">
        <v>46175</v>
      </c>
      <c r="T293">
        <v>30.38</v>
      </c>
      <c r="U293">
        <v>13488</v>
      </c>
      <c r="V293">
        <v>0</v>
      </c>
      <c r="W293">
        <v>13488</v>
      </c>
    </row>
    <row r="294" spans="1:23" hidden="1" x14ac:dyDescent="0.25">
      <c r="A294">
        <v>15741</v>
      </c>
      <c r="B294">
        <v>456224090</v>
      </c>
      <c r="C294" t="s">
        <v>2197</v>
      </c>
      <c r="D294" s="8" t="s">
        <v>2198</v>
      </c>
      <c r="E294" t="s">
        <v>644</v>
      </c>
      <c r="G294" t="s">
        <v>53</v>
      </c>
      <c r="H294" t="s">
        <v>54</v>
      </c>
      <c r="I294" t="s">
        <v>30</v>
      </c>
      <c r="J294" t="s">
        <v>55</v>
      </c>
      <c r="K294" t="s">
        <v>27</v>
      </c>
      <c r="L294" t="s">
        <v>2199</v>
      </c>
      <c r="M294" t="s">
        <v>2200</v>
      </c>
      <c r="N294" t="s">
        <v>646</v>
      </c>
      <c r="O294" t="s">
        <v>83</v>
      </c>
      <c r="P294" t="s">
        <v>2201</v>
      </c>
      <c r="Q294" t="s">
        <v>48</v>
      </c>
      <c r="R294" s="23" t="s">
        <v>619</v>
      </c>
      <c r="S294" s="23">
        <v>46177</v>
      </c>
      <c r="T294">
        <v>2.1</v>
      </c>
      <c r="U294">
        <v>5816</v>
      </c>
      <c r="V294">
        <v>0</v>
      </c>
      <c r="W294">
        <v>5816</v>
      </c>
    </row>
    <row r="295" spans="1:23" hidden="1" x14ac:dyDescent="0.25">
      <c r="A295">
        <v>15741</v>
      </c>
      <c r="B295">
        <v>456223359</v>
      </c>
      <c r="C295" t="s">
        <v>2202</v>
      </c>
      <c r="D295" s="8" t="s">
        <v>2203</v>
      </c>
      <c r="E295" t="s">
        <v>644</v>
      </c>
      <c r="G295" t="s">
        <v>53</v>
      </c>
      <c r="H295" t="s">
        <v>54</v>
      </c>
      <c r="I295" t="s">
        <v>30</v>
      </c>
      <c r="J295" t="s">
        <v>55</v>
      </c>
      <c r="K295" t="s">
        <v>27</v>
      </c>
      <c r="L295" t="s">
        <v>2204</v>
      </c>
      <c r="M295" t="s">
        <v>2143</v>
      </c>
      <c r="N295" t="s">
        <v>646</v>
      </c>
      <c r="O295" t="s">
        <v>83</v>
      </c>
      <c r="P295" t="s">
        <v>2144</v>
      </c>
      <c r="Q295" t="s">
        <v>45</v>
      </c>
      <c r="R295" s="23" t="s">
        <v>541</v>
      </c>
      <c r="S295" s="23">
        <v>46177</v>
      </c>
      <c r="T295">
        <v>2.1</v>
      </c>
      <c r="U295">
        <v>5816</v>
      </c>
      <c r="V295">
        <v>0</v>
      </c>
      <c r="W295">
        <v>5816</v>
      </c>
    </row>
    <row r="296" spans="1:23" hidden="1" x14ac:dyDescent="0.25">
      <c r="A296">
        <v>15741</v>
      </c>
      <c r="B296">
        <v>456257701</v>
      </c>
      <c r="C296" t="s">
        <v>2205</v>
      </c>
      <c r="D296" s="8" t="s">
        <v>2206</v>
      </c>
      <c r="E296" t="s">
        <v>644</v>
      </c>
      <c r="G296" t="s">
        <v>53</v>
      </c>
      <c r="H296" t="s">
        <v>54</v>
      </c>
      <c r="I296" t="s">
        <v>30</v>
      </c>
      <c r="J296" t="s">
        <v>55</v>
      </c>
      <c r="K296" t="s">
        <v>27</v>
      </c>
      <c r="L296" t="s">
        <v>2207</v>
      </c>
      <c r="M296" t="s">
        <v>2208</v>
      </c>
      <c r="N296" t="s">
        <v>646</v>
      </c>
      <c r="O296" t="s">
        <v>83</v>
      </c>
      <c r="P296" t="s">
        <v>2209</v>
      </c>
      <c r="Q296" t="s">
        <v>43</v>
      </c>
      <c r="R296" s="23" t="s">
        <v>2210</v>
      </c>
      <c r="S296" s="23">
        <v>46177</v>
      </c>
      <c r="T296">
        <v>5.9</v>
      </c>
      <c r="U296">
        <v>6775</v>
      </c>
      <c r="V296">
        <v>0</v>
      </c>
      <c r="W296">
        <v>6775</v>
      </c>
    </row>
    <row r="297" spans="1:23" hidden="1" x14ac:dyDescent="0.25">
      <c r="A297">
        <v>15741</v>
      </c>
      <c r="B297">
        <v>456243242</v>
      </c>
      <c r="C297" t="s">
        <v>2211</v>
      </c>
      <c r="D297" s="8" t="s">
        <v>2212</v>
      </c>
      <c r="E297" t="s">
        <v>644</v>
      </c>
      <c r="G297" t="s">
        <v>53</v>
      </c>
      <c r="H297" t="s">
        <v>54</v>
      </c>
      <c r="I297" t="s">
        <v>30</v>
      </c>
      <c r="J297" t="s">
        <v>55</v>
      </c>
      <c r="K297" t="s">
        <v>27</v>
      </c>
      <c r="L297" t="s">
        <v>2213</v>
      </c>
      <c r="M297" t="s">
        <v>2214</v>
      </c>
      <c r="N297" t="s">
        <v>646</v>
      </c>
      <c r="O297" t="s">
        <v>83</v>
      </c>
      <c r="P297" t="s">
        <v>2215</v>
      </c>
      <c r="Q297" t="s">
        <v>44</v>
      </c>
      <c r="R297" s="23" t="s">
        <v>440</v>
      </c>
      <c r="S297" s="23">
        <v>46177</v>
      </c>
      <c r="T297">
        <v>2.1</v>
      </c>
      <c r="U297">
        <v>5816</v>
      </c>
      <c r="V297">
        <v>0</v>
      </c>
      <c r="W297">
        <v>5816</v>
      </c>
    </row>
    <row r="298" spans="1:23" hidden="1" x14ac:dyDescent="0.25">
      <c r="A298">
        <v>15741</v>
      </c>
      <c r="B298">
        <v>456250618</v>
      </c>
      <c r="C298" t="s">
        <v>2216</v>
      </c>
      <c r="D298" s="8" t="s">
        <v>2217</v>
      </c>
      <c r="E298" t="s">
        <v>644</v>
      </c>
      <c r="G298" t="s">
        <v>53</v>
      </c>
      <c r="H298" t="s">
        <v>54</v>
      </c>
      <c r="I298" t="s">
        <v>30</v>
      </c>
      <c r="J298" t="s">
        <v>55</v>
      </c>
      <c r="K298" t="s">
        <v>27</v>
      </c>
      <c r="L298" t="s">
        <v>2218</v>
      </c>
      <c r="M298" t="s">
        <v>2219</v>
      </c>
      <c r="N298" t="s">
        <v>646</v>
      </c>
      <c r="O298" t="s">
        <v>83</v>
      </c>
      <c r="P298" t="s">
        <v>2220</v>
      </c>
      <c r="Q298" t="s">
        <v>50</v>
      </c>
      <c r="R298" s="23" t="s">
        <v>2221</v>
      </c>
      <c r="S298" s="23">
        <v>46177</v>
      </c>
      <c r="T298">
        <v>2.1</v>
      </c>
      <c r="U298">
        <v>5816</v>
      </c>
      <c r="V298">
        <v>0</v>
      </c>
      <c r="W298">
        <v>5816</v>
      </c>
    </row>
    <row r="299" spans="1:23" hidden="1" x14ac:dyDescent="0.25">
      <c r="A299">
        <v>15741</v>
      </c>
      <c r="B299">
        <v>456230478</v>
      </c>
      <c r="C299" t="s">
        <v>2222</v>
      </c>
      <c r="D299" s="8" t="s">
        <v>2223</v>
      </c>
      <c r="E299" t="s">
        <v>644</v>
      </c>
      <c r="G299" t="s">
        <v>53</v>
      </c>
      <c r="H299" t="s">
        <v>54</v>
      </c>
      <c r="I299" t="s">
        <v>30</v>
      </c>
      <c r="J299" t="s">
        <v>55</v>
      </c>
      <c r="K299" t="s">
        <v>27</v>
      </c>
      <c r="L299" t="s">
        <v>2224</v>
      </c>
      <c r="M299" t="s">
        <v>222</v>
      </c>
      <c r="N299" t="s">
        <v>646</v>
      </c>
      <c r="O299" t="s">
        <v>83</v>
      </c>
      <c r="P299" t="s">
        <v>2225</v>
      </c>
      <c r="Q299" t="s">
        <v>49</v>
      </c>
      <c r="R299" s="23" t="s">
        <v>567</v>
      </c>
      <c r="S299" s="23">
        <v>46177</v>
      </c>
      <c r="T299">
        <v>1.8</v>
      </c>
      <c r="U299">
        <v>6707</v>
      </c>
      <c r="V299">
        <v>0</v>
      </c>
      <c r="W299">
        <v>6707</v>
      </c>
    </row>
    <row r="300" spans="1:23" hidden="1" x14ac:dyDescent="0.25">
      <c r="A300">
        <v>15741</v>
      </c>
      <c r="B300">
        <v>456006489</v>
      </c>
      <c r="C300" t="s">
        <v>2226</v>
      </c>
      <c r="D300" s="8" t="s">
        <v>2227</v>
      </c>
      <c r="E300" t="s">
        <v>644</v>
      </c>
      <c r="G300" t="s">
        <v>53</v>
      </c>
      <c r="H300" t="s">
        <v>54</v>
      </c>
      <c r="I300" t="s">
        <v>30</v>
      </c>
      <c r="J300" t="s">
        <v>55</v>
      </c>
      <c r="K300" t="s">
        <v>27</v>
      </c>
      <c r="L300" t="s">
        <v>2228</v>
      </c>
      <c r="M300" t="s">
        <v>2229</v>
      </c>
      <c r="N300" t="s">
        <v>646</v>
      </c>
      <c r="O300" t="s">
        <v>83</v>
      </c>
      <c r="P300" t="s">
        <v>2230</v>
      </c>
      <c r="Q300" t="s">
        <v>46</v>
      </c>
      <c r="R300" s="23" t="s">
        <v>489</v>
      </c>
      <c r="S300" s="23">
        <v>46176</v>
      </c>
      <c r="T300">
        <v>202.37</v>
      </c>
      <c r="U300">
        <v>55230</v>
      </c>
      <c r="V300">
        <v>0</v>
      </c>
      <c r="W300">
        <v>55230</v>
      </c>
    </row>
    <row r="301" spans="1:23" hidden="1" x14ac:dyDescent="0.25">
      <c r="A301">
        <v>15741</v>
      </c>
      <c r="B301">
        <v>456256967</v>
      </c>
      <c r="C301" t="s">
        <v>2231</v>
      </c>
      <c r="D301" s="8" t="s">
        <v>2232</v>
      </c>
      <c r="E301" t="s">
        <v>644</v>
      </c>
      <c r="G301" t="s">
        <v>53</v>
      </c>
      <c r="H301" t="s">
        <v>54</v>
      </c>
      <c r="I301" t="s">
        <v>30</v>
      </c>
      <c r="J301" t="s">
        <v>55</v>
      </c>
      <c r="K301" t="s">
        <v>27</v>
      </c>
      <c r="L301" t="s">
        <v>2233</v>
      </c>
      <c r="M301" t="s">
        <v>2234</v>
      </c>
      <c r="N301" t="s">
        <v>646</v>
      </c>
      <c r="O301" t="s">
        <v>83</v>
      </c>
      <c r="P301" t="s">
        <v>2235</v>
      </c>
      <c r="Q301" t="s">
        <v>44</v>
      </c>
      <c r="R301" s="23" t="s">
        <v>349</v>
      </c>
      <c r="S301" s="23">
        <v>46177</v>
      </c>
      <c r="T301">
        <v>2.1</v>
      </c>
      <c r="U301">
        <v>5816</v>
      </c>
      <c r="V301">
        <v>0</v>
      </c>
      <c r="W301">
        <v>5816</v>
      </c>
    </row>
    <row r="302" spans="1:23" hidden="1" x14ac:dyDescent="0.25">
      <c r="A302">
        <v>15741</v>
      </c>
      <c r="B302">
        <v>456255423</v>
      </c>
      <c r="C302" t="s">
        <v>2236</v>
      </c>
      <c r="D302" s="8" t="s">
        <v>2237</v>
      </c>
      <c r="E302" t="s">
        <v>644</v>
      </c>
      <c r="G302" t="s">
        <v>53</v>
      </c>
      <c r="H302" t="s">
        <v>54</v>
      </c>
      <c r="I302" t="s">
        <v>30</v>
      </c>
      <c r="J302" t="s">
        <v>55</v>
      </c>
      <c r="K302" t="s">
        <v>27</v>
      </c>
      <c r="L302" t="s">
        <v>2238</v>
      </c>
      <c r="M302" t="s">
        <v>2239</v>
      </c>
      <c r="N302" t="s">
        <v>646</v>
      </c>
      <c r="O302" t="s">
        <v>83</v>
      </c>
      <c r="P302" t="s">
        <v>2240</v>
      </c>
      <c r="Q302" t="s">
        <v>50</v>
      </c>
      <c r="R302" s="23" t="s">
        <v>2241</v>
      </c>
      <c r="S302" s="23">
        <v>46177</v>
      </c>
      <c r="T302">
        <v>1.7</v>
      </c>
      <c r="U302">
        <v>5504</v>
      </c>
      <c r="V302">
        <v>0</v>
      </c>
      <c r="W302">
        <v>5504</v>
      </c>
    </row>
    <row r="303" spans="1:23" hidden="1" x14ac:dyDescent="0.25">
      <c r="A303">
        <v>15741</v>
      </c>
      <c r="B303">
        <v>456255146</v>
      </c>
      <c r="C303" t="s">
        <v>2242</v>
      </c>
      <c r="D303" s="8" t="s">
        <v>2243</v>
      </c>
      <c r="E303" t="s">
        <v>644</v>
      </c>
      <c r="G303" t="s">
        <v>53</v>
      </c>
      <c r="H303" t="s">
        <v>54</v>
      </c>
      <c r="I303" t="s">
        <v>30</v>
      </c>
      <c r="J303" t="s">
        <v>55</v>
      </c>
      <c r="K303" t="s">
        <v>27</v>
      </c>
      <c r="L303" t="s">
        <v>2244</v>
      </c>
      <c r="M303" t="s">
        <v>2245</v>
      </c>
      <c r="N303" t="s">
        <v>646</v>
      </c>
      <c r="O303" t="s">
        <v>83</v>
      </c>
      <c r="P303" t="s">
        <v>2246</v>
      </c>
      <c r="Q303" t="s">
        <v>44</v>
      </c>
      <c r="R303" s="23" t="s">
        <v>507</v>
      </c>
      <c r="S303" s="23">
        <v>46177</v>
      </c>
      <c r="T303">
        <v>2</v>
      </c>
      <c r="U303">
        <v>5504</v>
      </c>
      <c r="V303">
        <v>0</v>
      </c>
      <c r="W303">
        <v>5504</v>
      </c>
    </row>
    <row r="304" spans="1:23" hidden="1" x14ac:dyDescent="0.25">
      <c r="A304">
        <v>15741</v>
      </c>
      <c r="B304">
        <v>455955010</v>
      </c>
      <c r="C304" t="s">
        <v>2247</v>
      </c>
      <c r="D304" s="8" t="s">
        <v>2248</v>
      </c>
      <c r="E304" t="s">
        <v>644</v>
      </c>
      <c r="G304" t="s">
        <v>53</v>
      </c>
      <c r="H304" t="s">
        <v>54</v>
      </c>
      <c r="I304" t="s">
        <v>30</v>
      </c>
      <c r="J304" t="s">
        <v>55</v>
      </c>
      <c r="K304" t="s">
        <v>27</v>
      </c>
      <c r="L304" t="s">
        <v>2249</v>
      </c>
      <c r="M304" t="s">
        <v>2250</v>
      </c>
      <c r="N304" t="s">
        <v>646</v>
      </c>
      <c r="O304" t="s">
        <v>83</v>
      </c>
      <c r="P304" t="s">
        <v>2251</v>
      </c>
      <c r="Q304" t="s">
        <v>68</v>
      </c>
      <c r="R304" s="23" t="s">
        <v>333</v>
      </c>
      <c r="S304" s="23">
        <v>46176</v>
      </c>
      <c r="T304">
        <v>1</v>
      </c>
      <c r="U304">
        <v>5192</v>
      </c>
      <c r="V304">
        <v>0</v>
      </c>
      <c r="W304">
        <v>5192</v>
      </c>
    </row>
    <row r="305" spans="1:23" hidden="1" x14ac:dyDescent="0.25">
      <c r="A305">
        <v>15741</v>
      </c>
      <c r="B305">
        <v>456227851</v>
      </c>
      <c r="C305" t="s">
        <v>2252</v>
      </c>
      <c r="D305" s="8" t="s">
        <v>2253</v>
      </c>
      <c r="E305" t="s">
        <v>644</v>
      </c>
      <c r="G305" t="s">
        <v>53</v>
      </c>
      <c r="H305" t="s">
        <v>54</v>
      </c>
      <c r="I305" t="s">
        <v>30</v>
      </c>
      <c r="J305" t="s">
        <v>55</v>
      </c>
      <c r="K305" t="s">
        <v>27</v>
      </c>
      <c r="L305" t="s">
        <v>2254</v>
      </c>
      <c r="M305" t="s">
        <v>2255</v>
      </c>
      <c r="N305" t="s">
        <v>646</v>
      </c>
      <c r="O305" t="s">
        <v>83</v>
      </c>
      <c r="P305" t="s">
        <v>2256</v>
      </c>
      <c r="Q305" t="s">
        <v>46</v>
      </c>
      <c r="R305" s="23" t="s">
        <v>343</v>
      </c>
      <c r="S305" s="23">
        <v>46177</v>
      </c>
      <c r="T305">
        <v>2.1</v>
      </c>
      <c r="U305">
        <v>5816</v>
      </c>
      <c r="V305">
        <v>0</v>
      </c>
      <c r="W305">
        <v>5816</v>
      </c>
    </row>
    <row r="306" spans="1:23" hidden="1" x14ac:dyDescent="0.25">
      <c r="A306">
        <v>15741</v>
      </c>
      <c r="B306">
        <v>456258185</v>
      </c>
      <c r="C306" t="s">
        <v>2257</v>
      </c>
      <c r="D306" s="8" t="s">
        <v>2258</v>
      </c>
      <c r="E306" t="s">
        <v>644</v>
      </c>
      <c r="G306" t="s">
        <v>53</v>
      </c>
      <c r="H306" t="s">
        <v>54</v>
      </c>
      <c r="I306" t="s">
        <v>30</v>
      </c>
      <c r="J306" t="s">
        <v>55</v>
      </c>
      <c r="K306" t="s">
        <v>37</v>
      </c>
      <c r="L306" t="s">
        <v>60</v>
      </c>
      <c r="M306" t="s">
        <v>2259</v>
      </c>
      <c r="N306" t="s">
        <v>646</v>
      </c>
      <c r="O306" t="s">
        <v>83</v>
      </c>
      <c r="P306" t="s">
        <v>2260</v>
      </c>
      <c r="Q306" t="s">
        <v>68</v>
      </c>
      <c r="R306" s="23" t="s">
        <v>2261</v>
      </c>
      <c r="S306" s="23">
        <v>46177</v>
      </c>
      <c r="T306">
        <v>12.3</v>
      </c>
      <c r="U306">
        <v>8993</v>
      </c>
      <c r="V306">
        <v>0</v>
      </c>
      <c r="W306">
        <v>8993</v>
      </c>
    </row>
    <row r="307" spans="1:23" hidden="1" x14ac:dyDescent="0.25">
      <c r="A307">
        <v>15741</v>
      </c>
      <c r="B307">
        <v>456226966</v>
      </c>
      <c r="C307" t="s">
        <v>2262</v>
      </c>
      <c r="D307" s="8" t="s">
        <v>2263</v>
      </c>
      <c r="E307" t="s">
        <v>644</v>
      </c>
      <c r="G307" t="s">
        <v>53</v>
      </c>
      <c r="H307" t="s">
        <v>54</v>
      </c>
      <c r="I307" t="s">
        <v>30</v>
      </c>
      <c r="J307" t="s">
        <v>55</v>
      </c>
      <c r="K307" t="s">
        <v>27</v>
      </c>
      <c r="L307" t="s">
        <v>2264</v>
      </c>
      <c r="M307" t="s">
        <v>2265</v>
      </c>
      <c r="N307" t="s">
        <v>646</v>
      </c>
      <c r="O307" t="s">
        <v>83</v>
      </c>
      <c r="P307" t="s">
        <v>2266</v>
      </c>
      <c r="Q307" t="s">
        <v>158</v>
      </c>
      <c r="R307" s="23" t="s">
        <v>591</v>
      </c>
      <c r="S307" s="23">
        <v>46177</v>
      </c>
      <c r="T307">
        <v>2.1</v>
      </c>
      <c r="U307">
        <v>5816</v>
      </c>
      <c r="V307">
        <v>0</v>
      </c>
      <c r="W307">
        <v>5816</v>
      </c>
    </row>
    <row r="308" spans="1:23" hidden="1" x14ac:dyDescent="0.25">
      <c r="A308">
        <v>15741</v>
      </c>
      <c r="B308">
        <v>456231030</v>
      </c>
      <c r="C308" t="s">
        <v>2267</v>
      </c>
      <c r="D308" s="8" t="s">
        <v>2268</v>
      </c>
      <c r="E308" t="s">
        <v>644</v>
      </c>
      <c r="G308" t="s">
        <v>53</v>
      </c>
      <c r="H308" t="s">
        <v>54</v>
      </c>
      <c r="I308" t="s">
        <v>30</v>
      </c>
      <c r="J308" t="s">
        <v>55</v>
      </c>
      <c r="K308" t="s">
        <v>27</v>
      </c>
      <c r="L308" t="s">
        <v>2269</v>
      </c>
      <c r="M308" t="s">
        <v>2270</v>
      </c>
      <c r="N308" t="s">
        <v>646</v>
      </c>
      <c r="O308" t="s">
        <v>83</v>
      </c>
      <c r="P308" t="s">
        <v>2271</v>
      </c>
      <c r="Q308" t="s">
        <v>50</v>
      </c>
      <c r="R308" s="23" t="s">
        <v>565</v>
      </c>
      <c r="S308" s="23">
        <v>46177</v>
      </c>
      <c r="T308">
        <v>39.17</v>
      </c>
      <c r="U308">
        <v>15962</v>
      </c>
      <c r="V308">
        <v>0</v>
      </c>
      <c r="W308">
        <v>15962</v>
      </c>
    </row>
    <row r="309" spans="1:23" hidden="1" x14ac:dyDescent="0.25">
      <c r="A309">
        <v>15741</v>
      </c>
      <c r="B309">
        <v>456255620</v>
      </c>
      <c r="C309" t="s">
        <v>2272</v>
      </c>
      <c r="D309" s="8" t="s">
        <v>2273</v>
      </c>
      <c r="E309" t="s">
        <v>644</v>
      </c>
      <c r="G309" t="s">
        <v>53</v>
      </c>
      <c r="H309" t="s">
        <v>54</v>
      </c>
      <c r="I309" t="s">
        <v>30</v>
      </c>
      <c r="J309" t="s">
        <v>55</v>
      </c>
      <c r="K309" t="s">
        <v>27</v>
      </c>
      <c r="L309" t="s">
        <v>2274</v>
      </c>
      <c r="M309" t="s">
        <v>2275</v>
      </c>
      <c r="N309" t="s">
        <v>646</v>
      </c>
      <c r="O309" t="s">
        <v>83</v>
      </c>
      <c r="P309" t="s">
        <v>2276</v>
      </c>
      <c r="Q309" t="s">
        <v>43</v>
      </c>
      <c r="R309" s="23" t="s">
        <v>2277</v>
      </c>
      <c r="S309" s="23">
        <v>46177</v>
      </c>
      <c r="T309">
        <v>2.1</v>
      </c>
      <c r="U309">
        <v>5816</v>
      </c>
      <c r="V309">
        <v>0</v>
      </c>
      <c r="W309">
        <v>5816</v>
      </c>
    </row>
    <row r="310" spans="1:23" hidden="1" x14ac:dyDescent="0.25">
      <c r="A310">
        <v>15741</v>
      </c>
      <c r="B310">
        <v>456228332</v>
      </c>
      <c r="C310" t="s">
        <v>2278</v>
      </c>
      <c r="D310" s="8" t="s">
        <v>2279</v>
      </c>
      <c r="E310" t="s">
        <v>644</v>
      </c>
      <c r="G310" t="s">
        <v>53</v>
      </c>
      <c r="H310" t="s">
        <v>54</v>
      </c>
      <c r="I310" t="s">
        <v>30</v>
      </c>
      <c r="J310" t="s">
        <v>55</v>
      </c>
      <c r="K310" t="s">
        <v>27</v>
      </c>
      <c r="L310" t="s">
        <v>2280</v>
      </c>
      <c r="M310" t="s">
        <v>1871</v>
      </c>
      <c r="N310" t="s">
        <v>646</v>
      </c>
      <c r="O310" t="s">
        <v>83</v>
      </c>
      <c r="P310" t="s">
        <v>2281</v>
      </c>
      <c r="Q310" t="s">
        <v>66</v>
      </c>
      <c r="R310" s="23" t="s">
        <v>406</v>
      </c>
      <c r="S310" s="23">
        <v>46177</v>
      </c>
      <c r="T310">
        <v>2.1</v>
      </c>
      <c r="U310">
        <v>5816</v>
      </c>
      <c r="V310">
        <v>0</v>
      </c>
      <c r="W310">
        <v>5816</v>
      </c>
    </row>
    <row r="311" spans="1:23" hidden="1" x14ac:dyDescent="0.25">
      <c r="A311">
        <v>15741</v>
      </c>
      <c r="B311">
        <v>456225355</v>
      </c>
      <c r="C311" t="s">
        <v>2282</v>
      </c>
      <c r="D311" s="8" t="s">
        <v>2283</v>
      </c>
      <c r="E311" t="s">
        <v>644</v>
      </c>
      <c r="G311" t="s">
        <v>53</v>
      </c>
      <c r="H311" t="s">
        <v>54</v>
      </c>
      <c r="I311" t="s">
        <v>30</v>
      </c>
      <c r="J311" t="s">
        <v>55</v>
      </c>
      <c r="K311" t="s">
        <v>27</v>
      </c>
      <c r="L311" t="s">
        <v>2284</v>
      </c>
      <c r="M311" t="s">
        <v>2285</v>
      </c>
      <c r="N311" t="s">
        <v>646</v>
      </c>
      <c r="O311" t="s">
        <v>83</v>
      </c>
      <c r="P311" t="s">
        <v>2286</v>
      </c>
      <c r="Q311" t="s">
        <v>66</v>
      </c>
      <c r="R311" s="23" t="s">
        <v>522</v>
      </c>
      <c r="S311" s="23">
        <v>46177</v>
      </c>
      <c r="T311">
        <v>2.1</v>
      </c>
      <c r="U311">
        <v>5816</v>
      </c>
      <c r="V311">
        <v>0</v>
      </c>
      <c r="W311">
        <v>5816</v>
      </c>
    </row>
    <row r="312" spans="1:23" hidden="1" x14ac:dyDescent="0.25">
      <c r="A312">
        <v>15741</v>
      </c>
      <c r="B312">
        <v>456257809</v>
      </c>
      <c r="C312" t="s">
        <v>2287</v>
      </c>
      <c r="D312" s="8" t="s">
        <v>2288</v>
      </c>
      <c r="E312" t="s">
        <v>644</v>
      </c>
      <c r="G312" t="s">
        <v>53</v>
      </c>
      <c r="H312" t="s">
        <v>54</v>
      </c>
      <c r="I312" t="s">
        <v>30</v>
      </c>
      <c r="J312" t="s">
        <v>55</v>
      </c>
      <c r="K312" t="s">
        <v>27</v>
      </c>
      <c r="L312" t="s">
        <v>2289</v>
      </c>
      <c r="M312" t="s">
        <v>2290</v>
      </c>
      <c r="N312" t="s">
        <v>646</v>
      </c>
      <c r="O312" t="s">
        <v>83</v>
      </c>
      <c r="P312" t="s">
        <v>2291</v>
      </c>
      <c r="Q312" t="s">
        <v>44</v>
      </c>
      <c r="R312" s="23" t="s">
        <v>2292</v>
      </c>
      <c r="S312" s="23">
        <v>46177</v>
      </c>
      <c r="T312">
        <v>2</v>
      </c>
      <c r="U312">
        <v>5504</v>
      </c>
      <c r="V312">
        <v>0</v>
      </c>
      <c r="W312">
        <v>5504</v>
      </c>
    </row>
    <row r="313" spans="1:23" hidden="1" x14ac:dyDescent="0.25">
      <c r="A313">
        <v>15741</v>
      </c>
      <c r="B313">
        <v>456014900</v>
      </c>
      <c r="C313" t="s">
        <v>2293</v>
      </c>
      <c r="D313" s="8" t="s">
        <v>2294</v>
      </c>
      <c r="E313" t="s">
        <v>644</v>
      </c>
      <c r="G313" t="s">
        <v>53</v>
      </c>
      <c r="H313" t="s">
        <v>54</v>
      </c>
      <c r="I313" t="s">
        <v>30</v>
      </c>
      <c r="J313" t="s">
        <v>55</v>
      </c>
      <c r="K313" t="s">
        <v>37</v>
      </c>
      <c r="L313" t="s">
        <v>60</v>
      </c>
      <c r="M313" t="s">
        <v>2295</v>
      </c>
      <c r="N313" t="s">
        <v>646</v>
      </c>
      <c r="O313" t="s">
        <v>83</v>
      </c>
      <c r="P313" t="s">
        <v>2296</v>
      </c>
      <c r="Q313" t="s">
        <v>81</v>
      </c>
      <c r="R313" s="23" t="s">
        <v>410</v>
      </c>
      <c r="S313" s="23">
        <v>46176</v>
      </c>
      <c r="T313">
        <v>1.8</v>
      </c>
      <c r="U313">
        <v>5504</v>
      </c>
      <c r="V313">
        <v>0</v>
      </c>
      <c r="W313">
        <v>5504</v>
      </c>
    </row>
    <row r="314" spans="1:23" hidden="1" x14ac:dyDescent="0.25">
      <c r="A314">
        <v>15741</v>
      </c>
      <c r="B314">
        <v>456257557</v>
      </c>
      <c r="C314" t="s">
        <v>2297</v>
      </c>
      <c r="D314" s="8" t="s">
        <v>2298</v>
      </c>
      <c r="E314" t="s">
        <v>644</v>
      </c>
      <c r="G314" t="s">
        <v>53</v>
      </c>
      <c r="H314" t="s">
        <v>54</v>
      </c>
      <c r="I314" t="s">
        <v>30</v>
      </c>
      <c r="J314" t="s">
        <v>55</v>
      </c>
      <c r="K314" t="s">
        <v>27</v>
      </c>
      <c r="L314" t="s">
        <v>2299</v>
      </c>
      <c r="M314" t="s">
        <v>2300</v>
      </c>
      <c r="N314" t="s">
        <v>646</v>
      </c>
      <c r="O314" t="s">
        <v>83</v>
      </c>
      <c r="P314" t="s">
        <v>2301</v>
      </c>
      <c r="Q314" t="s">
        <v>43</v>
      </c>
      <c r="R314" s="23" t="s">
        <v>601</v>
      </c>
      <c r="S314" s="23">
        <v>46177</v>
      </c>
      <c r="T314">
        <v>2.1</v>
      </c>
      <c r="U314">
        <v>5816</v>
      </c>
      <c r="V314">
        <v>0</v>
      </c>
      <c r="W314">
        <v>5816</v>
      </c>
    </row>
    <row r="315" spans="1:23" hidden="1" x14ac:dyDescent="0.25">
      <c r="A315">
        <v>15741</v>
      </c>
      <c r="B315">
        <v>456228047</v>
      </c>
      <c r="C315" t="s">
        <v>2302</v>
      </c>
      <c r="D315" s="8" t="s">
        <v>2303</v>
      </c>
      <c r="E315" t="s">
        <v>644</v>
      </c>
      <c r="G315" t="s">
        <v>53</v>
      </c>
      <c r="H315" t="s">
        <v>54</v>
      </c>
      <c r="I315" t="s">
        <v>30</v>
      </c>
      <c r="J315" t="s">
        <v>55</v>
      </c>
      <c r="K315" t="s">
        <v>27</v>
      </c>
      <c r="L315" t="s">
        <v>2304</v>
      </c>
      <c r="M315" t="s">
        <v>2305</v>
      </c>
      <c r="N315" t="s">
        <v>646</v>
      </c>
      <c r="O315" t="s">
        <v>83</v>
      </c>
      <c r="P315" t="s">
        <v>2306</v>
      </c>
      <c r="Q315" t="s">
        <v>104</v>
      </c>
      <c r="R315" s="23" t="s">
        <v>169</v>
      </c>
      <c r="S315" s="23">
        <v>46177</v>
      </c>
      <c r="T315">
        <v>1.8</v>
      </c>
      <c r="U315">
        <v>6193</v>
      </c>
      <c r="V315">
        <v>0</v>
      </c>
      <c r="W315">
        <v>6193</v>
      </c>
    </row>
    <row r="316" spans="1:23" hidden="1" x14ac:dyDescent="0.25">
      <c r="A316">
        <v>15741</v>
      </c>
      <c r="B316">
        <v>456255228</v>
      </c>
      <c r="C316" t="s">
        <v>2307</v>
      </c>
      <c r="D316" s="8" t="s">
        <v>2308</v>
      </c>
      <c r="E316" t="s">
        <v>644</v>
      </c>
      <c r="G316" t="s">
        <v>53</v>
      </c>
      <c r="H316" t="s">
        <v>54</v>
      </c>
      <c r="I316" t="s">
        <v>30</v>
      </c>
      <c r="J316" t="s">
        <v>55</v>
      </c>
      <c r="K316" t="s">
        <v>27</v>
      </c>
      <c r="L316" t="s">
        <v>2309</v>
      </c>
      <c r="M316" t="s">
        <v>2310</v>
      </c>
      <c r="N316" t="s">
        <v>646</v>
      </c>
      <c r="O316" t="s">
        <v>83</v>
      </c>
      <c r="P316" t="s">
        <v>2311</v>
      </c>
      <c r="Q316" t="s">
        <v>158</v>
      </c>
      <c r="R316" s="23" t="s">
        <v>315</v>
      </c>
      <c r="S316" s="23">
        <v>46177</v>
      </c>
      <c r="T316">
        <v>1.7</v>
      </c>
      <c r="U316">
        <v>5504</v>
      </c>
      <c r="V316">
        <v>0</v>
      </c>
      <c r="W316">
        <v>5504</v>
      </c>
    </row>
    <row r="317" spans="1:23" hidden="1" x14ac:dyDescent="0.25">
      <c r="A317">
        <v>15741</v>
      </c>
      <c r="B317">
        <v>456226011</v>
      </c>
      <c r="C317" t="s">
        <v>2312</v>
      </c>
      <c r="D317" s="8" t="s">
        <v>2313</v>
      </c>
      <c r="E317" t="s">
        <v>644</v>
      </c>
      <c r="G317" t="s">
        <v>53</v>
      </c>
      <c r="H317" t="s">
        <v>54</v>
      </c>
      <c r="I317" t="s">
        <v>30</v>
      </c>
      <c r="J317" t="s">
        <v>55</v>
      </c>
      <c r="K317" t="s">
        <v>27</v>
      </c>
      <c r="L317" t="s">
        <v>2314</v>
      </c>
      <c r="M317" t="s">
        <v>2315</v>
      </c>
      <c r="N317" t="s">
        <v>646</v>
      </c>
      <c r="O317" t="s">
        <v>83</v>
      </c>
      <c r="P317" t="s">
        <v>2316</v>
      </c>
      <c r="Q317" t="s">
        <v>69</v>
      </c>
      <c r="R317" s="23" t="s">
        <v>560</v>
      </c>
      <c r="S317" s="23">
        <v>46177</v>
      </c>
      <c r="T317">
        <v>2</v>
      </c>
      <c r="U317">
        <v>5504</v>
      </c>
      <c r="V317">
        <v>0</v>
      </c>
      <c r="W317">
        <v>5504</v>
      </c>
    </row>
    <row r="318" spans="1:23" hidden="1" x14ac:dyDescent="0.25">
      <c r="A318">
        <v>15741</v>
      </c>
      <c r="B318">
        <v>456230335</v>
      </c>
      <c r="C318" t="s">
        <v>2317</v>
      </c>
      <c r="D318" s="8" t="s">
        <v>2318</v>
      </c>
      <c r="E318" t="s">
        <v>644</v>
      </c>
      <c r="G318" t="s">
        <v>53</v>
      </c>
      <c r="H318" t="s">
        <v>54</v>
      </c>
      <c r="I318" t="s">
        <v>30</v>
      </c>
      <c r="J318" t="s">
        <v>55</v>
      </c>
      <c r="K318" t="s">
        <v>27</v>
      </c>
      <c r="L318" t="s">
        <v>2319</v>
      </c>
      <c r="M318" t="s">
        <v>2320</v>
      </c>
      <c r="N318" t="s">
        <v>646</v>
      </c>
      <c r="O318" t="s">
        <v>83</v>
      </c>
      <c r="P318" t="s">
        <v>2321</v>
      </c>
      <c r="Q318" t="s">
        <v>52</v>
      </c>
      <c r="R318" s="23" t="s">
        <v>171</v>
      </c>
      <c r="S318" s="23">
        <v>46177</v>
      </c>
      <c r="T318">
        <v>2</v>
      </c>
      <c r="U318">
        <v>5504</v>
      </c>
      <c r="V318">
        <v>0</v>
      </c>
      <c r="W318">
        <v>5504</v>
      </c>
    </row>
    <row r="319" spans="1:23" hidden="1" x14ac:dyDescent="0.25">
      <c r="A319">
        <v>15741</v>
      </c>
      <c r="B319">
        <v>456010084</v>
      </c>
      <c r="C319" t="s">
        <v>2322</v>
      </c>
      <c r="D319" s="8" t="s">
        <v>2323</v>
      </c>
      <c r="E319" t="s">
        <v>644</v>
      </c>
      <c r="G319" t="s">
        <v>53</v>
      </c>
      <c r="H319" t="s">
        <v>54</v>
      </c>
      <c r="I319" t="s">
        <v>30</v>
      </c>
      <c r="J319" t="s">
        <v>55</v>
      </c>
      <c r="K319" t="s">
        <v>27</v>
      </c>
      <c r="L319" t="s">
        <v>2324</v>
      </c>
      <c r="M319" t="s">
        <v>2325</v>
      </c>
      <c r="N319" t="s">
        <v>646</v>
      </c>
      <c r="O319" t="s">
        <v>83</v>
      </c>
      <c r="P319" t="s">
        <v>2326</v>
      </c>
      <c r="Q319" t="s">
        <v>100</v>
      </c>
      <c r="R319" s="23" t="s">
        <v>413</v>
      </c>
      <c r="S319" s="23">
        <v>46176</v>
      </c>
      <c r="T319">
        <v>20.6</v>
      </c>
      <c r="U319">
        <v>10802</v>
      </c>
      <c r="V319">
        <v>0</v>
      </c>
      <c r="W319">
        <v>10802</v>
      </c>
    </row>
    <row r="320" spans="1:23" hidden="1" x14ac:dyDescent="0.25">
      <c r="A320">
        <v>15741</v>
      </c>
      <c r="B320">
        <v>456256082</v>
      </c>
      <c r="C320" t="s">
        <v>2327</v>
      </c>
      <c r="D320" s="8" t="s">
        <v>2328</v>
      </c>
      <c r="E320" t="s">
        <v>644</v>
      </c>
      <c r="G320" t="s">
        <v>53</v>
      </c>
      <c r="H320" t="s">
        <v>54</v>
      </c>
      <c r="I320" t="s">
        <v>30</v>
      </c>
      <c r="J320" t="s">
        <v>55</v>
      </c>
      <c r="K320" t="s">
        <v>27</v>
      </c>
      <c r="L320" t="s">
        <v>2329</v>
      </c>
      <c r="M320" t="s">
        <v>237</v>
      </c>
      <c r="N320" t="s">
        <v>646</v>
      </c>
      <c r="O320" t="s">
        <v>83</v>
      </c>
      <c r="P320" t="s">
        <v>2330</v>
      </c>
      <c r="Q320" t="s">
        <v>104</v>
      </c>
      <c r="R320" s="23" t="s">
        <v>192</v>
      </c>
      <c r="S320" s="23">
        <v>46177</v>
      </c>
      <c r="T320">
        <v>1.8</v>
      </c>
      <c r="U320">
        <v>6193</v>
      </c>
      <c r="V320">
        <v>0</v>
      </c>
      <c r="W320">
        <v>6193</v>
      </c>
    </row>
    <row r="321" spans="1:23" hidden="1" x14ac:dyDescent="0.25">
      <c r="A321">
        <v>15741</v>
      </c>
      <c r="B321">
        <v>456224571</v>
      </c>
      <c r="C321" t="s">
        <v>2331</v>
      </c>
      <c r="D321" s="8" t="s">
        <v>2332</v>
      </c>
      <c r="E321" t="s">
        <v>644</v>
      </c>
      <c r="G321" t="s">
        <v>53</v>
      </c>
      <c r="H321" t="s">
        <v>54</v>
      </c>
      <c r="I321" t="s">
        <v>30</v>
      </c>
      <c r="J321" t="s">
        <v>55</v>
      </c>
      <c r="K321" t="s">
        <v>27</v>
      </c>
      <c r="L321" t="s">
        <v>2333</v>
      </c>
      <c r="M321" t="s">
        <v>2334</v>
      </c>
      <c r="N321" t="s">
        <v>646</v>
      </c>
      <c r="O321" t="s">
        <v>83</v>
      </c>
      <c r="P321" t="s">
        <v>2335</v>
      </c>
      <c r="Q321" t="s">
        <v>73</v>
      </c>
      <c r="R321" s="23" t="s">
        <v>488</v>
      </c>
      <c r="S321" s="23">
        <v>46177</v>
      </c>
      <c r="T321">
        <v>2.1</v>
      </c>
      <c r="U321">
        <v>5816</v>
      </c>
      <c r="V321">
        <v>0</v>
      </c>
      <c r="W321">
        <v>5816</v>
      </c>
    </row>
    <row r="322" spans="1:23" hidden="1" x14ac:dyDescent="0.25">
      <c r="A322">
        <v>15741</v>
      </c>
      <c r="B322">
        <v>455779474</v>
      </c>
      <c r="C322" t="s">
        <v>2336</v>
      </c>
      <c r="D322" s="8" t="s">
        <v>2337</v>
      </c>
      <c r="E322" t="s">
        <v>644</v>
      </c>
      <c r="G322" t="s">
        <v>53</v>
      </c>
      <c r="H322" t="s">
        <v>54</v>
      </c>
      <c r="I322" t="s">
        <v>30</v>
      </c>
      <c r="J322" t="s">
        <v>55</v>
      </c>
      <c r="K322" t="s">
        <v>27</v>
      </c>
      <c r="L322" t="s">
        <v>2338</v>
      </c>
      <c r="M322" t="s">
        <v>2339</v>
      </c>
      <c r="N322" t="s">
        <v>646</v>
      </c>
      <c r="O322" t="s">
        <v>83</v>
      </c>
      <c r="P322" t="s">
        <v>2340</v>
      </c>
      <c r="Q322" t="s">
        <v>43</v>
      </c>
      <c r="R322" s="23" t="s">
        <v>177</v>
      </c>
      <c r="S322" s="23">
        <v>46175</v>
      </c>
      <c r="T322">
        <v>4</v>
      </c>
      <c r="U322">
        <v>6140</v>
      </c>
      <c r="V322">
        <v>0</v>
      </c>
      <c r="W322">
        <v>6140</v>
      </c>
    </row>
    <row r="323" spans="1:23" hidden="1" x14ac:dyDescent="0.25">
      <c r="A323">
        <v>15741</v>
      </c>
      <c r="B323">
        <v>456256628</v>
      </c>
      <c r="C323" t="s">
        <v>2341</v>
      </c>
      <c r="D323" s="8" t="s">
        <v>2342</v>
      </c>
      <c r="E323" t="s">
        <v>644</v>
      </c>
      <c r="G323" t="s">
        <v>53</v>
      </c>
      <c r="H323" t="s">
        <v>54</v>
      </c>
      <c r="I323" t="s">
        <v>30</v>
      </c>
      <c r="J323" t="s">
        <v>55</v>
      </c>
      <c r="K323" t="s">
        <v>27</v>
      </c>
      <c r="L323" t="s">
        <v>2343</v>
      </c>
      <c r="M323" t="s">
        <v>2344</v>
      </c>
      <c r="N323" t="s">
        <v>646</v>
      </c>
      <c r="O323" t="s">
        <v>83</v>
      </c>
      <c r="P323" t="s">
        <v>2345</v>
      </c>
      <c r="Q323" t="s">
        <v>47</v>
      </c>
      <c r="R323" s="23" t="s">
        <v>573</v>
      </c>
      <c r="S323" s="23">
        <v>46177</v>
      </c>
      <c r="T323">
        <v>2.1</v>
      </c>
      <c r="U323">
        <v>5816</v>
      </c>
      <c r="V323">
        <v>0</v>
      </c>
      <c r="W323">
        <v>5816</v>
      </c>
    </row>
    <row r="324" spans="1:23" hidden="1" x14ac:dyDescent="0.25">
      <c r="A324">
        <v>15741</v>
      </c>
      <c r="B324">
        <v>456230613</v>
      </c>
      <c r="C324" t="s">
        <v>2346</v>
      </c>
      <c r="D324" s="8" t="s">
        <v>2347</v>
      </c>
      <c r="E324" t="s">
        <v>644</v>
      </c>
      <c r="G324" t="s">
        <v>53</v>
      </c>
      <c r="H324" t="s">
        <v>54</v>
      </c>
      <c r="I324" t="s">
        <v>30</v>
      </c>
      <c r="J324" t="s">
        <v>55</v>
      </c>
      <c r="K324" t="s">
        <v>27</v>
      </c>
      <c r="L324" t="s">
        <v>2348</v>
      </c>
      <c r="M324" t="s">
        <v>2349</v>
      </c>
      <c r="N324" t="s">
        <v>646</v>
      </c>
      <c r="O324" t="s">
        <v>83</v>
      </c>
      <c r="P324" t="s">
        <v>2350</v>
      </c>
      <c r="Q324" t="s">
        <v>70</v>
      </c>
      <c r="R324" s="23" t="s">
        <v>382</v>
      </c>
      <c r="S324" s="23">
        <v>46177</v>
      </c>
      <c r="T324">
        <v>2.1</v>
      </c>
      <c r="U324">
        <v>5816</v>
      </c>
      <c r="V324">
        <v>0</v>
      </c>
      <c r="W324">
        <v>5816</v>
      </c>
    </row>
    <row r="325" spans="1:23" hidden="1" x14ac:dyDescent="0.25">
      <c r="A325">
        <v>15741</v>
      </c>
      <c r="B325">
        <v>456242941</v>
      </c>
      <c r="C325" t="s">
        <v>2351</v>
      </c>
      <c r="D325" s="8" t="s">
        <v>2352</v>
      </c>
      <c r="E325" t="s">
        <v>644</v>
      </c>
      <c r="G325" t="s">
        <v>53</v>
      </c>
      <c r="H325" t="s">
        <v>54</v>
      </c>
      <c r="I325" t="s">
        <v>30</v>
      </c>
      <c r="J325" t="s">
        <v>55</v>
      </c>
      <c r="K325" t="s">
        <v>27</v>
      </c>
      <c r="L325" t="s">
        <v>2353</v>
      </c>
      <c r="M325" t="s">
        <v>590</v>
      </c>
      <c r="N325" t="s">
        <v>646</v>
      </c>
      <c r="O325" t="s">
        <v>83</v>
      </c>
      <c r="P325" t="s">
        <v>2354</v>
      </c>
      <c r="Q325" t="s">
        <v>44</v>
      </c>
      <c r="R325" s="23" t="s">
        <v>441</v>
      </c>
      <c r="S325" s="23">
        <v>46177</v>
      </c>
      <c r="T325">
        <v>12.3</v>
      </c>
      <c r="U325">
        <v>8993</v>
      </c>
      <c r="V325">
        <v>0</v>
      </c>
      <c r="W325">
        <v>8993</v>
      </c>
    </row>
    <row r="326" spans="1:23" hidden="1" x14ac:dyDescent="0.25">
      <c r="A326">
        <v>15741</v>
      </c>
      <c r="B326">
        <v>456243876</v>
      </c>
      <c r="C326" t="s">
        <v>2355</v>
      </c>
      <c r="D326" s="8" t="s">
        <v>2356</v>
      </c>
      <c r="E326" t="s">
        <v>644</v>
      </c>
      <c r="G326" t="s">
        <v>53</v>
      </c>
      <c r="H326" t="s">
        <v>54</v>
      </c>
      <c r="I326" t="s">
        <v>30</v>
      </c>
      <c r="J326" t="s">
        <v>55</v>
      </c>
      <c r="K326" t="s">
        <v>27</v>
      </c>
      <c r="L326" t="s">
        <v>2357</v>
      </c>
      <c r="M326" t="s">
        <v>2358</v>
      </c>
      <c r="N326" t="s">
        <v>646</v>
      </c>
      <c r="O326" t="s">
        <v>83</v>
      </c>
      <c r="P326" t="s">
        <v>2359</v>
      </c>
      <c r="Q326" t="s">
        <v>47</v>
      </c>
      <c r="R326" s="23" t="s">
        <v>281</v>
      </c>
      <c r="S326" s="23">
        <v>46177</v>
      </c>
      <c r="T326">
        <v>39.17</v>
      </c>
      <c r="U326">
        <v>15962</v>
      </c>
      <c r="V326">
        <v>0</v>
      </c>
      <c r="W326">
        <v>15962</v>
      </c>
    </row>
    <row r="327" spans="1:23" hidden="1" x14ac:dyDescent="0.25">
      <c r="A327">
        <v>15741</v>
      </c>
      <c r="B327">
        <v>456231308</v>
      </c>
      <c r="C327" t="s">
        <v>2360</v>
      </c>
      <c r="D327" s="8" t="s">
        <v>2361</v>
      </c>
      <c r="E327" t="s">
        <v>644</v>
      </c>
      <c r="G327" t="s">
        <v>53</v>
      </c>
      <c r="H327" t="s">
        <v>54</v>
      </c>
      <c r="I327" t="s">
        <v>30</v>
      </c>
      <c r="J327" t="s">
        <v>55</v>
      </c>
      <c r="K327" t="s">
        <v>37</v>
      </c>
      <c r="L327" t="s">
        <v>60</v>
      </c>
      <c r="M327" t="s">
        <v>2047</v>
      </c>
      <c r="N327" t="s">
        <v>646</v>
      </c>
      <c r="O327" t="s">
        <v>83</v>
      </c>
      <c r="P327" t="s">
        <v>2048</v>
      </c>
      <c r="Q327" t="s">
        <v>52</v>
      </c>
      <c r="R327" s="23" t="s">
        <v>304</v>
      </c>
      <c r="S327" s="23">
        <v>46177</v>
      </c>
      <c r="T327">
        <v>2.1</v>
      </c>
      <c r="U327">
        <v>5816</v>
      </c>
      <c r="V327">
        <v>0</v>
      </c>
      <c r="W327">
        <v>5816</v>
      </c>
    </row>
    <row r="328" spans="1:23" hidden="1" x14ac:dyDescent="0.25">
      <c r="A328">
        <v>15741</v>
      </c>
      <c r="B328">
        <v>455866049</v>
      </c>
      <c r="C328" t="s">
        <v>2362</v>
      </c>
      <c r="D328" s="8" t="s">
        <v>2363</v>
      </c>
      <c r="E328" t="s">
        <v>644</v>
      </c>
      <c r="G328" t="s">
        <v>53</v>
      </c>
      <c r="H328" t="s">
        <v>54</v>
      </c>
      <c r="I328" t="s">
        <v>30</v>
      </c>
      <c r="J328" t="s">
        <v>55</v>
      </c>
      <c r="K328" t="s">
        <v>27</v>
      </c>
      <c r="L328" t="s">
        <v>2364</v>
      </c>
      <c r="M328" t="s">
        <v>2365</v>
      </c>
      <c r="N328" t="s">
        <v>646</v>
      </c>
      <c r="O328" t="s">
        <v>83</v>
      </c>
      <c r="P328" t="s">
        <v>2366</v>
      </c>
      <c r="Q328" t="s">
        <v>71</v>
      </c>
      <c r="R328" s="23" t="s">
        <v>287</v>
      </c>
      <c r="S328" s="23">
        <v>46175</v>
      </c>
      <c r="T328">
        <v>43.75</v>
      </c>
      <c r="U328">
        <v>17568</v>
      </c>
      <c r="V328">
        <v>0</v>
      </c>
      <c r="W328">
        <v>17568</v>
      </c>
    </row>
    <row r="329" spans="1:23" hidden="1" x14ac:dyDescent="0.25">
      <c r="A329">
        <v>15741</v>
      </c>
      <c r="B329">
        <v>456258368</v>
      </c>
      <c r="C329" t="s">
        <v>2367</v>
      </c>
      <c r="D329" s="8" t="s">
        <v>2368</v>
      </c>
      <c r="E329" t="s">
        <v>644</v>
      </c>
      <c r="G329" t="s">
        <v>53</v>
      </c>
      <c r="H329" t="s">
        <v>54</v>
      </c>
      <c r="I329" t="s">
        <v>30</v>
      </c>
      <c r="J329" t="s">
        <v>55</v>
      </c>
      <c r="K329" t="s">
        <v>27</v>
      </c>
      <c r="L329" t="s">
        <v>2369</v>
      </c>
      <c r="M329" t="s">
        <v>2370</v>
      </c>
      <c r="N329" t="s">
        <v>646</v>
      </c>
      <c r="O329" t="s">
        <v>83</v>
      </c>
      <c r="P329" t="s">
        <v>2371</v>
      </c>
      <c r="Q329" t="s">
        <v>43</v>
      </c>
      <c r="R329" s="23" t="s">
        <v>600</v>
      </c>
      <c r="S329" s="23">
        <v>46177</v>
      </c>
      <c r="T329">
        <v>19.399999999999999</v>
      </c>
      <c r="U329">
        <v>11210</v>
      </c>
      <c r="V329">
        <v>0</v>
      </c>
      <c r="W329">
        <v>11210</v>
      </c>
    </row>
    <row r="330" spans="1:23" hidden="1" x14ac:dyDescent="0.25">
      <c r="A330">
        <v>15741</v>
      </c>
      <c r="B330">
        <v>456259105</v>
      </c>
      <c r="C330" t="s">
        <v>2372</v>
      </c>
      <c r="D330" s="8" t="s">
        <v>2373</v>
      </c>
      <c r="E330" t="s">
        <v>644</v>
      </c>
      <c r="G330" t="s">
        <v>53</v>
      </c>
      <c r="H330" t="s">
        <v>54</v>
      </c>
      <c r="I330" t="s">
        <v>30</v>
      </c>
      <c r="J330" t="s">
        <v>55</v>
      </c>
      <c r="K330" t="s">
        <v>27</v>
      </c>
      <c r="L330" t="s">
        <v>2374</v>
      </c>
      <c r="M330" t="s">
        <v>2375</v>
      </c>
      <c r="N330" t="s">
        <v>646</v>
      </c>
      <c r="O330" t="s">
        <v>83</v>
      </c>
      <c r="P330" t="s">
        <v>2376</v>
      </c>
      <c r="Q330" t="s">
        <v>68</v>
      </c>
      <c r="R330" s="23" t="s">
        <v>2377</v>
      </c>
      <c r="S330" s="23">
        <v>46177</v>
      </c>
      <c r="T330">
        <v>2.1</v>
      </c>
      <c r="U330">
        <v>5816</v>
      </c>
      <c r="V330">
        <v>0</v>
      </c>
      <c r="W330">
        <v>5816</v>
      </c>
    </row>
    <row r="331" spans="1:23" hidden="1" x14ac:dyDescent="0.25">
      <c r="A331">
        <v>15741</v>
      </c>
      <c r="B331">
        <v>455967237</v>
      </c>
      <c r="C331" t="s">
        <v>2378</v>
      </c>
      <c r="D331" s="8" t="s">
        <v>2379</v>
      </c>
      <c r="E331" t="s">
        <v>644</v>
      </c>
      <c r="G331" t="s">
        <v>53</v>
      </c>
      <c r="H331" t="s">
        <v>54</v>
      </c>
      <c r="I331" t="s">
        <v>30</v>
      </c>
      <c r="J331" t="s">
        <v>55</v>
      </c>
      <c r="K331" t="s">
        <v>27</v>
      </c>
      <c r="L331" t="s">
        <v>2380</v>
      </c>
      <c r="M331" t="s">
        <v>2381</v>
      </c>
      <c r="N331" t="s">
        <v>646</v>
      </c>
      <c r="O331" t="s">
        <v>83</v>
      </c>
      <c r="P331" t="s">
        <v>2382</v>
      </c>
      <c r="Q331" t="s">
        <v>56</v>
      </c>
      <c r="R331" s="23" t="s">
        <v>448</v>
      </c>
      <c r="S331" s="23">
        <v>46176</v>
      </c>
      <c r="T331">
        <v>1.8</v>
      </c>
      <c r="U331">
        <v>9555</v>
      </c>
      <c r="V331">
        <v>0</v>
      </c>
      <c r="W331">
        <v>9555</v>
      </c>
    </row>
    <row r="332" spans="1:23" hidden="1" x14ac:dyDescent="0.25">
      <c r="A332">
        <v>15741</v>
      </c>
      <c r="B332">
        <v>456013347</v>
      </c>
      <c r="C332" t="s">
        <v>2383</v>
      </c>
      <c r="D332" s="8" t="s">
        <v>2384</v>
      </c>
      <c r="E332" t="s">
        <v>644</v>
      </c>
      <c r="G332" t="s">
        <v>53</v>
      </c>
      <c r="H332" t="s">
        <v>54</v>
      </c>
      <c r="I332" t="s">
        <v>30</v>
      </c>
      <c r="J332" t="s">
        <v>55</v>
      </c>
      <c r="K332" t="s">
        <v>27</v>
      </c>
      <c r="L332" t="s">
        <v>2385</v>
      </c>
      <c r="M332" t="s">
        <v>2386</v>
      </c>
      <c r="N332" t="s">
        <v>646</v>
      </c>
      <c r="O332" t="s">
        <v>83</v>
      </c>
      <c r="P332" t="s">
        <v>2387</v>
      </c>
      <c r="Q332" t="s">
        <v>144</v>
      </c>
      <c r="R332" s="23" t="s">
        <v>357</v>
      </c>
      <c r="S332" s="23">
        <v>46176</v>
      </c>
      <c r="T332">
        <v>10.1</v>
      </c>
      <c r="U332">
        <v>8357</v>
      </c>
      <c r="V332">
        <v>0</v>
      </c>
      <c r="W332">
        <v>8357</v>
      </c>
    </row>
    <row r="333" spans="1:23" hidden="1" x14ac:dyDescent="0.25">
      <c r="A333">
        <v>15741</v>
      </c>
      <c r="B333">
        <v>456010526</v>
      </c>
      <c r="C333" t="s">
        <v>2388</v>
      </c>
      <c r="D333" s="8" t="s">
        <v>2389</v>
      </c>
      <c r="E333" t="s">
        <v>644</v>
      </c>
      <c r="G333" t="s">
        <v>53</v>
      </c>
      <c r="H333" t="s">
        <v>54</v>
      </c>
      <c r="I333" t="s">
        <v>30</v>
      </c>
      <c r="J333" t="s">
        <v>55</v>
      </c>
      <c r="K333" t="s">
        <v>27</v>
      </c>
      <c r="L333" t="s">
        <v>2390</v>
      </c>
      <c r="M333" t="s">
        <v>2391</v>
      </c>
      <c r="N333" t="s">
        <v>646</v>
      </c>
      <c r="O333" t="s">
        <v>83</v>
      </c>
      <c r="P333" t="s">
        <v>2392</v>
      </c>
      <c r="Q333" t="s">
        <v>45</v>
      </c>
      <c r="R333" s="23" t="s">
        <v>574</v>
      </c>
      <c r="S333" s="23">
        <v>46176</v>
      </c>
      <c r="T333">
        <v>2</v>
      </c>
      <c r="U333">
        <v>5504</v>
      </c>
      <c r="V333">
        <v>0</v>
      </c>
      <c r="W333">
        <v>5504</v>
      </c>
    </row>
    <row r="334" spans="1:23" hidden="1" x14ac:dyDescent="0.25">
      <c r="A334">
        <v>15741</v>
      </c>
      <c r="B334">
        <v>456009693</v>
      </c>
      <c r="C334" t="s">
        <v>2393</v>
      </c>
      <c r="D334" s="8" t="s">
        <v>2394</v>
      </c>
      <c r="E334" t="s">
        <v>644</v>
      </c>
      <c r="G334" t="s">
        <v>53</v>
      </c>
      <c r="H334" t="s">
        <v>54</v>
      </c>
      <c r="I334" t="s">
        <v>30</v>
      </c>
      <c r="J334" t="s">
        <v>55</v>
      </c>
      <c r="K334" t="s">
        <v>27</v>
      </c>
      <c r="L334" t="s">
        <v>2395</v>
      </c>
      <c r="M334" t="s">
        <v>2391</v>
      </c>
      <c r="N334" t="s">
        <v>646</v>
      </c>
      <c r="O334" t="s">
        <v>83</v>
      </c>
      <c r="P334" t="s">
        <v>2392</v>
      </c>
      <c r="Q334" t="s">
        <v>45</v>
      </c>
      <c r="R334" s="23" t="s">
        <v>286</v>
      </c>
      <c r="S334" s="23">
        <v>46176</v>
      </c>
      <c r="T334">
        <v>2</v>
      </c>
      <c r="U334">
        <v>5504</v>
      </c>
      <c r="V334">
        <v>0</v>
      </c>
      <c r="W334">
        <v>5504</v>
      </c>
    </row>
    <row r="335" spans="1:23" hidden="1" x14ac:dyDescent="0.25">
      <c r="A335">
        <v>15741</v>
      </c>
      <c r="B335">
        <v>456003760</v>
      </c>
      <c r="C335" t="s">
        <v>2396</v>
      </c>
      <c r="D335" s="8" t="s">
        <v>2397</v>
      </c>
      <c r="E335" t="s">
        <v>644</v>
      </c>
      <c r="G335" t="s">
        <v>53</v>
      </c>
      <c r="H335" t="s">
        <v>54</v>
      </c>
      <c r="I335" t="s">
        <v>30</v>
      </c>
      <c r="J335" t="s">
        <v>55</v>
      </c>
      <c r="K335" t="s">
        <v>27</v>
      </c>
      <c r="L335" t="s">
        <v>2398</v>
      </c>
      <c r="M335" t="s">
        <v>2399</v>
      </c>
      <c r="N335" t="s">
        <v>646</v>
      </c>
      <c r="O335" t="s">
        <v>83</v>
      </c>
      <c r="P335" t="s">
        <v>2400</v>
      </c>
      <c r="Q335" t="s">
        <v>50</v>
      </c>
      <c r="R335" s="23" t="s">
        <v>2401</v>
      </c>
      <c r="S335" s="23">
        <v>46176</v>
      </c>
      <c r="T335">
        <v>2.2999999999999998</v>
      </c>
      <c r="U335">
        <v>5816</v>
      </c>
      <c r="V335">
        <v>0</v>
      </c>
      <c r="W335">
        <v>5816</v>
      </c>
    </row>
    <row r="336" spans="1:23" hidden="1" x14ac:dyDescent="0.25">
      <c r="A336">
        <v>15741</v>
      </c>
      <c r="B336">
        <v>456005894</v>
      </c>
      <c r="C336" t="s">
        <v>2402</v>
      </c>
      <c r="D336" s="8" t="s">
        <v>2403</v>
      </c>
      <c r="E336" t="s">
        <v>644</v>
      </c>
      <c r="G336" t="s">
        <v>53</v>
      </c>
      <c r="H336" t="s">
        <v>54</v>
      </c>
      <c r="I336" t="s">
        <v>30</v>
      </c>
      <c r="J336" t="s">
        <v>55</v>
      </c>
      <c r="K336" t="s">
        <v>27</v>
      </c>
      <c r="L336" t="s">
        <v>2404</v>
      </c>
      <c r="M336" t="s">
        <v>2405</v>
      </c>
      <c r="N336" t="s">
        <v>646</v>
      </c>
      <c r="O336" t="s">
        <v>83</v>
      </c>
      <c r="P336" t="s">
        <v>2406</v>
      </c>
      <c r="Q336" t="s">
        <v>43</v>
      </c>
      <c r="R336" s="23" t="s">
        <v>310</v>
      </c>
      <c r="S336" s="23">
        <v>46176</v>
      </c>
      <c r="T336">
        <v>2.1</v>
      </c>
      <c r="U336">
        <v>5816</v>
      </c>
      <c r="V336">
        <v>0</v>
      </c>
      <c r="W336">
        <v>5816</v>
      </c>
    </row>
    <row r="337" spans="1:23" hidden="1" x14ac:dyDescent="0.25">
      <c r="A337">
        <v>15741</v>
      </c>
      <c r="B337">
        <v>456006969</v>
      </c>
      <c r="C337" t="s">
        <v>2407</v>
      </c>
      <c r="D337" s="8" t="s">
        <v>2408</v>
      </c>
      <c r="E337" t="s">
        <v>644</v>
      </c>
      <c r="G337" t="s">
        <v>53</v>
      </c>
      <c r="H337" t="s">
        <v>54</v>
      </c>
      <c r="I337" t="s">
        <v>30</v>
      </c>
      <c r="J337" t="s">
        <v>55</v>
      </c>
      <c r="K337" t="s">
        <v>27</v>
      </c>
      <c r="L337" t="s">
        <v>2409</v>
      </c>
      <c r="M337" t="s">
        <v>2410</v>
      </c>
      <c r="N337" t="s">
        <v>646</v>
      </c>
      <c r="O337" t="s">
        <v>83</v>
      </c>
      <c r="P337" t="s">
        <v>2411</v>
      </c>
      <c r="Q337" t="s">
        <v>78</v>
      </c>
      <c r="R337" s="23" t="s">
        <v>240</v>
      </c>
      <c r="S337" s="23">
        <v>46176</v>
      </c>
      <c r="T337">
        <v>2.1</v>
      </c>
      <c r="U337">
        <v>5816</v>
      </c>
      <c r="V337">
        <v>0</v>
      </c>
      <c r="W337">
        <v>5816</v>
      </c>
    </row>
    <row r="338" spans="1:23" hidden="1" x14ac:dyDescent="0.25">
      <c r="A338">
        <v>15741</v>
      </c>
      <c r="B338">
        <v>456005354</v>
      </c>
      <c r="C338" t="s">
        <v>2412</v>
      </c>
      <c r="D338" s="8" t="s">
        <v>2413</v>
      </c>
      <c r="E338" t="s">
        <v>644</v>
      </c>
      <c r="G338" t="s">
        <v>53</v>
      </c>
      <c r="H338" t="s">
        <v>54</v>
      </c>
      <c r="I338" t="s">
        <v>30</v>
      </c>
      <c r="J338" t="s">
        <v>55</v>
      </c>
      <c r="K338" t="s">
        <v>27</v>
      </c>
      <c r="L338" t="s">
        <v>2414</v>
      </c>
      <c r="M338" t="s">
        <v>2415</v>
      </c>
      <c r="N338" t="s">
        <v>646</v>
      </c>
      <c r="O338" t="s">
        <v>83</v>
      </c>
      <c r="P338" t="s">
        <v>2416</v>
      </c>
      <c r="Q338" t="s">
        <v>44</v>
      </c>
      <c r="R338" s="23" t="s">
        <v>270</v>
      </c>
      <c r="S338" s="23">
        <v>46176</v>
      </c>
      <c r="T338">
        <v>2.1</v>
      </c>
      <c r="U338">
        <v>5816</v>
      </c>
      <c r="V338">
        <v>0</v>
      </c>
      <c r="W338">
        <v>5816</v>
      </c>
    </row>
    <row r="339" spans="1:23" hidden="1" x14ac:dyDescent="0.25">
      <c r="A339">
        <v>15741</v>
      </c>
      <c r="B339">
        <v>456004356</v>
      </c>
      <c r="C339" t="s">
        <v>2417</v>
      </c>
      <c r="D339" s="8" t="s">
        <v>2418</v>
      </c>
      <c r="E339" t="s">
        <v>644</v>
      </c>
      <c r="G339" t="s">
        <v>53</v>
      </c>
      <c r="H339" t="s">
        <v>54</v>
      </c>
      <c r="I339" t="s">
        <v>30</v>
      </c>
      <c r="J339" t="s">
        <v>55</v>
      </c>
      <c r="K339" t="s">
        <v>27</v>
      </c>
      <c r="L339" t="s">
        <v>2419</v>
      </c>
      <c r="M339" t="s">
        <v>2420</v>
      </c>
      <c r="N339" t="s">
        <v>646</v>
      </c>
      <c r="O339" t="s">
        <v>83</v>
      </c>
      <c r="P339" t="s">
        <v>2421</v>
      </c>
      <c r="Q339" t="s">
        <v>104</v>
      </c>
      <c r="R339" s="23" t="s">
        <v>2422</v>
      </c>
      <c r="S339" s="23">
        <v>46176</v>
      </c>
      <c r="T339">
        <v>5.6</v>
      </c>
      <c r="U339">
        <v>7621</v>
      </c>
      <c r="V339">
        <v>0</v>
      </c>
      <c r="W339">
        <v>7621</v>
      </c>
    </row>
    <row r="340" spans="1:23" hidden="1" x14ac:dyDescent="0.25">
      <c r="A340">
        <v>15741</v>
      </c>
      <c r="B340">
        <v>456007394</v>
      </c>
      <c r="C340" t="s">
        <v>2423</v>
      </c>
      <c r="D340" s="8" t="s">
        <v>2424</v>
      </c>
      <c r="E340" t="s">
        <v>644</v>
      </c>
      <c r="G340" t="s">
        <v>53</v>
      </c>
      <c r="H340" t="s">
        <v>54</v>
      </c>
      <c r="I340" t="s">
        <v>30</v>
      </c>
      <c r="J340" t="s">
        <v>55</v>
      </c>
      <c r="K340" t="s">
        <v>27</v>
      </c>
      <c r="L340" t="s">
        <v>2425</v>
      </c>
      <c r="M340" t="s">
        <v>2426</v>
      </c>
      <c r="N340" t="s">
        <v>646</v>
      </c>
      <c r="O340" t="s">
        <v>83</v>
      </c>
      <c r="P340" t="s">
        <v>2427</v>
      </c>
      <c r="Q340" t="s">
        <v>44</v>
      </c>
      <c r="R340" s="23" t="s">
        <v>324</v>
      </c>
      <c r="S340" s="23">
        <v>46176</v>
      </c>
      <c r="T340">
        <v>2.1</v>
      </c>
      <c r="U340">
        <v>5816</v>
      </c>
      <c r="V340">
        <v>0</v>
      </c>
      <c r="W340">
        <v>5816</v>
      </c>
    </row>
    <row r="341" spans="1:23" hidden="1" x14ac:dyDescent="0.25">
      <c r="A341">
        <v>15741</v>
      </c>
      <c r="B341">
        <v>456029440</v>
      </c>
      <c r="C341" t="s">
        <v>2428</v>
      </c>
      <c r="D341" s="8" t="s">
        <v>2429</v>
      </c>
      <c r="E341" t="s">
        <v>644</v>
      </c>
      <c r="G341" t="s">
        <v>53</v>
      </c>
      <c r="H341" t="s">
        <v>54</v>
      </c>
      <c r="I341" t="s">
        <v>30</v>
      </c>
      <c r="J341" t="s">
        <v>55</v>
      </c>
      <c r="K341" t="s">
        <v>27</v>
      </c>
      <c r="L341" t="s">
        <v>2430</v>
      </c>
      <c r="M341" t="s">
        <v>2431</v>
      </c>
      <c r="N341" t="s">
        <v>646</v>
      </c>
      <c r="O341" t="s">
        <v>83</v>
      </c>
      <c r="P341" t="s">
        <v>2432</v>
      </c>
      <c r="Q341" t="s">
        <v>45</v>
      </c>
      <c r="R341" s="23" t="s">
        <v>285</v>
      </c>
      <c r="S341" s="23">
        <v>46176</v>
      </c>
      <c r="T341">
        <v>2.2000000000000002</v>
      </c>
      <c r="U341">
        <v>5816</v>
      </c>
      <c r="V341">
        <v>0</v>
      </c>
      <c r="W341">
        <v>5816</v>
      </c>
    </row>
    <row r="342" spans="1:23" hidden="1" x14ac:dyDescent="0.25">
      <c r="A342">
        <v>15741</v>
      </c>
      <c r="B342">
        <v>456009430</v>
      </c>
      <c r="C342" t="s">
        <v>2433</v>
      </c>
      <c r="D342" s="8" t="s">
        <v>2434</v>
      </c>
      <c r="E342" t="s">
        <v>644</v>
      </c>
      <c r="G342" t="s">
        <v>53</v>
      </c>
      <c r="H342" t="s">
        <v>54</v>
      </c>
      <c r="I342" t="s">
        <v>30</v>
      </c>
      <c r="J342" t="s">
        <v>55</v>
      </c>
      <c r="K342" t="s">
        <v>27</v>
      </c>
      <c r="L342" t="s">
        <v>2435</v>
      </c>
      <c r="M342" t="s">
        <v>2436</v>
      </c>
      <c r="N342" t="s">
        <v>646</v>
      </c>
      <c r="O342" t="s">
        <v>83</v>
      </c>
      <c r="P342" t="s">
        <v>2437</v>
      </c>
      <c r="Q342" t="s">
        <v>43</v>
      </c>
      <c r="R342" s="23" t="s">
        <v>76</v>
      </c>
      <c r="S342" s="23">
        <v>46176</v>
      </c>
      <c r="T342">
        <v>2</v>
      </c>
      <c r="U342">
        <v>5504</v>
      </c>
      <c r="V342">
        <v>0</v>
      </c>
      <c r="W342">
        <v>5504</v>
      </c>
    </row>
    <row r="343" spans="1:23" hidden="1" x14ac:dyDescent="0.25">
      <c r="A343">
        <v>15741</v>
      </c>
      <c r="B343">
        <v>456011767</v>
      </c>
      <c r="C343" t="s">
        <v>2438</v>
      </c>
      <c r="D343" s="8" t="s">
        <v>2439</v>
      </c>
      <c r="E343" t="s">
        <v>644</v>
      </c>
      <c r="G343" t="s">
        <v>53</v>
      </c>
      <c r="H343" t="s">
        <v>54</v>
      </c>
      <c r="I343" t="s">
        <v>30</v>
      </c>
      <c r="J343" t="s">
        <v>55</v>
      </c>
      <c r="K343" t="s">
        <v>27</v>
      </c>
      <c r="L343" t="s">
        <v>2440</v>
      </c>
      <c r="M343" t="s">
        <v>244</v>
      </c>
      <c r="N343" t="s">
        <v>646</v>
      </c>
      <c r="O343" t="s">
        <v>83</v>
      </c>
      <c r="P343" t="s">
        <v>2441</v>
      </c>
      <c r="Q343" t="s">
        <v>86</v>
      </c>
      <c r="R343" s="23" t="s">
        <v>412</v>
      </c>
      <c r="S343" s="23">
        <v>46176</v>
      </c>
      <c r="T343">
        <v>2</v>
      </c>
      <c r="U343">
        <v>5504</v>
      </c>
      <c r="V343">
        <v>0</v>
      </c>
      <c r="W343">
        <v>5504</v>
      </c>
    </row>
    <row r="344" spans="1:23" hidden="1" x14ac:dyDescent="0.25">
      <c r="A344">
        <v>15741</v>
      </c>
      <c r="B344">
        <v>455777768</v>
      </c>
      <c r="C344" t="s">
        <v>2442</v>
      </c>
      <c r="D344" s="8" t="s">
        <v>2443</v>
      </c>
      <c r="E344" t="s">
        <v>644</v>
      </c>
      <c r="G344" t="s">
        <v>53</v>
      </c>
      <c r="H344" t="s">
        <v>54</v>
      </c>
      <c r="I344" t="s">
        <v>30</v>
      </c>
      <c r="J344" t="s">
        <v>55</v>
      </c>
      <c r="K344" t="s">
        <v>27</v>
      </c>
      <c r="L344" t="s">
        <v>2444</v>
      </c>
      <c r="M344" t="s">
        <v>2445</v>
      </c>
      <c r="N344" t="s">
        <v>646</v>
      </c>
      <c r="O344" t="s">
        <v>83</v>
      </c>
      <c r="P344" t="s">
        <v>2446</v>
      </c>
      <c r="Q344" t="s">
        <v>147</v>
      </c>
      <c r="R344" s="23" t="s">
        <v>385</v>
      </c>
      <c r="S344" s="23">
        <v>46175</v>
      </c>
      <c r="T344">
        <v>70</v>
      </c>
      <c r="U344">
        <v>26055</v>
      </c>
      <c r="V344">
        <v>6899.94</v>
      </c>
      <c r="W344">
        <v>32954.94</v>
      </c>
    </row>
    <row r="345" spans="1:23" hidden="1" x14ac:dyDescent="0.25">
      <c r="A345">
        <v>15741</v>
      </c>
      <c r="B345">
        <v>456029710</v>
      </c>
      <c r="C345" t="s">
        <v>2447</v>
      </c>
      <c r="D345" s="8" t="s">
        <v>2448</v>
      </c>
      <c r="E345" t="s">
        <v>644</v>
      </c>
      <c r="G345" t="s">
        <v>53</v>
      </c>
      <c r="H345" t="s">
        <v>54</v>
      </c>
      <c r="I345" t="s">
        <v>30</v>
      </c>
      <c r="J345" t="s">
        <v>55</v>
      </c>
      <c r="K345" t="s">
        <v>27</v>
      </c>
      <c r="L345" t="s">
        <v>2449</v>
      </c>
      <c r="M345" t="s">
        <v>2450</v>
      </c>
      <c r="N345" t="s">
        <v>646</v>
      </c>
      <c r="O345" t="s">
        <v>83</v>
      </c>
      <c r="P345" t="s">
        <v>2451</v>
      </c>
      <c r="Q345" t="s">
        <v>52</v>
      </c>
      <c r="R345" s="23" t="s">
        <v>320</v>
      </c>
      <c r="S345" s="23">
        <v>46176</v>
      </c>
      <c r="T345">
        <v>2.1</v>
      </c>
      <c r="U345">
        <v>5816</v>
      </c>
      <c r="V345">
        <v>0</v>
      </c>
      <c r="W345">
        <v>5816</v>
      </c>
    </row>
    <row r="346" spans="1:23" hidden="1" x14ac:dyDescent="0.25">
      <c r="A346">
        <v>15741</v>
      </c>
      <c r="B346">
        <v>456011188</v>
      </c>
      <c r="C346" t="s">
        <v>2452</v>
      </c>
      <c r="D346" s="8" t="s">
        <v>2453</v>
      </c>
      <c r="E346" t="s">
        <v>644</v>
      </c>
      <c r="G346" t="s">
        <v>53</v>
      </c>
      <c r="H346" t="s">
        <v>54</v>
      </c>
      <c r="I346" t="s">
        <v>30</v>
      </c>
      <c r="J346" t="s">
        <v>55</v>
      </c>
      <c r="K346" t="s">
        <v>27</v>
      </c>
      <c r="L346" t="s">
        <v>2454</v>
      </c>
      <c r="M346" t="s">
        <v>2455</v>
      </c>
      <c r="N346" t="s">
        <v>646</v>
      </c>
      <c r="O346" t="s">
        <v>83</v>
      </c>
      <c r="P346" t="s">
        <v>2456</v>
      </c>
      <c r="Q346" t="s">
        <v>208</v>
      </c>
      <c r="R346" s="23" t="s">
        <v>553</v>
      </c>
      <c r="S346" s="23">
        <v>46176</v>
      </c>
      <c r="T346">
        <v>2.1</v>
      </c>
      <c r="U346">
        <v>5816</v>
      </c>
      <c r="V346">
        <v>0</v>
      </c>
      <c r="W346">
        <v>5816</v>
      </c>
    </row>
    <row r="347" spans="1:23" hidden="1" x14ac:dyDescent="0.25">
      <c r="A347">
        <v>15741</v>
      </c>
      <c r="B347">
        <v>456014385</v>
      </c>
      <c r="C347" t="s">
        <v>2457</v>
      </c>
      <c r="D347" s="8" t="s">
        <v>2458</v>
      </c>
      <c r="E347" t="s">
        <v>644</v>
      </c>
      <c r="G347" t="s">
        <v>53</v>
      </c>
      <c r="H347" t="s">
        <v>54</v>
      </c>
      <c r="I347" t="s">
        <v>30</v>
      </c>
      <c r="J347" t="s">
        <v>55</v>
      </c>
      <c r="K347" t="s">
        <v>27</v>
      </c>
      <c r="L347" t="s">
        <v>2459</v>
      </c>
      <c r="M347" t="s">
        <v>2460</v>
      </c>
      <c r="N347" t="s">
        <v>646</v>
      </c>
      <c r="O347" t="s">
        <v>83</v>
      </c>
      <c r="P347" t="s">
        <v>2461</v>
      </c>
      <c r="Q347" t="s">
        <v>73</v>
      </c>
      <c r="R347" s="23" t="s">
        <v>278</v>
      </c>
      <c r="S347" s="23">
        <v>46176</v>
      </c>
      <c r="T347">
        <v>2</v>
      </c>
      <c r="U347">
        <v>5504</v>
      </c>
      <c r="V347">
        <v>0</v>
      </c>
      <c r="W347">
        <v>5504</v>
      </c>
    </row>
    <row r="348" spans="1:23" hidden="1" x14ac:dyDescent="0.25">
      <c r="A348">
        <v>15741</v>
      </c>
      <c r="B348">
        <v>456029139</v>
      </c>
      <c r="C348" t="s">
        <v>2462</v>
      </c>
      <c r="D348" s="8" t="s">
        <v>2463</v>
      </c>
      <c r="E348" t="s">
        <v>644</v>
      </c>
      <c r="G348" t="s">
        <v>53</v>
      </c>
      <c r="H348" t="s">
        <v>54</v>
      </c>
      <c r="I348" t="s">
        <v>30</v>
      </c>
      <c r="J348" t="s">
        <v>55</v>
      </c>
      <c r="K348" t="s">
        <v>27</v>
      </c>
      <c r="L348" t="s">
        <v>2464</v>
      </c>
      <c r="M348" t="s">
        <v>1227</v>
      </c>
      <c r="N348" t="s">
        <v>646</v>
      </c>
      <c r="O348" t="s">
        <v>83</v>
      </c>
      <c r="P348" t="s">
        <v>1228</v>
      </c>
      <c r="Q348" t="s">
        <v>52</v>
      </c>
      <c r="R348" s="23" t="s">
        <v>602</v>
      </c>
      <c r="S348" s="23">
        <v>46176</v>
      </c>
      <c r="T348">
        <v>2.1</v>
      </c>
      <c r="U348">
        <v>5816</v>
      </c>
      <c r="V348">
        <v>0</v>
      </c>
      <c r="W348">
        <v>5816</v>
      </c>
    </row>
    <row r="349" spans="1:23" hidden="1" x14ac:dyDescent="0.25">
      <c r="A349">
        <v>15741</v>
      </c>
      <c r="B349">
        <v>455174168</v>
      </c>
      <c r="C349" t="s">
        <v>2465</v>
      </c>
      <c r="D349" s="8" t="s">
        <v>2466</v>
      </c>
      <c r="E349" t="s">
        <v>644</v>
      </c>
      <c r="G349" t="s">
        <v>62</v>
      </c>
      <c r="H349" t="s">
        <v>63</v>
      </c>
      <c r="I349" t="s">
        <v>30</v>
      </c>
      <c r="J349" t="s">
        <v>64</v>
      </c>
      <c r="K349" t="s">
        <v>27</v>
      </c>
      <c r="L349" t="s">
        <v>65</v>
      </c>
      <c r="M349" t="s">
        <v>2467</v>
      </c>
      <c r="N349" t="s">
        <v>646</v>
      </c>
      <c r="O349" t="s">
        <v>83</v>
      </c>
      <c r="P349" t="s">
        <v>2468</v>
      </c>
      <c r="Q349" t="s">
        <v>109</v>
      </c>
      <c r="R349" s="23" t="s">
        <v>2469</v>
      </c>
      <c r="S349" s="23">
        <v>46164</v>
      </c>
      <c r="T349">
        <v>15.86</v>
      </c>
      <c r="U349">
        <v>12809</v>
      </c>
      <c r="V349">
        <v>959.94</v>
      </c>
      <c r="W349">
        <v>13768.94</v>
      </c>
    </row>
    <row r="350" spans="1:23" hidden="1" x14ac:dyDescent="0.25">
      <c r="A350">
        <v>15741</v>
      </c>
      <c r="B350">
        <v>456010919</v>
      </c>
      <c r="C350" t="s">
        <v>2470</v>
      </c>
      <c r="D350" s="8" t="s">
        <v>2471</v>
      </c>
      <c r="E350" t="s">
        <v>644</v>
      </c>
      <c r="G350" t="s">
        <v>53</v>
      </c>
      <c r="H350" t="s">
        <v>54</v>
      </c>
      <c r="I350" t="s">
        <v>30</v>
      </c>
      <c r="J350" t="s">
        <v>55</v>
      </c>
      <c r="K350" t="s">
        <v>27</v>
      </c>
      <c r="L350" t="s">
        <v>2472</v>
      </c>
      <c r="M350" t="s">
        <v>2473</v>
      </c>
      <c r="N350" t="s">
        <v>646</v>
      </c>
      <c r="O350" t="s">
        <v>83</v>
      </c>
      <c r="P350" t="s">
        <v>2474</v>
      </c>
      <c r="Q350" t="s">
        <v>44</v>
      </c>
      <c r="R350" s="23" t="s">
        <v>323</v>
      </c>
      <c r="S350" s="23">
        <v>46176</v>
      </c>
      <c r="T350">
        <v>2.1</v>
      </c>
      <c r="U350">
        <v>5816</v>
      </c>
      <c r="V350">
        <v>0</v>
      </c>
      <c r="W350">
        <v>5816</v>
      </c>
    </row>
    <row r="351" spans="1:23" hidden="1" x14ac:dyDescent="0.25">
      <c r="A351">
        <v>15741</v>
      </c>
      <c r="B351">
        <v>456005681</v>
      </c>
      <c r="C351" t="s">
        <v>2475</v>
      </c>
      <c r="D351" s="8" t="s">
        <v>2476</v>
      </c>
      <c r="E351" t="s">
        <v>644</v>
      </c>
      <c r="G351" t="s">
        <v>53</v>
      </c>
      <c r="H351" t="s">
        <v>54</v>
      </c>
      <c r="I351" t="s">
        <v>30</v>
      </c>
      <c r="J351" t="s">
        <v>55</v>
      </c>
      <c r="K351" t="s">
        <v>27</v>
      </c>
      <c r="L351" t="s">
        <v>2477</v>
      </c>
      <c r="M351" t="s">
        <v>2478</v>
      </c>
      <c r="N351" t="s">
        <v>646</v>
      </c>
      <c r="O351" t="s">
        <v>83</v>
      </c>
      <c r="P351" t="s">
        <v>2479</v>
      </c>
      <c r="Q351" t="s">
        <v>81</v>
      </c>
      <c r="R351" s="23" t="s">
        <v>325</v>
      </c>
      <c r="S351" s="23">
        <v>46176</v>
      </c>
      <c r="T351">
        <v>2</v>
      </c>
      <c r="U351">
        <v>5504</v>
      </c>
      <c r="V351">
        <v>0</v>
      </c>
      <c r="W351">
        <v>5504</v>
      </c>
    </row>
    <row r="352" spans="1:23" hidden="1" x14ac:dyDescent="0.25">
      <c r="A352">
        <v>15741</v>
      </c>
      <c r="B352">
        <v>455967928</v>
      </c>
      <c r="C352" t="s">
        <v>2480</v>
      </c>
      <c r="D352" s="8" t="s">
        <v>2481</v>
      </c>
      <c r="E352" t="s">
        <v>644</v>
      </c>
      <c r="G352" t="s">
        <v>53</v>
      </c>
      <c r="H352" t="s">
        <v>54</v>
      </c>
      <c r="I352" t="s">
        <v>30</v>
      </c>
      <c r="J352" t="s">
        <v>55</v>
      </c>
      <c r="K352" t="s">
        <v>27</v>
      </c>
      <c r="L352" t="s">
        <v>2482</v>
      </c>
      <c r="M352" t="s">
        <v>2483</v>
      </c>
      <c r="N352" t="s">
        <v>646</v>
      </c>
      <c r="O352" t="s">
        <v>83</v>
      </c>
      <c r="P352" t="s">
        <v>2484</v>
      </c>
      <c r="Q352" t="s">
        <v>191</v>
      </c>
      <c r="R352" s="23" t="s">
        <v>605</v>
      </c>
      <c r="S352" s="23">
        <v>46176</v>
      </c>
      <c r="T352">
        <v>70.900000000000006</v>
      </c>
      <c r="U352">
        <v>40358</v>
      </c>
      <c r="V352">
        <v>8681.99</v>
      </c>
      <c r="W352">
        <v>49039.99</v>
      </c>
    </row>
    <row r="353" spans="1:23" hidden="1" x14ac:dyDescent="0.25">
      <c r="A353">
        <v>15741</v>
      </c>
      <c r="B353">
        <v>455661191</v>
      </c>
      <c r="C353" t="s">
        <v>2485</v>
      </c>
      <c r="D353" s="8" t="s">
        <v>2486</v>
      </c>
      <c r="E353" t="s">
        <v>644</v>
      </c>
      <c r="G353" t="s">
        <v>53</v>
      </c>
      <c r="H353" t="s">
        <v>54</v>
      </c>
      <c r="I353" t="s">
        <v>30</v>
      </c>
      <c r="J353" t="s">
        <v>55</v>
      </c>
      <c r="K353" t="s">
        <v>27</v>
      </c>
      <c r="L353" t="s">
        <v>2487</v>
      </c>
      <c r="M353" t="s">
        <v>2488</v>
      </c>
      <c r="N353" t="s">
        <v>646</v>
      </c>
      <c r="O353" t="s">
        <v>83</v>
      </c>
      <c r="P353" t="s">
        <v>2489</v>
      </c>
      <c r="Q353" t="s">
        <v>254</v>
      </c>
      <c r="R353" s="23" t="s">
        <v>604</v>
      </c>
      <c r="S353" s="23">
        <v>46174</v>
      </c>
      <c r="T353">
        <v>60</v>
      </c>
      <c r="U353">
        <v>44662</v>
      </c>
      <c r="V353">
        <v>5999.94</v>
      </c>
      <c r="W353">
        <v>50661.94</v>
      </c>
    </row>
    <row r="354" spans="1:23" hidden="1" x14ac:dyDescent="0.25">
      <c r="A354">
        <v>15741</v>
      </c>
      <c r="B354">
        <v>456012681</v>
      </c>
      <c r="C354" t="s">
        <v>2490</v>
      </c>
      <c r="D354" s="8" t="s">
        <v>2491</v>
      </c>
      <c r="E354" t="s">
        <v>644</v>
      </c>
      <c r="G354" t="s">
        <v>53</v>
      </c>
      <c r="H354" t="s">
        <v>54</v>
      </c>
      <c r="I354" t="s">
        <v>30</v>
      </c>
      <c r="J354" t="s">
        <v>55</v>
      </c>
      <c r="K354" t="s">
        <v>27</v>
      </c>
      <c r="L354" t="s">
        <v>2492</v>
      </c>
      <c r="M354" t="s">
        <v>2493</v>
      </c>
      <c r="N354" t="s">
        <v>646</v>
      </c>
      <c r="O354" t="s">
        <v>83</v>
      </c>
      <c r="P354" t="s">
        <v>2494</v>
      </c>
      <c r="Q354" t="s">
        <v>43</v>
      </c>
      <c r="R354" s="23" t="s">
        <v>640</v>
      </c>
      <c r="S354" s="23">
        <v>46176</v>
      </c>
      <c r="T354">
        <v>2.1</v>
      </c>
      <c r="U354">
        <v>5816</v>
      </c>
      <c r="V354">
        <v>0</v>
      </c>
      <c r="W354">
        <v>5816</v>
      </c>
    </row>
    <row r="355" spans="1:23" hidden="1" x14ac:dyDescent="0.25">
      <c r="A355">
        <v>15741</v>
      </c>
      <c r="B355">
        <v>456008238</v>
      </c>
      <c r="C355" t="s">
        <v>2495</v>
      </c>
      <c r="D355" s="8" t="s">
        <v>2496</v>
      </c>
      <c r="E355" t="s">
        <v>644</v>
      </c>
      <c r="G355" t="s">
        <v>53</v>
      </c>
      <c r="H355" t="s">
        <v>54</v>
      </c>
      <c r="I355" t="s">
        <v>30</v>
      </c>
      <c r="J355" t="s">
        <v>55</v>
      </c>
      <c r="K355" t="s">
        <v>27</v>
      </c>
      <c r="L355" t="s">
        <v>2497</v>
      </c>
      <c r="M355" t="s">
        <v>2498</v>
      </c>
      <c r="N355" t="s">
        <v>646</v>
      </c>
      <c r="O355" t="s">
        <v>83</v>
      </c>
      <c r="P355" t="s">
        <v>2499</v>
      </c>
      <c r="Q355" t="s">
        <v>49</v>
      </c>
      <c r="R355" s="23" t="s">
        <v>623</v>
      </c>
      <c r="S355" s="23">
        <v>46176</v>
      </c>
      <c r="T355">
        <v>1.7</v>
      </c>
      <c r="U355">
        <v>6707</v>
      </c>
      <c r="V355">
        <v>0</v>
      </c>
      <c r="W355">
        <v>6707</v>
      </c>
    </row>
    <row r="356" spans="1:23" hidden="1" x14ac:dyDescent="0.25">
      <c r="A356">
        <v>15741</v>
      </c>
      <c r="B356">
        <v>456003241</v>
      </c>
      <c r="C356" t="s">
        <v>2500</v>
      </c>
      <c r="D356" s="8" t="s">
        <v>2501</v>
      </c>
      <c r="E356" t="s">
        <v>644</v>
      </c>
      <c r="G356" t="s">
        <v>53</v>
      </c>
      <c r="H356" t="s">
        <v>54</v>
      </c>
      <c r="I356" t="s">
        <v>30</v>
      </c>
      <c r="J356" t="s">
        <v>55</v>
      </c>
      <c r="K356" t="s">
        <v>27</v>
      </c>
      <c r="L356" t="s">
        <v>2502</v>
      </c>
      <c r="M356" t="s">
        <v>2503</v>
      </c>
      <c r="N356" t="s">
        <v>646</v>
      </c>
      <c r="O356" t="s">
        <v>83</v>
      </c>
      <c r="P356" t="s">
        <v>2504</v>
      </c>
      <c r="Q356" t="s">
        <v>66</v>
      </c>
      <c r="R356" s="23" t="s">
        <v>264</v>
      </c>
      <c r="S356" s="23">
        <v>46176</v>
      </c>
      <c r="T356">
        <v>2.1</v>
      </c>
      <c r="U356">
        <v>5816</v>
      </c>
      <c r="V356">
        <v>0</v>
      </c>
      <c r="W356">
        <v>5816</v>
      </c>
    </row>
    <row r="357" spans="1:23" hidden="1" x14ac:dyDescent="0.25">
      <c r="A357">
        <v>15741</v>
      </c>
      <c r="B357">
        <v>456007161</v>
      </c>
      <c r="C357" t="s">
        <v>2505</v>
      </c>
      <c r="D357" s="8" t="s">
        <v>2506</v>
      </c>
      <c r="E357" t="s">
        <v>644</v>
      </c>
      <c r="G357" t="s">
        <v>53</v>
      </c>
      <c r="H357" t="s">
        <v>54</v>
      </c>
      <c r="I357" t="s">
        <v>30</v>
      </c>
      <c r="J357" t="s">
        <v>55</v>
      </c>
      <c r="K357" t="s">
        <v>27</v>
      </c>
      <c r="L357" t="s">
        <v>2507</v>
      </c>
      <c r="M357" t="s">
        <v>2508</v>
      </c>
      <c r="N357" t="s">
        <v>646</v>
      </c>
      <c r="O357" t="s">
        <v>83</v>
      </c>
      <c r="P357" t="s">
        <v>2509</v>
      </c>
      <c r="Q357" t="s">
        <v>48</v>
      </c>
      <c r="R357" s="23" t="s">
        <v>592</v>
      </c>
      <c r="S357" s="23">
        <v>46176</v>
      </c>
      <c r="T357">
        <v>2.1</v>
      </c>
      <c r="U357">
        <v>5816</v>
      </c>
      <c r="V357">
        <v>0</v>
      </c>
      <c r="W357">
        <v>5816</v>
      </c>
    </row>
    <row r="358" spans="1:23" hidden="1" x14ac:dyDescent="0.25">
      <c r="A358">
        <v>15741</v>
      </c>
      <c r="B358">
        <v>456010679</v>
      </c>
      <c r="C358" t="s">
        <v>2510</v>
      </c>
      <c r="D358" s="8" t="s">
        <v>2511</v>
      </c>
      <c r="E358" t="s">
        <v>644</v>
      </c>
      <c r="G358" t="s">
        <v>53</v>
      </c>
      <c r="H358" t="s">
        <v>54</v>
      </c>
      <c r="I358" t="s">
        <v>30</v>
      </c>
      <c r="J358" t="s">
        <v>55</v>
      </c>
      <c r="K358" t="s">
        <v>27</v>
      </c>
      <c r="L358" t="s">
        <v>2512</v>
      </c>
      <c r="M358" t="s">
        <v>2513</v>
      </c>
      <c r="N358" t="s">
        <v>646</v>
      </c>
      <c r="O358" t="s">
        <v>83</v>
      </c>
      <c r="P358" t="s">
        <v>2514</v>
      </c>
      <c r="Q358" t="s">
        <v>158</v>
      </c>
      <c r="R358" s="23" t="s">
        <v>2515</v>
      </c>
      <c r="S358" s="23">
        <v>46176</v>
      </c>
      <c r="T358">
        <v>2</v>
      </c>
      <c r="U358">
        <v>5504</v>
      </c>
      <c r="V358">
        <v>0</v>
      </c>
      <c r="W358">
        <v>5504</v>
      </c>
    </row>
    <row r="359" spans="1:23" hidden="1" x14ac:dyDescent="0.25">
      <c r="A359">
        <v>15741</v>
      </c>
      <c r="B359">
        <v>456014053</v>
      </c>
      <c r="C359" t="s">
        <v>2516</v>
      </c>
      <c r="D359" s="8" t="s">
        <v>2517</v>
      </c>
      <c r="E359" t="s">
        <v>644</v>
      </c>
      <c r="G359" t="s">
        <v>53</v>
      </c>
      <c r="H359" t="s">
        <v>54</v>
      </c>
      <c r="I359" t="s">
        <v>30</v>
      </c>
      <c r="J359" t="s">
        <v>55</v>
      </c>
      <c r="K359" t="s">
        <v>27</v>
      </c>
      <c r="L359" t="s">
        <v>2518</v>
      </c>
      <c r="M359" t="s">
        <v>2519</v>
      </c>
      <c r="N359" t="s">
        <v>646</v>
      </c>
      <c r="O359" t="s">
        <v>83</v>
      </c>
      <c r="P359" t="s">
        <v>2520</v>
      </c>
      <c r="Q359" t="s">
        <v>57</v>
      </c>
      <c r="R359" s="23" t="s">
        <v>2521</v>
      </c>
      <c r="S359" s="23">
        <v>46176</v>
      </c>
      <c r="T359">
        <v>10.1</v>
      </c>
      <c r="U359">
        <v>8452</v>
      </c>
      <c r="V359">
        <v>0</v>
      </c>
      <c r="W359">
        <v>8452</v>
      </c>
    </row>
    <row r="360" spans="1:23" hidden="1" x14ac:dyDescent="0.25">
      <c r="A360">
        <v>15741</v>
      </c>
      <c r="B360">
        <v>456004971</v>
      </c>
      <c r="C360" t="s">
        <v>2522</v>
      </c>
      <c r="D360" s="8" t="s">
        <v>2523</v>
      </c>
      <c r="E360" t="s">
        <v>644</v>
      </c>
      <c r="G360" t="s">
        <v>53</v>
      </c>
      <c r="H360" t="s">
        <v>54</v>
      </c>
      <c r="I360" t="s">
        <v>30</v>
      </c>
      <c r="J360" t="s">
        <v>55</v>
      </c>
      <c r="K360" t="s">
        <v>27</v>
      </c>
      <c r="L360" t="s">
        <v>2524</v>
      </c>
      <c r="M360" t="s">
        <v>2525</v>
      </c>
      <c r="N360" t="s">
        <v>646</v>
      </c>
      <c r="O360" t="s">
        <v>83</v>
      </c>
      <c r="P360" t="s">
        <v>2526</v>
      </c>
      <c r="Q360" t="s">
        <v>86</v>
      </c>
      <c r="R360" s="23" t="s">
        <v>2527</v>
      </c>
      <c r="S360" s="23">
        <v>46176</v>
      </c>
      <c r="T360">
        <v>2</v>
      </c>
      <c r="U360">
        <v>5504</v>
      </c>
      <c r="V360">
        <v>0</v>
      </c>
      <c r="W360">
        <v>5504</v>
      </c>
    </row>
    <row r="361" spans="1:23" hidden="1" x14ac:dyDescent="0.25">
      <c r="A361">
        <v>15741</v>
      </c>
      <c r="B361">
        <v>455967358</v>
      </c>
      <c r="C361" t="s">
        <v>2528</v>
      </c>
      <c r="D361" s="8" t="s">
        <v>2529</v>
      </c>
      <c r="E361" t="s">
        <v>644</v>
      </c>
      <c r="G361" t="s">
        <v>53</v>
      </c>
      <c r="H361" t="s">
        <v>54</v>
      </c>
      <c r="I361" t="s">
        <v>30</v>
      </c>
      <c r="J361" t="s">
        <v>55</v>
      </c>
      <c r="K361" t="s">
        <v>27</v>
      </c>
      <c r="L361" t="s">
        <v>2530</v>
      </c>
      <c r="M361" t="s">
        <v>2531</v>
      </c>
      <c r="N361" t="s">
        <v>646</v>
      </c>
      <c r="O361" t="s">
        <v>83</v>
      </c>
      <c r="P361" t="s">
        <v>2532</v>
      </c>
      <c r="Q361" t="s">
        <v>109</v>
      </c>
      <c r="R361" s="23" t="s">
        <v>448</v>
      </c>
      <c r="S361" s="23">
        <v>46176</v>
      </c>
      <c r="T361">
        <v>39.4</v>
      </c>
      <c r="U361">
        <v>25591</v>
      </c>
      <c r="V361">
        <v>6209.88</v>
      </c>
      <c r="W361">
        <v>31800.880000000001</v>
      </c>
    </row>
    <row r="362" spans="1:23" hidden="1" x14ac:dyDescent="0.25">
      <c r="A362">
        <v>15741</v>
      </c>
      <c r="B362">
        <v>456015691</v>
      </c>
      <c r="C362" t="s">
        <v>2533</v>
      </c>
      <c r="D362" s="8" t="s">
        <v>2534</v>
      </c>
      <c r="E362" t="s">
        <v>644</v>
      </c>
      <c r="G362" t="s">
        <v>53</v>
      </c>
      <c r="H362" t="s">
        <v>54</v>
      </c>
      <c r="I362" t="s">
        <v>30</v>
      </c>
      <c r="J362" t="s">
        <v>55</v>
      </c>
      <c r="K362" t="s">
        <v>27</v>
      </c>
      <c r="L362" t="s">
        <v>2535</v>
      </c>
      <c r="M362" t="s">
        <v>2536</v>
      </c>
      <c r="N362" t="s">
        <v>646</v>
      </c>
      <c r="O362" t="s">
        <v>83</v>
      </c>
      <c r="P362" t="s">
        <v>2537</v>
      </c>
      <c r="Q362" t="s">
        <v>83</v>
      </c>
      <c r="R362" s="23" t="s">
        <v>321</v>
      </c>
      <c r="S362" s="23">
        <v>46176</v>
      </c>
      <c r="T362">
        <v>5.6</v>
      </c>
      <c r="U362">
        <v>6775</v>
      </c>
      <c r="V362">
        <v>0</v>
      </c>
      <c r="W362">
        <v>6775</v>
      </c>
    </row>
    <row r="363" spans="1:23" hidden="1" x14ac:dyDescent="0.25">
      <c r="A363">
        <v>15741</v>
      </c>
      <c r="B363">
        <v>455965033</v>
      </c>
      <c r="C363" t="s">
        <v>2538</v>
      </c>
      <c r="D363" s="8" t="s">
        <v>2539</v>
      </c>
      <c r="E363" t="s">
        <v>644</v>
      </c>
      <c r="G363" t="s">
        <v>53</v>
      </c>
      <c r="H363" t="s">
        <v>54</v>
      </c>
      <c r="I363" t="s">
        <v>30</v>
      </c>
      <c r="J363" t="s">
        <v>55</v>
      </c>
      <c r="K363" t="s">
        <v>27</v>
      </c>
      <c r="L363" t="s">
        <v>2540</v>
      </c>
      <c r="M363" t="s">
        <v>2541</v>
      </c>
      <c r="N363" t="s">
        <v>646</v>
      </c>
      <c r="O363" t="s">
        <v>83</v>
      </c>
      <c r="P363" t="s">
        <v>2542</v>
      </c>
      <c r="Q363" t="s">
        <v>173</v>
      </c>
      <c r="R363" s="23" t="s">
        <v>2543</v>
      </c>
      <c r="S363" s="23">
        <v>46176</v>
      </c>
      <c r="T363">
        <v>109.1</v>
      </c>
      <c r="U363">
        <v>56997</v>
      </c>
      <c r="V363">
        <v>6898.74</v>
      </c>
      <c r="W363">
        <v>63895.74</v>
      </c>
    </row>
    <row r="364" spans="1:23" hidden="1" x14ac:dyDescent="0.25">
      <c r="A364">
        <v>15741</v>
      </c>
      <c r="B364">
        <v>456003525</v>
      </c>
      <c r="C364" t="s">
        <v>2544</v>
      </c>
      <c r="D364" s="8" t="s">
        <v>2545</v>
      </c>
      <c r="E364" t="s">
        <v>644</v>
      </c>
      <c r="G364" t="s">
        <v>53</v>
      </c>
      <c r="H364" t="s">
        <v>54</v>
      </c>
      <c r="I364" t="s">
        <v>30</v>
      </c>
      <c r="J364" t="s">
        <v>55</v>
      </c>
      <c r="K364" t="s">
        <v>27</v>
      </c>
      <c r="L364" t="s">
        <v>2546</v>
      </c>
      <c r="M364" t="s">
        <v>2547</v>
      </c>
      <c r="N364" t="s">
        <v>646</v>
      </c>
      <c r="O364" t="s">
        <v>83</v>
      </c>
      <c r="P364" t="s">
        <v>2548</v>
      </c>
      <c r="Q364" t="s">
        <v>43</v>
      </c>
      <c r="R364" s="23" t="s">
        <v>638</v>
      </c>
      <c r="S364" s="23">
        <v>46176</v>
      </c>
      <c r="T364">
        <v>2.25</v>
      </c>
      <c r="U364">
        <v>5816</v>
      </c>
      <c r="V364">
        <v>0</v>
      </c>
      <c r="W364">
        <v>5816</v>
      </c>
    </row>
    <row r="365" spans="1:23" hidden="1" x14ac:dyDescent="0.25">
      <c r="A365">
        <v>15741</v>
      </c>
      <c r="B365">
        <v>455650496</v>
      </c>
      <c r="C365" t="s">
        <v>2549</v>
      </c>
      <c r="D365" s="8" t="s">
        <v>2550</v>
      </c>
      <c r="E365" t="s">
        <v>644</v>
      </c>
      <c r="G365" t="s">
        <v>53</v>
      </c>
      <c r="H365" t="s">
        <v>54</v>
      </c>
      <c r="I365" t="s">
        <v>30</v>
      </c>
      <c r="J365" t="s">
        <v>55</v>
      </c>
      <c r="K365" t="s">
        <v>27</v>
      </c>
      <c r="L365" t="s">
        <v>2551</v>
      </c>
      <c r="M365" t="s">
        <v>2552</v>
      </c>
      <c r="N365" t="s">
        <v>646</v>
      </c>
      <c r="O365" t="s">
        <v>83</v>
      </c>
      <c r="P365" t="s">
        <v>2553</v>
      </c>
      <c r="Q365" t="s">
        <v>44</v>
      </c>
      <c r="R365" s="23" t="s">
        <v>289</v>
      </c>
      <c r="S365" s="23">
        <v>46174</v>
      </c>
      <c r="T365">
        <v>2</v>
      </c>
      <c r="U365">
        <v>5504</v>
      </c>
      <c r="V365">
        <v>0</v>
      </c>
      <c r="W365">
        <v>5504</v>
      </c>
    </row>
    <row r="366" spans="1:23" hidden="1" x14ac:dyDescent="0.25">
      <c r="A366">
        <v>15741</v>
      </c>
      <c r="B366">
        <v>456013609</v>
      </c>
      <c r="C366" t="s">
        <v>2554</v>
      </c>
      <c r="D366" s="8" t="s">
        <v>2555</v>
      </c>
      <c r="E366" t="s">
        <v>644</v>
      </c>
      <c r="G366" t="s">
        <v>53</v>
      </c>
      <c r="H366" t="s">
        <v>54</v>
      </c>
      <c r="I366" t="s">
        <v>30</v>
      </c>
      <c r="J366" t="s">
        <v>55</v>
      </c>
      <c r="K366" t="s">
        <v>27</v>
      </c>
      <c r="L366" t="s">
        <v>2556</v>
      </c>
      <c r="M366" t="s">
        <v>2557</v>
      </c>
      <c r="N366" t="s">
        <v>646</v>
      </c>
      <c r="O366" t="s">
        <v>83</v>
      </c>
      <c r="P366" t="s">
        <v>2558</v>
      </c>
      <c r="Q366" t="s">
        <v>52</v>
      </c>
      <c r="R366" s="23" t="s">
        <v>322</v>
      </c>
      <c r="S366" s="23">
        <v>46176</v>
      </c>
      <c r="T366">
        <v>10.1</v>
      </c>
      <c r="U366">
        <v>8357</v>
      </c>
      <c r="V366">
        <v>0</v>
      </c>
      <c r="W366">
        <v>8357</v>
      </c>
    </row>
    <row r="367" spans="1:23" hidden="1" x14ac:dyDescent="0.25">
      <c r="A367">
        <v>15741</v>
      </c>
      <c r="B367">
        <v>456011528</v>
      </c>
      <c r="C367" t="s">
        <v>2559</v>
      </c>
      <c r="D367" s="8" t="s">
        <v>2560</v>
      </c>
      <c r="E367" t="s">
        <v>644</v>
      </c>
      <c r="G367" t="s">
        <v>53</v>
      </c>
      <c r="H367" t="s">
        <v>54</v>
      </c>
      <c r="I367" t="s">
        <v>30</v>
      </c>
      <c r="J367" t="s">
        <v>55</v>
      </c>
      <c r="K367" t="s">
        <v>27</v>
      </c>
      <c r="L367" t="s">
        <v>2561</v>
      </c>
      <c r="M367" t="s">
        <v>2562</v>
      </c>
      <c r="N367" t="s">
        <v>646</v>
      </c>
      <c r="O367" t="s">
        <v>83</v>
      </c>
      <c r="P367" t="s">
        <v>2563</v>
      </c>
      <c r="Q367" t="s">
        <v>52</v>
      </c>
      <c r="R367" s="23" t="s">
        <v>2564</v>
      </c>
      <c r="S367" s="23">
        <v>46176</v>
      </c>
      <c r="T367">
        <v>2.1</v>
      </c>
      <c r="U367">
        <v>5816</v>
      </c>
      <c r="V367">
        <v>0</v>
      </c>
      <c r="W367">
        <v>5816</v>
      </c>
    </row>
    <row r="368" spans="1:23" hidden="1" x14ac:dyDescent="0.25">
      <c r="A368">
        <v>15741</v>
      </c>
      <c r="B368">
        <v>456008609</v>
      </c>
      <c r="C368" t="s">
        <v>2565</v>
      </c>
      <c r="D368" s="8" t="s">
        <v>2566</v>
      </c>
      <c r="E368" t="s">
        <v>644</v>
      </c>
      <c r="G368" t="s">
        <v>53</v>
      </c>
      <c r="H368" t="s">
        <v>54</v>
      </c>
      <c r="I368" t="s">
        <v>30</v>
      </c>
      <c r="J368" t="s">
        <v>55</v>
      </c>
      <c r="K368" t="s">
        <v>27</v>
      </c>
      <c r="L368" t="s">
        <v>2567</v>
      </c>
      <c r="M368" t="s">
        <v>2568</v>
      </c>
      <c r="N368" t="s">
        <v>646</v>
      </c>
      <c r="O368" t="s">
        <v>83</v>
      </c>
      <c r="P368" t="s">
        <v>2569</v>
      </c>
      <c r="Q368" t="s">
        <v>52</v>
      </c>
      <c r="R368" s="23" t="s">
        <v>525</v>
      </c>
      <c r="S368" s="23">
        <v>46176</v>
      </c>
      <c r="T368">
        <v>2.1</v>
      </c>
      <c r="U368">
        <v>5816</v>
      </c>
      <c r="V368">
        <v>0</v>
      </c>
      <c r="W368">
        <v>5816</v>
      </c>
    </row>
    <row r="369" spans="1:23" hidden="1" x14ac:dyDescent="0.25">
      <c r="A369">
        <v>15741</v>
      </c>
      <c r="B369">
        <v>456012341</v>
      </c>
      <c r="C369" t="s">
        <v>2570</v>
      </c>
      <c r="D369" s="8" t="s">
        <v>2571</v>
      </c>
      <c r="E369" t="s">
        <v>644</v>
      </c>
      <c r="G369" t="s">
        <v>53</v>
      </c>
      <c r="H369" t="s">
        <v>54</v>
      </c>
      <c r="I369" t="s">
        <v>30</v>
      </c>
      <c r="J369" t="s">
        <v>55</v>
      </c>
      <c r="K369" t="s">
        <v>27</v>
      </c>
      <c r="L369" t="s">
        <v>2572</v>
      </c>
      <c r="M369" t="s">
        <v>2573</v>
      </c>
      <c r="N369" t="s">
        <v>646</v>
      </c>
      <c r="O369" t="s">
        <v>83</v>
      </c>
      <c r="P369" t="s">
        <v>2574</v>
      </c>
      <c r="Q369" t="s">
        <v>47</v>
      </c>
      <c r="R369" s="23" t="s">
        <v>603</v>
      </c>
      <c r="S369" s="23">
        <v>46176</v>
      </c>
      <c r="T369">
        <v>81</v>
      </c>
      <c r="U369">
        <v>26503</v>
      </c>
      <c r="V369">
        <v>0</v>
      </c>
      <c r="W369">
        <v>26503</v>
      </c>
    </row>
    <row r="370" spans="1:23" hidden="1" x14ac:dyDescent="0.25">
      <c r="A370">
        <v>15741</v>
      </c>
      <c r="B370">
        <v>455965441</v>
      </c>
      <c r="C370" t="s">
        <v>2575</v>
      </c>
      <c r="D370" s="8" t="s">
        <v>2576</v>
      </c>
      <c r="E370" t="s">
        <v>644</v>
      </c>
      <c r="G370" t="s">
        <v>53</v>
      </c>
      <c r="H370" t="s">
        <v>54</v>
      </c>
      <c r="I370" t="s">
        <v>30</v>
      </c>
      <c r="J370" t="s">
        <v>55</v>
      </c>
      <c r="K370" t="s">
        <v>27</v>
      </c>
      <c r="L370" t="s">
        <v>2577</v>
      </c>
      <c r="M370" t="s">
        <v>2578</v>
      </c>
      <c r="N370" t="s">
        <v>646</v>
      </c>
      <c r="O370" t="s">
        <v>83</v>
      </c>
      <c r="P370" t="s">
        <v>2579</v>
      </c>
      <c r="Q370" t="s">
        <v>109</v>
      </c>
      <c r="R370" s="23" t="s">
        <v>417</v>
      </c>
      <c r="S370" s="23">
        <v>46176</v>
      </c>
      <c r="T370">
        <v>20.2</v>
      </c>
      <c r="U370">
        <v>15858</v>
      </c>
      <c r="V370">
        <v>0</v>
      </c>
      <c r="W370">
        <v>15858</v>
      </c>
    </row>
    <row r="371" spans="1:23" hidden="1" x14ac:dyDescent="0.25">
      <c r="A371">
        <v>15741</v>
      </c>
      <c r="B371">
        <v>455962021</v>
      </c>
      <c r="C371" t="s">
        <v>2580</v>
      </c>
      <c r="D371" s="8" t="s">
        <v>2581</v>
      </c>
      <c r="E371" t="s">
        <v>644</v>
      </c>
      <c r="G371" t="s">
        <v>53</v>
      </c>
      <c r="H371" t="s">
        <v>54</v>
      </c>
      <c r="I371" t="s">
        <v>30</v>
      </c>
      <c r="J371" t="s">
        <v>55</v>
      </c>
      <c r="K371" t="s">
        <v>27</v>
      </c>
      <c r="L371" t="s">
        <v>2582</v>
      </c>
      <c r="M371" t="s">
        <v>2583</v>
      </c>
      <c r="N371" t="s">
        <v>646</v>
      </c>
      <c r="O371" t="s">
        <v>83</v>
      </c>
      <c r="P371" t="s">
        <v>2584</v>
      </c>
      <c r="Q371" t="s">
        <v>48</v>
      </c>
      <c r="R371" s="23" t="s">
        <v>266</v>
      </c>
      <c r="S371" s="23">
        <v>46176</v>
      </c>
      <c r="T371">
        <v>39.17</v>
      </c>
      <c r="U371">
        <v>15962</v>
      </c>
      <c r="V371">
        <v>0</v>
      </c>
      <c r="W371">
        <v>15962</v>
      </c>
    </row>
    <row r="372" spans="1:23" hidden="1" x14ac:dyDescent="0.25">
      <c r="A372">
        <v>15741</v>
      </c>
      <c r="B372">
        <v>455968848</v>
      </c>
      <c r="C372" t="s">
        <v>2585</v>
      </c>
      <c r="D372" s="8" t="s">
        <v>2586</v>
      </c>
      <c r="E372" t="s">
        <v>644</v>
      </c>
      <c r="G372" t="s">
        <v>53</v>
      </c>
      <c r="H372" t="s">
        <v>54</v>
      </c>
      <c r="I372" t="s">
        <v>30</v>
      </c>
      <c r="J372" t="s">
        <v>55</v>
      </c>
      <c r="K372" t="s">
        <v>27</v>
      </c>
      <c r="L372" t="s">
        <v>2587</v>
      </c>
      <c r="M372" t="s">
        <v>2588</v>
      </c>
      <c r="N372" t="s">
        <v>646</v>
      </c>
      <c r="O372" t="s">
        <v>83</v>
      </c>
      <c r="P372" t="s">
        <v>2589</v>
      </c>
      <c r="Q372" t="s">
        <v>75</v>
      </c>
      <c r="R372" s="23" t="s">
        <v>621</v>
      </c>
      <c r="S372" s="23">
        <v>46176</v>
      </c>
      <c r="T372">
        <v>2</v>
      </c>
      <c r="U372">
        <v>5504</v>
      </c>
      <c r="V372">
        <v>0</v>
      </c>
      <c r="W372">
        <v>5504</v>
      </c>
    </row>
    <row r="373" spans="1:23" hidden="1" x14ac:dyDescent="0.25">
      <c r="A373">
        <v>15741</v>
      </c>
      <c r="B373">
        <v>455968040</v>
      </c>
      <c r="C373" t="s">
        <v>2590</v>
      </c>
      <c r="D373" s="8" t="s">
        <v>2591</v>
      </c>
      <c r="E373" t="s">
        <v>644</v>
      </c>
      <c r="G373" t="s">
        <v>53</v>
      </c>
      <c r="H373" t="s">
        <v>54</v>
      </c>
      <c r="I373" t="s">
        <v>30</v>
      </c>
      <c r="J373" t="s">
        <v>55</v>
      </c>
      <c r="K373" t="s">
        <v>27</v>
      </c>
      <c r="L373" t="s">
        <v>2592</v>
      </c>
      <c r="M373" t="s">
        <v>2593</v>
      </c>
      <c r="N373" t="s">
        <v>646</v>
      </c>
      <c r="O373" t="s">
        <v>83</v>
      </c>
      <c r="P373" t="s">
        <v>2594</v>
      </c>
      <c r="Q373" t="s">
        <v>50</v>
      </c>
      <c r="R373" s="23" t="s">
        <v>605</v>
      </c>
      <c r="S373" s="23">
        <v>46176</v>
      </c>
      <c r="T373">
        <v>2</v>
      </c>
      <c r="U373">
        <v>5504</v>
      </c>
      <c r="V373">
        <v>0</v>
      </c>
      <c r="W373">
        <v>5504</v>
      </c>
    </row>
    <row r="374" spans="1:23" hidden="1" x14ac:dyDescent="0.25">
      <c r="A374">
        <v>15741</v>
      </c>
      <c r="B374">
        <v>455773483</v>
      </c>
      <c r="C374" t="s">
        <v>579</v>
      </c>
      <c r="D374" s="8" t="s">
        <v>2595</v>
      </c>
      <c r="E374" t="s">
        <v>644</v>
      </c>
      <c r="G374" t="s">
        <v>53</v>
      </c>
      <c r="H374" t="s">
        <v>54</v>
      </c>
      <c r="I374" t="s">
        <v>30</v>
      </c>
      <c r="J374" t="s">
        <v>55</v>
      </c>
      <c r="K374" t="s">
        <v>27</v>
      </c>
      <c r="L374" t="s">
        <v>2596</v>
      </c>
      <c r="M374" t="s">
        <v>2597</v>
      </c>
      <c r="N374" t="s">
        <v>646</v>
      </c>
      <c r="O374" t="s">
        <v>83</v>
      </c>
      <c r="P374" t="s">
        <v>2598</v>
      </c>
      <c r="Q374" t="s">
        <v>94</v>
      </c>
      <c r="R374" s="23" t="s">
        <v>450</v>
      </c>
      <c r="S374" s="23">
        <v>46175</v>
      </c>
      <c r="T374">
        <v>11.9</v>
      </c>
      <c r="U374">
        <v>14803</v>
      </c>
      <c r="V374">
        <v>0</v>
      </c>
      <c r="W374">
        <v>14803</v>
      </c>
    </row>
    <row r="375" spans="1:23" hidden="1" x14ac:dyDescent="0.25">
      <c r="A375">
        <v>15741</v>
      </c>
      <c r="B375">
        <v>455964817</v>
      </c>
      <c r="C375" t="s">
        <v>2599</v>
      </c>
      <c r="D375" s="8" t="s">
        <v>2600</v>
      </c>
      <c r="E375" t="s">
        <v>644</v>
      </c>
      <c r="G375" t="s">
        <v>53</v>
      </c>
      <c r="H375" t="s">
        <v>54</v>
      </c>
      <c r="I375" t="s">
        <v>30</v>
      </c>
      <c r="J375" t="s">
        <v>55</v>
      </c>
      <c r="K375" t="s">
        <v>196</v>
      </c>
      <c r="L375" t="s">
        <v>197</v>
      </c>
      <c r="M375" t="s">
        <v>2601</v>
      </c>
      <c r="N375" t="s">
        <v>646</v>
      </c>
      <c r="O375" t="s">
        <v>83</v>
      </c>
      <c r="P375" t="s">
        <v>2602</v>
      </c>
      <c r="Q375" t="s">
        <v>43</v>
      </c>
      <c r="R375" s="23" t="s">
        <v>2603</v>
      </c>
      <c r="S375" s="23">
        <v>46176</v>
      </c>
      <c r="T375">
        <v>132.19</v>
      </c>
      <c r="U375">
        <v>36190</v>
      </c>
      <c r="V375">
        <v>0</v>
      </c>
      <c r="W375">
        <v>36190</v>
      </c>
    </row>
    <row r="376" spans="1:23" hidden="1" x14ac:dyDescent="0.25">
      <c r="A376">
        <v>15741</v>
      </c>
      <c r="B376">
        <v>455965172</v>
      </c>
      <c r="C376" t="s">
        <v>2604</v>
      </c>
      <c r="D376" s="8" t="s">
        <v>2605</v>
      </c>
      <c r="E376" t="s">
        <v>644</v>
      </c>
      <c r="G376" t="s">
        <v>53</v>
      </c>
      <c r="H376" t="s">
        <v>54</v>
      </c>
      <c r="I376" t="s">
        <v>30</v>
      </c>
      <c r="J376" t="s">
        <v>55</v>
      </c>
      <c r="K376" t="s">
        <v>27</v>
      </c>
      <c r="L376" t="s">
        <v>2606</v>
      </c>
      <c r="M376" t="s">
        <v>2607</v>
      </c>
      <c r="N376" t="s">
        <v>646</v>
      </c>
      <c r="O376" t="s">
        <v>83</v>
      </c>
      <c r="P376" t="s">
        <v>2608</v>
      </c>
      <c r="Q376" t="s">
        <v>49</v>
      </c>
      <c r="R376" s="23" t="s">
        <v>77</v>
      </c>
      <c r="S376" s="23">
        <v>46176</v>
      </c>
      <c r="T376">
        <v>2</v>
      </c>
      <c r="U376">
        <v>6707</v>
      </c>
      <c r="V376">
        <v>0</v>
      </c>
      <c r="W376">
        <v>6707</v>
      </c>
    </row>
    <row r="377" spans="1:23" hidden="1" x14ac:dyDescent="0.25">
      <c r="A377">
        <v>15741</v>
      </c>
      <c r="B377">
        <v>455965933</v>
      </c>
      <c r="C377" t="s">
        <v>2609</v>
      </c>
      <c r="D377" s="8" t="s">
        <v>2610</v>
      </c>
      <c r="E377" t="s">
        <v>644</v>
      </c>
      <c r="G377" t="s">
        <v>53</v>
      </c>
      <c r="H377" t="s">
        <v>54</v>
      </c>
      <c r="I377" t="s">
        <v>30</v>
      </c>
      <c r="J377" t="s">
        <v>55</v>
      </c>
      <c r="K377" t="s">
        <v>27</v>
      </c>
      <c r="L377" t="s">
        <v>2611</v>
      </c>
      <c r="M377" t="s">
        <v>2612</v>
      </c>
      <c r="N377" t="s">
        <v>646</v>
      </c>
      <c r="O377" t="s">
        <v>83</v>
      </c>
      <c r="P377" t="s">
        <v>2613</v>
      </c>
      <c r="Q377" t="s">
        <v>143</v>
      </c>
      <c r="R377" s="23" t="s">
        <v>416</v>
      </c>
      <c r="S377" s="23">
        <v>46176</v>
      </c>
      <c r="T377">
        <v>2</v>
      </c>
      <c r="U377">
        <v>5504</v>
      </c>
      <c r="V377">
        <v>0</v>
      </c>
      <c r="W377">
        <v>5504</v>
      </c>
    </row>
    <row r="378" spans="1:23" hidden="1" x14ac:dyDescent="0.25">
      <c r="A378">
        <v>15741</v>
      </c>
      <c r="B378">
        <v>455963542</v>
      </c>
      <c r="C378" t="s">
        <v>2614</v>
      </c>
      <c r="D378" s="8" t="s">
        <v>2615</v>
      </c>
      <c r="E378" t="s">
        <v>644</v>
      </c>
      <c r="G378" t="s">
        <v>53</v>
      </c>
      <c r="H378" t="s">
        <v>54</v>
      </c>
      <c r="I378" t="s">
        <v>30</v>
      </c>
      <c r="J378" t="s">
        <v>55</v>
      </c>
      <c r="K378" t="s">
        <v>27</v>
      </c>
      <c r="L378" t="s">
        <v>2616</v>
      </c>
      <c r="M378" t="s">
        <v>2617</v>
      </c>
      <c r="N378" t="s">
        <v>646</v>
      </c>
      <c r="O378" t="s">
        <v>83</v>
      </c>
      <c r="P378" t="s">
        <v>2618</v>
      </c>
      <c r="Q378" t="s">
        <v>44</v>
      </c>
      <c r="R378" s="23" t="s">
        <v>2619</v>
      </c>
      <c r="S378" s="23">
        <v>46176</v>
      </c>
      <c r="T378">
        <v>2</v>
      </c>
      <c r="U378">
        <v>5504</v>
      </c>
      <c r="V378">
        <v>0</v>
      </c>
      <c r="W378">
        <v>5504</v>
      </c>
    </row>
    <row r="379" spans="1:23" hidden="1" x14ac:dyDescent="0.25">
      <c r="A379">
        <v>15741</v>
      </c>
      <c r="B379">
        <v>455658845</v>
      </c>
      <c r="C379" t="s">
        <v>2620</v>
      </c>
      <c r="D379" s="8" t="s">
        <v>2621</v>
      </c>
      <c r="E379" t="s">
        <v>644</v>
      </c>
      <c r="G379" t="s">
        <v>53</v>
      </c>
      <c r="H379" t="s">
        <v>54</v>
      </c>
      <c r="I379" t="s">
        <v>30</v>
      </c>
      <c r="J379" t="s">
        <v>55</v>
      </c>
      <c r="K379" t="s">
        <v>27</v>
      </c>
      <c r="L379" t="s">
        <v>2622</v>
      </c>
      <c r="M379" t="s">
        <v>2623</v>
      </c>
      <c r="N379" t="s">
        <v>646</v>
      </c>
      <c r="O379" t="s">
        <v>83</v>
      </c>
      <c r="P379" t="s">
        <v>2624</v>
      </c>
      <c r="Q379" t="s">
        <v>44</v>
      </c>
      <c r="R379" s="23" t="s">
        <v>2625</v>
      </c>
      <c r="S379" s="23">
        <v>46174</v>
      </c>
      <c r="T379">
        <v>132.19</v>
      </c>
      <c r="U379">
        <v>36190</v>
      </c>
      <c r="V379">
        <v>0</v>
      </c>
      <c r="W379">
        <v>36190</v>
      </c>
    </row>
    <row r="380" spans="1:23" hidden="1" x14ac:dyDescent="0.25">
      <c r="A380">
        <v>15741</v>
      </c>
      <c r="B380">
        <v>455962440</v>
      </c>
      <c r="C380" t="s">
        <v>2626</v>
      </c>
      <c r="D380" s="8" t="s">
        <v>2627</v>
      </c>
      <c r="E380" t="s">
        <v>644</v>
      </c>
      <c r="G380" t="s">
        <v>53</v>
      </c>
      <c r="H380" t="s">
        <v>54</v>
      </c>
      <c r="I380" t="s">
        <v>30</v>
      </c>
      <c r="J380" t="s">
        <v>55</v>
      </c>
      <c r="K380" t="s">
        <v>27</v>
      </c>
      <c r="L380" t="s">
        <v>2628</v>
      </c>
      <c r="M380" t="s">
        <v>2629</v>
      </c>
      <c r="N380" t="s">
        <v>646</v>
      </c>
      <c r="O380" t="s">
        <v>83</v>
      </c>
      <c r="P380" t="s">
        <v>2630</v>
      </c>
      <c r="Q380" t="s">
        <v>50</v>
      </c>
      <c r="R380" s="23" t="s">
        <v>449</v>
      </c>
      <c r="S380" s="23">
        <v>46176</v>
      </c>
      <c r="T380">
        <v>2.1</v>
      </c>
      <c r="U380">
        <v>5816</v>
      </c>
      <c r="V380">
        <v>0</v>
      </c>
      <c r="W380">
        <v>5816</v>
      </c>
    </row>
    <row r="381" spans="1:23" hidden="1" x14ac:dyDescent="0.25">
      <c r="A381">
        <v>15741</v>
      </c>
      <c r="B381">
        <v>455961412</v>
      </c>
      <c r="C381" t="s">
        <v>2631</v>
      </c>
      <c r="D381" s="8" t="s">
        <v>2632</v>
      </c>
      <c r="E381" t="s">
        <v>644</v>
      </c>
      <c r="G381" t="s">
        <v>53</v>
      </c>
      <c r="H381" t="s">
        <v>54</v>
      </c>
      <c r="I381" t="s">
        <v>30</v>
      </c>
      <c r="J381" t="s">
        <v>55</v>
      </c>
      <c r="K381" t="s">
        <v>27</v>
      </c>
      <c r="L381" t="s">
        <v>2633</v>
      </c>
      <c r="M381" t="s">
        <v>2634</v>
      </c>
      <c r="N381" t="s">
        <v>646</v>
      </c>
      <c r="O381" t="s">
        <v>83</v>
      </c>
      <c r="P381" t="s">
        <v>2635</v>
      </c>
      <c r="Q381" t="s">
        <v>100</v>
      </c>
      <c r="R381" s="23" t="s">
        <v>637</v>
      </c>
      <c r="S381" s="23">
        <v>46176</v>
      </c>
      <c r="T381">
        <v>2.1</v>
      </c>
      <c r="U381">
        <v>5816</v>
      </c>
      <c r="V381">
        <v>0</v>
      </c>
      <c r="W381">
        <v>5816</v>
      </c>
    </row>
    <row r="382" spans="1:23" hidden="1" x14ac:dyDescent="0.25">
      <c r="A382">
        <v>15741</v>
      </c>
      <c r="B382">
        <v>455961062</v>
      </c>
      <c r="C382" t="s">
        <v>2636</v>
      </c>
      <c r="D382" s="8" t="s">
        <v>2637</v>
      </c>
      <c r="E382" t="s">
        <v>644</v>
      </c>
      <c r="G382" t="s">
        <v>53</v>
      </c>
      <c r="H382" t="s">
        <v>54</v>
      </c>
      <c r="I382" t="s">
        <v>30</v>
      </c>
      <c r="J382" t="s">
        <v>55</v>
      </c>
      <c r="K382" t="s">
        <v>27</v>
      </c>
      <c r="L382" t="s">
        <v>2638</v>
      </c>
      <c r="M382" t="s">
        <v>2639</v>
      </c>
      <c r="N382" t="s">
        <v>646</v>
      </c>
      <c r="O382" t="s">
        <v>83</v>
      </c>
      <c r="P382" t="s">
        <v>2640</v>
      </c>
      <c r="Q382" t="s">
        <v>46</v>
      </c>
      <c r="R382" s="23" t="s">
        <v>502</v>
      </c>
      <c r="S382" s="23">
        <v>46176</v>
      </c>
      <c r="T382">
        <v>2</v>
      </c>
      <c r="U382">
        <v>5504</v>
      </c>
      <c r="V382">
        <v>0</v>
      </c>
      <c r="W382">
        <v>5504</v>
      </c>
    </row>
    <row r="383" spans="1:23" hidden="1" x14ac:dyDescent="0.25">
      <c r="A383">
        <v>15741</v>
      </c>
      <c r="B383">
        <v>455967577</v>
      </c>
      <c r="C383" t="s">
        <v>2641</v>
      </c>
      <c r="D383" s="8" t="s">
        <v>2642</v>
      </c>
      <c r="E383" t="s">
        <v>644</v>
      </c>
      <c r="G383" t="s">
        <v>53</v>
      </c>
      <c r="H383" t="s">
        <v>54</v>
      </c>
      <c r="I383" t="s">
        <v>30</v>
      </c>
      <c r="J383" t="s">
        <v>55</v>
      </c>
      <c r="K383" t="s">
        <v>27</v>
      </c>
      <c r="L383" t="s">
        <v>2643</v>
      </c>
      <c r="M383" t="s">
        <v>2644</v>
      </c>
      <c r="N383" t="s">
        <v>646</v>
      </c>
      <c r="O383" t="s">
        <v>83</v>
      </c>
      <c r="P383" t="s">
        <v>2645</v>
      </c>
      <c r="Q383" t="s">
        <v>52</v>
      </c>
      <c r="R383" s="23" t="s">
        <v>497</v>
      </c>
      <c r="S383" s="23">
        <v>46176</v>
      </c>
      <c r="T383">
        <v>2.2000000000000002</v>
      </c>
      <c r="U383">
        <v>5816</v>
      </c>
      <c r="V383">
        <v>0</v>
      </c>
      <c r="W383">
        <v>5816</v>
      </c>
    </row>
    <row r="384" spans="1:23" hidden="1" x14ac:dyDescent="0.25">
      <c r="A384">
        <v>15741</v>
      </c>
      <c r="B384">
        <v>455652291</v>
      </c>
      <c r="C384" t="s">
        <v>2646</v>
      </c>
      <c r="D384" s="8" t="s">
        <v>2647</v>
      </c>
      <c r="E384" t="s">
        <v>644</v>
      </c>
      <c r="G384" t="s">
        <v>53</v>
      </c>
      <c r="H384" t="s">
        <v>54</v>
      </c>
      <c r="I384" t="s">
        <v>30</v>
      </c>
      <c r="J384" t="s">
        <v>55</v>
      </c>
      <c r="K384" t="s">
        <v>27</v>
      </c>
      <c r="L384" t="s">
        <v>2648</v>
      </c>
      <c r="M384" t="s">
        <v>2649</v>
      </c>
      <c r="N384" t="s">
        <v>646</v>
      </c>
      <c r="O384" t="s">
        <v>83</v>
      </c>
      <c r="P384" t="s">
        <v>2650</v>
      </c>
      <c r="Q384" t="s">
        <v>43</v>
      </c>
      <c r="R384" s="23" t="s">
        <v>359</v>
      </c>
      <c r="S384" s="23">
        <v>46174</v>
      </c>
      <c r="T384">
        <v>39.17</v>
      </c>
      <c r="U384">
        <v>15962</v>
      </c>
      <c r="V384">
        <v>0</v>
      </c>
      <c r="W384">
        <v>15962</v>
      </c>
    </row>
    <row r="385" spans="1:23" hidden="1" x14ac:dyDescent="0.25">
      <c r="A385">
        <v>15741</v>
      </c>
      <c r="B385">
        <v>455966692</v>
      </c>
      <c r="C385" t="s">
        <v>2651</v>
      </c>
      <c r="D385" s="8" t="s">
        <v>2652</v>
      </c>
      <c r="E385" t="s">
        <v>644</v>
      </c>
      <c r="G385" t="s">
        <v>53</v>
      </c>
      <c r="H385" t="s">
        <v>54</v>
      </c>
      <c r="I385" t="s">
        <v>30</v>
      </c>
      <c r="J385" t="s">
        <v>55</v>
      </c>
      <c r="K385" t="s">
        <v>27</v>
      </c>
      <c r="L385" t="s">
        <v>2653</v>
      </c>
      <c r="M385" t="s">
        <v>2654</v>
      </c>
      <c r="N385" t="s">
        <v>646</v>
      </c>
      <c r="O385" t="s">
        <v>83</v>
      </c>
      <c r="P385" t="s">
        <v>2655</v>
      </c>
      <c r="Q385" t="s">
        <v>57</v>
      </c>
      <c r="R385" s="23" t="s">
        <v>415</v>
      </c>
      <c r="S385" s="23">
        <v>46176</v>
      </c>
      <c r="T385">
        <v>7</v>
      </c>
      <c r="U385">
        <v>7172</v>
      </c>
      <c r="V385">
        <v>0</v>
      </c>
      <c r="W385">
        <v>7172</v>
      </c>
    </row>
    <row r="386" spans="1:23" hidden="1" x14ac:dyDescent="0.25">
      <c r="A386">
        <v>15741</v>
      </c>
      <c r="B386">
        <v>455964586</v>
      </c>
      <c r="C386" t="s">
        <v>2656</v>
      </c>
      <c r="D386" s="8" t="s">
        <v>2657</v>
      </c>
      <c r="E386" t="s">
        <v>644</v>
      </c>
      <c r="G386" t="s">
        <v>53</v>
      </c>
      <c r="H386" t="s">
        <v>54</v>
      </c>
      <c r="I386" t="s">
        <v>30</v>
      </c>
      <c r="J386" t="s">
        <v>55</v>
      </c>
      <c r="K386" t="s">
        <v>27</v>
      </c>
      <c r="L386" t="s">
        <v>2658</v>
      </c>
      <c r="M386" t="s">
        <v>2659</v>
      </c>
      <c r="N386" t="s">
        <v>646</v>
      </c>
      <c r="O386" t="s">
        <v>83</v>
      </c>
      <c r="P386" t="s">
        <v>2660</v>
      </c>
      <c r="Q386" t="s">
        <v>135</v>
      </c>
      <c r="R386" s="23" t="s">
        <v>2661</v>
      </c>
      <c r="S386" s="23">
        <v>46176</v>
      </c>
      <c r="T386">
        <v>135</v>
      </c>
      <c r="U386">
        <v>41279</v>
      </c>
      <c r="V386">
        <v>0</v>
      </c>
      <c r="W386">
        <v>41279</v>
      </c>
    </row>
    <row r="387" spans="1:23" hidden="1" x14ac:dyDescent="0.25">
      <c r="A387">
        <v>15741</v>
      </c>
      <c r="B387">
        <v>455968358</v>
      </c>
      <c r="C387" t="s">
        <v>2662</v>
      </c>
      <c r="D387" s="8" t="s">
        <v>2663</v>
      </c>
      <c r="E387" t="s">
        <v>644</v>
      </c>
      <c r="G387" t="s">
        <v>53</v>
      </c>
      <c r="H387" t="s">
        <v>54</v>
      </c>
      <c r="I387" t="s">
        <v>30</v>
      </c>
      <c r="J387" t="s">
        <v>55</v>
      </c>
      <c r="K387" t="s">
        <v>27</v>
      </c>
      <c r="L387" t="s">
        <v>2664</v>
      </c>
      <c r="M387" t="s">
        <v>2665</v>
      </c>
      <c r="N387" t="s">
        <v>646</v>
      </c>
      <c r="O387" t="s">
        <v>83</v>
      </c>
      <c r="P387" t="s">
        <v>2666</v>
      </c>
      <c r="Q387" t="s">
        <v>50</v>
      </c>
      <c r="R387" s="23" t="s">
        <v>414</v>
      </c>
      <c r="S387" s="23">
        <v>46176</v>
      </c>
      <c r="T387">
        <v>2.1</v>
      </c>
      <c r="U387">
        <v>5816</v>
      </c>
      <c r="V387">
        <v>0</v>
      </c>
      <c r="W387">
        <v>5816</v>
      </c>
    </row>
    <row r="388" spans="1:23" hidden="1" x14ac:dyDescent="0.25">
      <c r="A388">
        <v>15741</v>
      </c>
      <c r="B388">
        <v>455969241</v>
      </c>
      <c r="C388" t="s">
        <v>2667</v>
      </c>
      <c r="D388" s="8" t="s">
        <v>2668</v>
      </c>
      <c r="E388" t="s">
        <v>644</v>
      </c>
      <c r="G388" t="s">
        <v>53</v>
      </c>
      <c r="H388" t="s">
        <v>54</v>
      </c>
      <c r="I388" t="s">
        <v>30</v>
      </c>
      <c r="J388" t="s">
        <v>55</v>
      </c>
      <c r="K388" t="s">
        <v>27</v>
      </c>
      <c r="L388" t="s">
        <v>2669</v>
      </c>
      <c r="M388" t="s">
        <v>2670</v>
      </c>
      <c r="N388" t="s">
        <v>646</v>
      </c>
      <c r="O388" t="s">
        <v>83</v>
      </c>
      <c r="P388" t="s">
        <v>2671</v>
      </c>
      <c r="Q388" t="s">
        <v>50</v>
      </c>
      <c r="R388" s="23" t="s">
        <v>2672</v>
      </c>
      <c r="S388" s="23">
        <v>46176</v>
      </c>
      <c r="T388">
        <v>2.1</v>
      </c>
      <c r="U388">
        <v>5816</v>
      </c>
      <c r="V388">
        <v>0</v>
      </c>
      <c r="W388">
        <v>5816</v>
      </c>
    </row>
    <row r="389" spans="1:23" hidden="1" x14ac:dyDescent="0.25">
      <c r="A389">
        <v>15741</v>
      </c>
      <c r="B389">
        <v>455963054</v>
      </c>
      <c r="C389" t="s">
        <v>2673</v>
      </c>
      <c r="D389" s="8" t="s">
        <v>2674</v>
      </c>
      <c r="E389" t="s">
        <v>644</v>
      </c>
      <c r="G389" t="s">
        <v>53</v>
      </c>
      <c r="H389" t="s">
        <v>54</v>
      </c>
      <c r="I389" t="s">
        <v>30</v>
      </c>
      <c r="J389" t="s">
        <v>55</v>
      </c>
      <c r="K389" t="s">
        <v>27</v>
      </c>
      <c r="L389" t="s">
        <v>2675</v>
      </c>
      <c r="M389" t="s">
        <v>2676</v>
      </c>
      <c r="N389" t="s">
        <v>646</v>
      </c>
      <c r="O389" t="s">
        <v>83</v>
      </c>
      <c r="P389" t="s">
        <v>2677</v>
      </c>
      <c r="Q389" t="s">
        <v>43</v>
      </c>
      <c r="R389" s="23" t="s">
        <v>2678</v>
      </c>
      <c r="S389" s="23">
        <v>46176</v>
      </c>
      <c r="T389">
        <v>5.6</v>
      </c>
      <c r="U389">
        <v>6775</v>
      </c>
      <c r="V389">
        <v>0</v>
      </c>
      <c r="W389">
        <v>6775</v>
      </c>
    </row>
    <row r="390" spans="1:23" hidden="1" x14ac:dyDescent="0.25">
      <c r="A390">
        <v>15741</v>
      </c>
      <c r="B390">
        <v>455966697</v>
      </c>
      <c r="C390" t="s">
        <v>2679</v>
      </c>
      <c r="D390" s="8" t="s">
        <v>2680</v>
      </c>
      <c r="E390" t="s">
        <v>644</v>
      </c>
      <c r="G390" t="s">
        <v>53</v>
      </c>
      <c r="H390" t="s">
        <v>54</v>
      </c>
      <c r="I390" t="s">
        <v>30</v>
      </c>
      <c r="J390" t="s">
        <v>55</v>
      </c>
      <c r="K390" t="s">
        <v>27</v>
      </c>
      <c r="L390" t="s">
        <v>2681</v>
      </c>
      <c r="M390" t="s">
        <v>2682</v>
      </c>
      <c r="N390" t="s">
        <v>646</v>
      </c>
      <c r="O390" t="s">
        <v>83</v>
      </c>
      <c r="P390" t="s">
        <v>2683</v>
      </c>
      <c r="Q390" t="s">
        <v>52</v>
      </c>
      <c r="R390" s="23" t="s">
        <v>415</v>
      </c>
      <c r="S390" s="23">
        <v>46176</v>
      </c>
      <c r="T390">
        <v>10.1</v>
      </c>
      <c r="U390">
        <v>8357</v>
      </c>
      <c r="V390">
        <v>0</v>
      </c>
      <c r="W390">
        <v>8357</v>
      </c>
    </row>
    <row r="391" spans="1:23" hidden="1" x14ac:dyDescent="0.25">
      <c r="A391">
        <v>15741</v>
      </c>
      <c r="B391">
        <v>455963998</v>
      </c>
      <c r="C391" t="s">
        <v>2684</v>
      </c>
      <c r="D391" s="8" t="s">
        <v>2685</v>
      </c>
      <c r="E391" t="s">
        <v>644</v>
      </c>
      <c r="G391" t="s">
        <v>53</v>
      </c>
      <c r="H391" t="s">
        <v>54</v>
      </c>
      <c r="I391" t="s">
        <v>30</v>
      </c>
      <c r="J391" t="s">
        <v>55</v>
      </c>
      <c r="K391" t="s">
        <v>27</v>
      </c>
      <c r="L391" t="s">
        <v>2686</v>
      </c>
      <c r="M391" t="s">
        <v>2687</v>
      </c>
      <c r="N391" t="s">
        <v>646</v>
      </c>
      <c r="O391" t="s">
        <v>83</v>
      </c>
      <c r="P391" t="s">
        <v>2688</v>
      </c>
      <c r="Q391" t="s">
        <v>68</v>
      </c>
      <c r="R391" s="23" t="s">
        <v>418</v>
      </c>
      <c r="S391" s="23">
        <v>46176</v>
      </c>
      <c r="T391">
        <v>24.4</v>
      </c>
      <c r="U391">
        <v>11993</v>
      </c>
      <c r="V391">
        <v>0</v>
      </c>
      <c r="W391">
        <v>11993</v>
      </c>
    </row>
    <row r="392" spans="1:23" hidden="1" x14ac:dyDescent="0.25">
      <c r="A392">
        <v>15741</v>
      </c>
      <c r="B392">
        <v>455781023</v>
      </c>
      <c r="C392" t="s">
        <v>2689</v>
      </c>
      <c r="D392" s="8" t="s">
        <v>2690</v>
      </c>
      <c r="E392" t="s">
        <v>644</v>
      </c>
      <c r="G392" t="s">
        <v>53</v>
      </c>
      <c r="H392" t="s">
        <v>54</v>
      </c>
      <c r="I392" t="s">
        <v>30</v>
      </c>
      <c r="J392" t="s">
        <v>55</v>
      </c>
      <c r="K392" t="s">
        <v>27</v>
      </c>
      <c r="L392" t="s">
        <v>2691</v>
      </c>
      <c r="M392" t="s">
        <v>2692</v>
      </c>
      <c r="N392" t="s">
        <v>646</v>
      </c>
      <c r="O392" t="s">
        <v>83</v>
      </c>
      <c r="P392" t="s">
        <v>2693</v>
      </c>
      <c r="Q392" t="s">
        <v>43</v>
      </c>
      <c r="R392" s="23" t="s">
        <v>439</v>
      </c>
      <c r="S392" s="23">
        <v>46175</v>
      </c>
      <c r="T392">
        <v>2</v>
      </c>
      <c r="U392">
        <v>5504</v>
      </c>
      <c r="V392">
        <v>0</v>
      </c>
      <c r="W392">
        <v>5504</v>
      </c>
    </row>
    <row r="393" spans="1:23" hidden="1" x14ac:dyDescent="0.25">
      <c r="A393">
        <v>15741</v>
      </c>
      <c r="B393">
        <v>455653604</v>
      </c>
      <c r="C393" t="s">
        <v>2694</v>
      </c>
      <c r="D393" s="8" t="s">
        <v>2695</v>
      </c>
      <c r="E393" t="s">
        <v>644</v>
      </c>
      <c r="G393" t="s">
        <v>53</v>
      </c>
      <c r="H393" t="s">
        <v>54</v>
      </c>
      <c r="I393" t="s">
        <v>30</v>
      </c>
      <c r="J393" t="s">
        <v>55</v>
      </c>
      <c r="K393" t="s">
        <v>27</v>
      </c>
      <c r="L393" t="s">
        <v>2696</v>
      </c>
      <c r="M393" t="s">
        <v>2697</v>
      </c>
      <c r="N393" t="s">
        <v>646</v>
      </c>
      <c r="O393" t="s">
        <v>83</v>
      </c>
      <c r="P393" t="s">
        <v>2698</v>
      </c>
      <c r="Q393" t="s">
        <v>52</v>
      </c>
      <c r="R393" s="23" t="s">
        <v>246</v>
      </c>
      <c r="S393" s="23">
        <v>46174</v>
      </c>
      <c r="T393">
        <v>2.1</v>
      </c>
      <c r="U393">
        <v>5816</v>
      </c>
      <c r="V393">
        <v>0</v>
      </c>
      <c r="W393">
        <v>5816</v>
      </c>
    </row>
    <row r="394" spans="1:23" hidden="1" x14ac:dyDescent="0.25">
      <c r="A394">
        <v>15741</v>
      </c>
      <c r="B394">
        <v>455657909</v>
      </c>
      <c r="C394" t="s">
        <v>2699</v>
      </c>
      <c r="D394" s="8" t="s">
        <v>2700</v>
      </c>
      <c r="E394" t="s">
        <v>644</v>
      </c>
      <c r="G394" t="s">
        <v>53</v>
      </c>
      <c r="H394" t="s">
        <v>54</v>
      </c>
      <c r="I394" t="s">
        <v>30</v>
      </c>
      <c r="J394" t="s">
        <v>55</v>
      </c>
      <c r="K394" t="s">
        <v>27</v>
      </c>
      <c r="L394" t="s">
        <v>2701</v>
      </c>
      <c r="M394" t="s">
        <v>2702</v>
      </c>
      <c r="N394" t="s">
        <v>646</v>
      </c>
      <c r="O394" t="s">
        <v>83</v>
      </c>
      <c r="P394" t="s">
        <v>2703</v>
      </c>
      <c r="Q394" t="s">
        <v>66</v>
      </c>
      <c r="R394" s="23" t="s">
        <v>491</v>
      </c>
      <c r="S394" s="23">
        <v>46174</v>
      </c>
      <c r="T394">
        <v>2</v>
      </c>
      <c r="U394">
        <v>5504</v>
      </c>
      <c r="V394">
        <v>0</v>
      </c>
      <c r="W394">
        <v>5504</v>
      </c>
    </row>
    <row r="395" spans="1:23" hidden="1" x14ac:dyDescent="0.25">
      <c r="A395">
        <v>15741</v>
      </c>
      <c r="B395">
        <v>455656355</v>
      </c>
      <c r="C395" t="s">
        <v>2704</v>
      </c>
      <c r="D395" s="8" t="s">
        <v>2705</v>
      </c>
      <c r="E395" t="s">
        <v>644</v>
      </c>
      <c r="G395" t="s">
        <v>53</v>
      </c>
      <c r="H395" t="s">
        <v>54</v>
      </c>
      <c r="I395" t="s">
        <v>30</v>
      </c>
      <c r="J395" t="s">
        <v>55</v>
      </c>
      <c r="K395" t="s">
        <v>27</v>
      </c>
      <c r="L395" t="s">
        <v>2706</v>
      </c>
      <c r="M395" t="s">
        <v>2707</v>
      </c>
      <c r="N395" t="s">
        <v>646</v>
      </c>
      <c r="O395" t="s">
        <v>83</v>
      </c>
      <c r="P395" t="s">
        <v>2708</v>
      </c>
      <c r="Q395" t="s">
        <v>50</v>
      </c>
      <c r="R395" s="23" t="s">
        <v>492</v>
      </c>
      <c r="S395" s="23">
        <v>46174</v>
      </c>
      <c r="T395">
        <v>2</v>
      </c>
      <c r="U395">
        <v>5504</v>
      </c>
      <c r="V395">
        <v>0</v>
      </c>
      <c r="W395">
        <v>5504</v>
      </c>
    </row>
    <row r="396" spans="1:23" hidden="1" x14ac:dyDescent="0.25">
      <c r="A396">
        <v>15741</v>
      </c>
      <c r="B396">
        <v>455653970</v>
      </c>
      <c r="C396" t="s">
        <v>2709</v>
      </c>
      <c r="D396" s="8" t="s">
        <v>2710</v>
      </c>
      <c r="E396" t="s">
        <v>644</v>
      </c>
      <c r="G396" t="s">
        <v>53</v>
      </c>
      <c r="H396" t="s">
        <v>54</v>
      </c>
      <c r="I396" t="s">
        <v>30</v>
      </c>
      <c r="J396" t="s">
        <v>55</v>
      </c>
      <c r="K396" t="s">
        <v>27</v>
      </c>
      <c r="L396" t="s">
        <v>2711</v>
      </c>
      <c r="M396" t="s">
        <v>2707</v>
      </c>
      <c r="N396" t="s">
        <v>646</v>
      </c>
      <c r="O396" t="s">
        <v>83</v>
      </c>
      <c r="P396" t="s">
        <v>2712</v>
      </c>
      <c r="Q396" t="s">
        <v>50</v>
      </c>
      <c r="R396" s="23" t="s">
        <v>327</v>
      </c>
      <c r="S396" s="23">
        <v>46174</v>
      </c>
      <c r="T396">
        <v>2</v>
      </c>
      <c r="U396">
        <v>5504</v>
      </c>
      <c r="V396">
        <v>0</v>
      </c>
      <c r="W396">
        <v>5504</v>
      </c>
    </row>
    <row r="397" spans="1:23" hidden="1" x14ac:dyDescent="0.25">
      <c r="A397">
        <v>15741</v>
      </c>
      <c r="B397">
        <v>455762957</v>
      </c>
      <c r="C397" t="s">
        <v>2713</v>
      </c>
      <c r="D397" s="8" t="s">
        <v>2714</v>
      </c>
      <c r="E397" t="s">
        <v>644</v>
      </c>
      <c r="G397" t="s">
        <v>53</v>
      </c>
      <c r="H397" t="s">
        <v>54</v>
      </c>
      <c r="I397" t="s">
        <v>30</v>
      </c>
      <c r="J397" t="s">
        <v>55</v>
      </c>
      <c r="K397" t="s">
        <v>27</v>
      </c>
      <c r="L397" t="s">
        <v>2715</v>
      </c>
      <c r="M397" t="s">
        <v>2716</v>
      </c>
      <c r="N397" t="s">
        <v>646</v>
      </c>
      <c r="O397" t="s">
        <v>83</v>
      </c>
      <c r="P397" t="s">
        <v>2717</v>
      </c>
      <c r="Q397" t="s">
        <v>106</v>
      </c>
      <c r="R397" s="23" t="s">
        <v>575</v>
      </c>
      <c r="S397" s="23">
        <v>46175</v>
      </c>
      <c r="T397">
        <v>7</v>
      </c>
      <c r="U397">
        <v>8635</v>
      </c>
      <c r="V397">
        <v>0</v>
      </c>
      <c r="W397">
        <v>8635</v>
      </c>
    </row>
    <row r="398" spans="1:23" hidden="1" x14ac:dyDescent="0.25">
      <c r="A398">
        <v>15741</v>
      </c>
      <c r="B398">
        <v>455660344</v>
      </c>
      <c r="C398" t="s">
        <v>2718</v>
      </c>
      <c r="D398" s="8" t="s">
        <v>2719</v>
      </c>
      <c r="E398" t="s">
        <v>644</v>
      </c>
      <c r="G398" t="s">
        <v>53</v>
      </c>
      <c r="H398" t="s">
        <v>54</v>
      </c>
      <c r="I398" t="s">
        <v>30</v>
      </c>
      <c r="J398" t="s">
        <v>55</v>
      </c>
      <c r="K398" t="s">
        <v>27</v>
      </c>
      <c r="L398" t="s">
        <v>2720</v>
      </c>
      <c r="M398" t="s">
        <v>2721</v>
      </c>
      <c r="N398" t="s">
        <v>646</v>
      </c>
      <c r="O398" t="s">
        <v>83</v>
      </c>
      <c r="P398" t="s">
        <v>2722</v>
      </c>
      <c r="Q398" t="s">
        <v>50</v>
      </c>
      <c r="R398" s="23" t="s">
        <v>526</v>
      </c>
      <c r="S398" s="23">
        <v>46174</v>
      </c>
      <c r="T398">
        <v>2</v>
      </c>
      <c r="U398">
        <v>5504</v>
      </c>
      <c r="V398">
        <v>0</v>
      </c>
      <c r="W398">
        <v>5504</v>
      </c>
    </row>
    <row r="399" spans="1:23" hidden="1" x14ac:dyDescent="0.25">
      <c r="A399">
        <v>15741</v>
      </c>
      <c r="B399">
        <v>455774112</v>
      </c>
      <c r="C399" t="s">
        <v>2723</v>
      </c>
      <c r="D399" s="8" t="s">
        <v>2724</v>
      </c>
      <c r="E399" t="s">
        <v>644</v>
      </c>
      <c r="G399" t="s">
        <v>53</v>
      </c>
      <c r="H399" t="s">
        <v>54</v>
      </c>
      <c r="I399" t="s">
        <v>30</v>
      </c>
      <c r="J399" t="s">
        <v>55</v>
      </c>
      <c r="K399" t="s">
        <v>27</v>
      </c>
      <c r="L399" t="s">
        <v>2725</v>
      </c>
      <c r="M399" t="s">
        <v>2726</v>
      </c>
      <c r="N399" t="s">
        <v>646</v>
      </c>
      <c r="O399" t="s">
        <v>83</v>
      </c>
      <c r="P399" t="s">
        <v>2727</v>
      </c>
      <c r="Q399" t="s">
        <v>168</v>
      </c>
      <c r="R399" s="23" t="s">
        <v>533</v>
      </c>
      <c r="S399" s="23">
        <v>46175</v>
      </c>
      <c r="T399">
        <v>192.5</v>
      </c>
      <c r="U399">
        <v>59573</v>
      </c>
      <c r="V399">
        <v>31199.95</v>
      </c>
      <c r="W399">
        <v>90772.95</v>
      </c>
    </row>
    <row r="400" spans="1:23" hidden="1" x14ac:dyDescent="0.25">
      <c r="A400">
        <v>15741</v>
      </c>
      <c r="B400">
        <v>455764843</v>
      </c>
      <c r="C400" t="s">
        <v>2728</v>
      </c>
      <c r="D400" s="8" t="s">
        <v>2729</v>
      </c>
      <c r="E400" t="s">
        <v>644</v>
      </c>
      <c r="G400" t="s">
        <v>53</v>
      </c>
      <c r="H400" t="s">
        <v>54</v>
      </c>
      <c r="I400" t="s">
        <v>30</v>
      </c>
      <c r="J400" t="s">
        <v>55</v>
      </c>
      <c r="K400" t="s">
        <v>27</v>
      </c>
      <c r="L400" t="s">
        <v>2730</v>
      </c>
      <c r="M400" t="s">
        <v>2731</v>
      </c>
      <c r="N400" t="s">
        <v>646</v>
      </c>
      <c r="O400" t="s">
        <v>83</v>
      </c>
      <c r="P400" t="s">
        <v>2732</v>
      </c>
      <c r="Q400" t="s">
        <v>70</v>
      </c>
      <c r="R400" s="23" t="s">
        <v>338</v>
      </c>
      <c r="S400" s="23">
        <v>46175</v>
      </c>
      <c r="T400">
        <v>2</v>
      </c>
      <c r="U400">
        <v>5504</v>
      </c>
      <c r="V400">
        <v>0</v>
      </c>
      <c r="W400">
        <v>5504</v>
      </c>
    </row>
    <row r="401" spans="1:23" hidden="1" x14ac:dyDescent="0.25">
      <c r="A401">
        <v>15741</v>
      </c>
      <c r="B401">
        <v>455656833</v>
      </c>
      <c r="C401" t="s">
        <v>2733</v>
      </c>
      <c r="D401" s="8" t="s">
        <v>2734</v>
      </c>
      <c r="E401" t="s">
        <v>644</v>
      </c>
      <c r="G401" t="s">
        <v>53</v>
      </c>
      <c r="H401" t="s">
        <v>54</v>
      </c>
      <c r="I401" t="s">
        <v>30</v>
      </c>
      <c r="J401" t="s">
        <v>55</v>
      </c>
      <c r="K401" t="s">
        <v>27</v>
      </c>
      <c r="L401" t="s">
        <v>2735</v>
      </c>
      <c r="M401" t="s">
        <v>2135</v>
      </c>
      <c r="N401" t="s">
        <v>646</v>
      </c>
      <c r="O401" t="s">
        <v>83</v>
      </c>
      <c r="P401" t="s">
        <v>2136</v>
      </c>
      <c r="Q401" t="s">
        <v>158</v>
      </c>
      <c r="R401" s="23" t="s">
        <v>494</v>
      </c>
      <c r="S401" s="23">
        <v>46174</v>
      </c>
      <c r="T401">
        <v>2</v>
      </c>
      <c r="U401">
        <v>5504</v>
      </c>
      <c r="V401">
        <v>0</v>
      </c>
      <c r="W401">
        <v>5504</v>
      </c>
    </row>
    <row r="402" spans="1:23" hidden="1" x14ac:dyDescent="0.25">
      <c r="A402">
        <v>15741</v>
      </c>
      <c r="B402">
        <v>455652961</v>
      </c>
      <c r="C402" t="s">
        <v>2736</v>
      </c>
      <c r="D402" s="8" t="s">
        <v>2737</v>
      </c>
      <c r="E402" t="s">
        <v>644</v>
      </c>
      <c r="G402" t="s">
        <v>53</v>
      </c>
      <c r="H402" t="s">
        <v>54</v>
      </c>
      <c r="I402" t="s">
        <v>30</v>
      </c>
      <c r="J402" t="s">
        <v>55</v>
      </c>
      <c r="K402" t="s">
        <v>27</v>
      </c>
      <c r="L402" t="s">
        <v>2735</v>
      </c>
      <c r="M402" t="s">
        <v>2135</v>
      </c>
      <c r="N402" t="s">
        <v>646</v>
      </c>
      <c r="O402" t="s">
        <v>83</v>
      </c>
      <c r="P402" t="s">
        <v>2136</v>
      </c>
      <c r="Q402" t="s">
        <v>158</v>
      </c>
      <c r="R402" s="23" t="s">
        <v>420</v>
      </c>
      <c r="S402" s="23">
        <v>46174</v>
      </c>
      <c r="T402">
        <v>2</v>
      </c>
      <c r="U402">
        <v>5504</v>
      </c>
      <c r="V402">
        <v>0</v>
      </c>
      <c r="W402">
        <v>5504</v>
      </c>
    </row>
    <row r="403" spans="1:23" hidden="1" x14ac:dyDescent="0.25">
      <c r="A403">
        <v>15741</v>
      </c>
      <c r="B403">
        <v>455779008</v>
      </c>
      <c r="C403" t="s">
        <v>2738</v>
      </c>
      <c r="D403" s="8" t="s">
        <v>2739</v>
      </c>
      <c r="E403" t="s">
        <v>644</v>
      </c>
      <c r="G403" t="s">
        <v>53</v>
      </c>
      <c r="H403" t="s">
        <v>54</v>
      </c>
      <c r="I403" t="s">
        <v>30</v>
      </c>
      <c r="J403" t="s">
        <v>55</v>
      </c>
      <c r="K403" t="s">
        <v>27</v>
      </c>
      <c r="L403" t="s">
        <v>2740</v>
      </c>
      <c r="M403" t="s">
        <v>2741</v>
      </c>
      <c r="N403" t="s">
        <v>646</v>
      </c>
      <c r="O403" t="s">
        <v>83</v>
      </c>
      <c r="P403" t="s">
        <v>2742</v>
      </c>
      <c r="Q403" t="s">
        <v>43</v>
      </c>
      <c r="R403" s="23" t="s">
        <v>164</v>
      </c>
      <c r="S403" s="23">
        <v>46175</v>
      </c>
      <c r="T403">
        <v>10.1</v>
      </c>
      <c r="U403">
        <v>8357</v>
      </c>
      <c r="V403">
        <v>0</v>
      </c>
      <c r="W403">
        <v>8357</v>
      </c>
    </row>
    <row r="404" spans="1:23" hidden="1" x14ac:dyDescent="0.25">
      <c r="A404">
        <v>15741</v>
      </c>
      <c r="B404">
        <v>455763864</v>
      </c>
      <c r="C404" t="s">
        <v>2743</v>
      </c>
      <c r="D404" s="8" t="s">
        <v>2744</v>
      </c>
      <c r="E404" t="s">
        <v>644</v>
      </c>
      <c r="G404" t="s">
        <v>53</v>
      </c>
      <c r="H404" t="s">
        <v>54</v>
      </c>
      <c r="I404" t="s">
        <v>30</v>
      </c>
      <c r="J404" t="s">
        <v>55</v>
      </c>
      <c r="K404" t="s">
        <v>27</v>
      </c>
      <c r="L404" t="s">
        <v>2745</v>
      </c>
      <c r="M404" t="s">
        <v>2746</v>
      </c>
      <c r="N404" t="s">
        <v>646</v>
      </c>
      <c r="O404" t="s">
        <v>83</v>
      </c>
      <c r="P404" t="s">
        <v>2747</v>
      </c>
      <c r="Q404" t="s">
        <v>50</v>
      </c>
      <c r="R404" s="23" t="s">
        <v>2748</v>
      </c>
      <c r="S404" s="23">
        <v>46175</v>
      </c>
      <c r="T404">
        <v>9</v>
      </c>
      <c r="U404">
        <v>7722</v>
      </c>
      <c r="V404">
        <v>0</v>
      </c>
      <c r="W404">
        <v>7722</v>
      </c>
    </row>
    <row r="405" spans="1:23" hidden="1" x14ac:dyDescent="0.25">
      <c r="A405">
        <v>15741</v>
      </c>
      <c r="B405">
        <v>455766845</v>
      </c>
      <c r="C405" t="s">
        <v>2749</v>
      </c>
      <c r="D405" s="8" t="s">
        <v>2750</v>
      </c>
      <c r="E405" t="s">
        <v>644</v>
      </c>
      <c r="G405" t="s">
        <v>53</v>
      </c>
      <c r="H405" t="s">
        <v>54</v>
      </c>
      <c r="I405" t="s">
        <v>30</v>
      </c>
      <c r="J405" t="s">
        <v>55</v>
      </c>
      <c r="K405" t="s">
        <v>27</v>
      </c>
      <c r="L405" t="s">
        <v>2751</v>
      </c>
      <c r="M405" t="s">
        <v>2752</v>
      </c>
      <c r="N405" t="s">
        <v>646</v>
      </c>
      <c r="O405" t="s">
        <v>83</v>
      </c>
      <c r="P405" t="s">
        <v>2753</v>
      </c>
      <c r="Q405" t="s">
        <v>144</v>
      </c>
      <c r="R405" s="23" t="s">
        <v>99</v>
      </c>
      <c r="S405" s="23">
        <v>46175</v>
      </c>
      <c r="T405">
        <v>2</v>
      </c>
      <c r="U405">
        <v>5504</v>
      </c>
      <c r="V405">
        <v>0</v>
      </c>
      <c r="W405">
        <v>5504</v>
      </c>
    </row>
    <row r="406" spans="1:23" hidden="1" x14ac:dyDescent="0.25">
      <c r="A406">
        <v>15741</v>
      </c>
      <c r="B406">
        <v>455764470</v>
      </c>
      <c r="C406" t="s">
        <v>2754</v>
      </c>
      <c r="D406" s="8" t="s">
        <v>2755</v>
      </c>
      <c r="E406" t="s">
        <v>644</v>
      </c>
      <c r="G406" t="s">
        <v>53</v>
      </c>
      <c r="H406" t="s">
        <v>54</v>
      </c>
      <c r="I406" t="s">
        <v>30</v>
      </c>
      <c r="J406" t="s">
        <v>55</v>
      </c>
      <c r="K406" t="s">
        <v>27</v>
      </c>
      <c r="L406" t="s">
        <v>2756</v>
      </c>
      <c r="M406" t="s">
        <v>2757</v>
      </c>
      <c r="N406" t="s">
        <v>646</v>
      </c>
      <c r="O406" t="s">
        <v>83</v>
      </c>
      <c r="P406" t="s">
        <v>2758</v>
      </c>
      <c r="Q406" t="s">
        <v>50</v>
      </c>
      <c r="R406" s="23" t="s">
        <v>284</v>
      </c>
      <c r="S406" s="23">
        <v>46175</v>
      </c>
      <c r="T406">
        <v>2</v>
      </c>
      <c r="U406">
        <v>5504</v>
      </c>
      <c r="V406">
        <v>0</v>
      </c>
      <c r="W406">
        <v>5504</v>
      </c>
    </row>
    <row r="407" spans="1:23" hidden="1" x14ac:dyDescent="0.25">
      <c r="A407">
        <v>15741</v>
      </c>
      <c r="B407">
        <v>455651857</v>
      </c>
      <c r="C407" t="s">
        <v>2759</v>
      </c>
      <c r="D407" s="8" t="s">
        <v>2760</v>
      </c>
      <c r="E407" t="s">
        <v>644</v>
      </c>
      <c r="G407" t="s">
        <v>53</v>
      </c>
      <c r="H407" t="s">
        <v>54</v>
      </c>
      <c r="I407" t="s">
        <v>30</v>
      </c>
      <c r="J407" t="s">
        <v>55</v>
      </c>
      <c r="K407" t="s">
        <v>27</v>
      </c>
      <c r="L407" t="s">
        <v>2761</v>
      </c>
      <c r="M407" t="s">
        <v>2762</v>
      </c>
      <c r="N407" t="s">
        <v>646</v>
      </c>
      <c r="O407" t="s">
        <v>83</v>
      </c>
      <c r="P407" t="s">
        <v>2763</v>
      </c>
      <c r="Q407" t="s">
        <v>47</v>
      </c>
      <c r="R407" s="23" t="s">
        <v>248</v>
      </c>
      <c r="S407" s="23">
        <v>46174</v>
      </c>
      <c r="T407">
        <v>39.17</v>
      </c>
      <c r="U407">
        <v>15962</v>
      </c>
      <c r="V407">
        <v>0</v>
      </c>
      <c r="W407">
        <v>15962</v>
      </c>
    </row>
    <row r="408" spans="1:23" hidden="1" x14ac:dyDescent="0.25">
      <c r="A408">
        <v>15741</v>
      </c>
      <c r="B408">
        <v>455778388</v>
      </c>
      <c r="C408" t="s">
        <v>2764</v>
      </c>
      <c r="D408" s="8" t="s">
        <v>2765</v>
      </c>
      <c r="E408" t="s">
        <v>644</v>
      </c>
      <c r="G408" t="s">
        <v>53</v>
      </c>
      <c r="H408" t="s">
        <v>54</v>
      </c>
      <c r="I408" t="s">
        <v>30</v>
      </c>
      <c r="J408" t="s">
        <v>55</v>
      </c>
      <c r="K408" t="s">
        <v>27</v>
      </c>
      <c r="L408" t="s">
        <v>2766</v>
      </c>
      <c r="M408" t="s">
        <v>2639</v>
      </c>
      <c r="N408" t="s">
        <v>646</v>
      </c>
      <c r="O408" t="s">
        <v>83</v>
      </c>
      <c r="P408" t="s">
        <v>2767</v>
      </c>
      <c r="Q408" t="s">
        <v>46</v>
      </c>
      <c r="R408" s="23" t="s">
        <v>335</v>
      </c>
      <c r="S408" s="23">
        <v>46175</v>
      </c>
      <c r="T408">
        <v>2</v>
      </c>
      <c r="U408">
        <v>5504</v>
      </c>
      <c r="V408">
        <v>0</v>
      </c>
      <c r="W408">
        <v>5504</v>
      </c>
    </row>
    <row r="409" spans="1:23" hidden="1" x14ac:dyDescent="0.25">
      <c r="A409">
        <v>15741</v>
      </c>
      <c r="B409">
        <v>455661763</v>
      </c>
      <c r="C409" t="s">
        <v>2768</v>
      </c>
      <c r="D409" s="8" t="s">
        <v>2769</v>
      </c>
      <c r="E409" t="s">
        <v>644</v>
      </c>
      <c r="G409" t="s">
        <v>53</v>
      </c>
      <c r="H409" t="s">
        <v>54</v>
      </c>
      <c r="I409" t="s">
        <v>30</v>
      </c>
      <c r="J409" t="s">
        <v>55</v>
      </c>
      <c r="K409" t="s">
        <v>27</v>
      </c>
      <c r="L409" t="s">
        <v>2770</v>
      </c>
      <c r="M409" t="s">
        <v>2771</v>
      </c>
      <c r="N409" t="s">
        <v>646</v>
      </c>
      <c r="O409" t="s">
        <v>83</v>
      </c>
      <c r="P409" t="s">
        <v>2772</v>
      </c>
      <c r="Q409" t="s">
        <v>71</v>
      </c>
      <c r="R409" s="23" t="s">
        <v>149</v>
      </c>
      <c r="S409" s="23">
        <v>46174</v>
      </c>
      <c r="T409">
        <v>20.7</v>
      </c>
      <c r="U409">
        <v>10802</v>
      </c>
      <c r="V409">
        <v>0</v>
      </c>
      <c r="W409">
        <v>10802</v>
      </c>
    </row>
    <row r="410" spans="1:23" hidden="1" x14ac:dyDescent="0.25">
      <c r="A410">
        <v>15741</v>
      </c>
      <c r="B410">
        <v>455659388</v>
      </c>
      <c r="C410" t="s">
        <v>2773</v>
      </c>
      <c r="D410" s="8" t="s">
        <v>2774</v>
      </c>
      <c r="E410" t="s">
        <v>644</v>
      </c>
      <c r="G410" t="s">
        <v>53</v>
      </c>
      <c r="H410" t="s">
        <v>54</v>
      </c>
      <c r="I410" t="s">
        <v>30</v>
      </c>
      <c r="J410" t="s">
        <v>55</v>
      </c>
      <c r="K410" t="s">
        <v>27</v>
      </c>
      <c r="L410" t="s">
        <v>2775</v>
      </c>
      <c r="M410" t="s">
        <v>2776</v>
      </c>
      <c r="N410" t="s">
        <v>646</v>
      </c>
      <c r="O410" t="s">
        <v>83</v>
      </c>
      <c r="P410" t="s">
        <v>2777</v>
      </c>
      <c r="Q410" t="s">
        <v>47</v>
      </c>
      <c r="R410" s="23" t="s">
        <v>527</v>
      </c>
      <c r="S410" s="23">
        <v>46174</v>
      </c>
      <c r="T410">
        <v>12.9</v>
      </c>
      <c r="U410">
        <v>8993</v>
      </c>
      <c r="V410">
        <v>0</v>
      </c>
      <c r="W410">
        <v>8993</v>
      </c>
    </row>
    <row r="411" spans="1:23" hidden="1" x14ac:dyDescent="0.25">
      <c r="A411">
        <v>15741</v>
      </c>
      <c r="B411">
        <v>455763415</v>
      </c>
      <c r="C411" t="s">
        <v>2778</v>
      </c>
      <c r="D411" s="8" t="s">
        <v>2779</v>
      </c>
      <c r="E411" t="s">
        <v>644</v>
      </c>
      <c r="G411" t="s">
        <v>53</v>
      </c>
      <c r="H411" t="s">
        <v>54</v>
      </c>
      <c r="I411" t="s">
        <v>30</v>
      </c>
      <c r="J411" t="s">
        <v>55</v>
      </c>
      <c r="K411" t="s">
        <v>27</v>
      </c>
      <c r="L411" t="s">
        <v>2780</v>
      </c>
      <c r="M411" t="s">
        <v>2781</v>
      </c>
      <c r="N411" t="s">
        <v>646</v>
      </c>
      <c r="O411" t="s">
        <v>83</v>
      </c>
      <c r="P411" t="s">
        <v>2782</v>
      </c>
      <c r="Q411" t="s">
        <v>81</v>
      </c>
      <c r="R411" s="23" t="s">
        <v>85</v>
      </c>
      <c r="S411" s="23">
        <v>46175</v>
      </c>
      <c r="T411">
        <v>39.17</v>
      </c>
      <c r="U411">
        <v>15962</v>
      </c>
      <c r="V411">
        <v>0</v>
      </c>
      <c r="W411">
        <v>15962</v>
      </c>
    </row>
    <row r="412" spans="1:23" hidden="1" x14ac:dyDescent="0.25">
      <c r="A412">
        <v>15741</v>
      </c>
      <c r="B412">
        <v>455765140</v>
      </c>
      <c r="C412" t="s">
        <v>2783</v>
      </c>
      <c r="D412" s="8" t="s">
        <v>2784</v>
      </c>
      <c r="E412" t="s">
        <v>644</v>
      </c>
      <c r="G412" t="s">
        <v>53</v>
      </c>
      <c r="H412" t="s">
        <v>54</v>
      </c>
      <c r="I412" t="s">
        <v>30</v>
      </c>
      <c r="J412" t="s">
        <v>55</v>
      </c>
      <c r="K412" t="s">
        <v>27</v>
      </c>
      <c r="L412" t="s">
        <v>2785</v>
      </c>
      <c r="M412" t="s">
        <v>2786</v>
      </c>
      <c r="N412" t="s">
        <v>646</v>
      </c>
      <c r="O412" t="s">
        <v>83</v>
      </c>
      <c r="P412" t="s">
        <v>2787</v>
      </c>
      <c r="Q412" t="s">
        <v>122</v>
      </c>
      <c r="R412" s="23" t="s">
        <v>337</v>
      </c>
      <c r="S412" s="23">
        <v>46175</v>
      </c>
      <c r="T412">
        <v>138.84</v>
      </c>
      <c r="U412">
        <v>85002</v>
      </c>
      <c r="V412">
        <v>7679.82</v>
      </c>
      <c r="W412">
        <v>92681.82</v>
      </c>
    </row>
    <row r="413" spans="1:23" hidden="1" x14ac:dyDescent="0.25">
      <c r="A413">
        <v>15741</v>
      </c>
      <c r="B413">
        <v>455560346</v>
      </c>
      <c r="C413" t="s">
        <v>2788</v>
      </c>
      <c r="D413" s="8" t="s">
        <v>2789</v>
      </c>
      <c r="E413" t="s">
        <v>644</v>
      </c>
      <c r="G413" t="s">
        <v>53</v>
      </c>
      <c r="H413" t="s">
        <v>54</v>
      </c>
      <c r="I413" t="s">
        <v>30</v>
      </c>
      <c r="J413" t="s">
        <v>55</v>
      </c>
      <c r="K413" t="s">
        <v>27</v>
      </c>
      <c r="L413" t="s">
        <v>2790</v>
      </c>
      <c r="M413" t="s">
        <v>2791</v>
      </c>
      <c r="N413" t="s">
        <v>646</v>
      </c>
      <c r="O413" t="s">
        <v>83</v>
      </c>
      <c r="P413" t="s">
        <v>2792</v>
      </c>
      <c r="Q413" t="s">
        <v>50</v>
      </c>
      <c r="R413" s="23" t="s">
        <v>495</v>
      </c>
      <c r="S413" s="23">
        <v>46174</v>
      </c>
      <c r="T413">
        <v>16.2</v>
      </c>
      <c r="U413">
        <v>10263</v>
      </c>
      <c r="V413">
        <v>0</v>
      </c>
      <c r="W413">
        <v>10263</v>
      </c>
    </row>
    <row r="414" spans="1:23" hidden="1" x14ac:dyDescent="0.25">
      <c r="A414">
        <v>15741</v>
      </c>
      <c r="B414">
        <v>455767425</v>
      </c>
      <c r="C414" t="s">
        <v>2793</v>
      </c>
      <c r="D414" s="8" t="s">
        <v>2794</v>
      </c>
      <c r="E414" t="s">
        <v>644</v>
      </c>
      <c r="G414" t="s">
        <v>53</v>
      </c>
      <c r="H414" t="s">
        <v>54</v>
      </c>
      <c r="I414" t="s">
        <v>30</v>
      </c>
      <c r="J414" t="s">
        <v>55</v>
      </c>
      <c r="K414" t="s">
        <v>27</v>
      </c>
      <c r="L414" t="s">
        <v>2795</v>
      </c>
      <c r="M414" t="s">
        <v>2796</v>
      </c>
      <c r="N414" t="s">
        <v>646</v>
      </c>
      <c r="O414" t="s">
        <v>83</v>
      </c>
      <c r="P414" t="s">
        <v>2797</v>
      </c>
      <c r="Q414" t="s">
        <v>187</v>
      </c>
      <c r="R414" s="23" t="s">
        <v>336</v>
      </c>
      <c r="S414" s="23">
        <v>46175</v>
      </c>
      <c r="T414">
        <v>20.7</v>
      </c>
      <c r="U414">
        <v>10802</v>
      </c>
      <c r="V414">
        <v>0</v>
      </c>
      <c r="W414">
        <v>10802</v>
      </c>
    </row>
    <row r="415" spans="1:23" hidden="1" x14ac:dyDescent="0.25">
      <c r="A415">
        <v>15741</v>
      </c>
      <c r="B415">
        <v>455765390</v>
      </c>
      <c r="C415" t="s">
        <v>2798</v>
      </c>
      <c r="D415" s="8" t="s">
        <v>2799</v>
      </c>
      <c r="E415" t="s">
        <v>644</v>
      </c>
      <c r="G415" t="s">
        <v>53</v>
      </c>
      <c r="H415" t="s">
        <v>54</v>
      </c>
      <c r="I415" t="s">
        <v>30</v>
      </c>
      <c r="J415" t="s">
        <v>55</v>
      </c>
      <c r="K415" t="s">
        <v>27</v>
      </c>
      <c r="L415" t="s">
        <v>2800</v>
      </c>
      <c r="M415" t="s">
        <v>2801</v>
      </c>
      <c r="N415" t="s">
        <v>646</v>
      </c>
      <c r="O415" t="s">
        <v>83</v>
      </c>
      <c r="P415" t="s">
        <v>2802</v>
      </c>
      <c r="Q415" t="s">
        <v>43</v>
      </c>
      <c r="R415" s="23" t="s">
        <v>612</v>
      </c>
      <c r="S415" s="23">
        <v>46175</v>
      </c>
      <c r="T415">
        <v>5.6</v>
      </c>
      <c r="U415">
        <v>6775</v>
      </c>
      <c r="V415">
        <v>0</v>
      </c>
      <c r="W415">
        <v>6775</v>
      </c>
    </row>
    <row r="416" spans="1:23" hidden="1" x14ac:dyDescent="0.25">
      <c r="A416">
        <v>15741</v>
      </c>
      <c r="B416">
        <v>455652755</v>
      </c>
      <c r="C416" t="s">
        <v>2803</v>
      </c>
      <c r="D416" s="8" t="s">
        <v>2804</v>
      </c>
      <c r="E416" t="s">
        <v>644</v>
      </c>
      <c r="G416" t="s">
        <v>53</v>
      </c>
      <c r="H416" t="s">
        <v>54</v>
      </c>
      <c r="I416" t="s">
        <v>30</v>
      </c>
      <c r="J416" t="s">
        <v>55</v>
      </c>
      <c r="K416" t="s">
        <v>27</v>
      </c>
      <c r="L416" t="s">
        <v>2805</v>
      </c>
      <c r="M416" t="s">
        <v>2806</v>
      </c>
      <c r="N416" t="s">
        <v>646</v>
      </c>
      <c r="O416" t="s">
        <v>83</v>
      </c>
      <c r="P416" t="s">
        <v>2807</v>
      </c>
      <c r="Q416" t="s">
        <v>83</v>
      </c>
      <c r="R416" s="23" t="s">
        <v>542</v>
      </c>
      <c r="S416" s="23">
        <v>46174</v>
      </c>
      <c r="T416">
        <v>2.1</v>
      </c>
      <c r="U416">
        <v>5816</v>
      </c>
      <c r="V416">
        <v>0</v>
      </c>
      <c r="W416">
        <v>5816</v>
      </c>
    </row>
    <row r="417" spans="1:23" hidden="1" x14ac:dyDescent="0.25">
      <c r="A417">
        <v>15741</v>
      </c>
      <c r="B417">
        <v>455779499</v>
      </c>
      <c r="C417" t="s">
        <v>2808</v>
      </c>
      <c r="D417" s="8" t="s">
        <v>2809</v>
      </c>
      <c r="E417" t="s">
        <v>644</v>
      </c>
      <c r="G417" t="s">
        <v>53</v>
      </c>
      <c r="H417" t="s">
        <v>54</v>
      </c>
      <c r="I417" t="s">
        <v>30</v>
      </c>
      <c r="J417" t="s">
        <v>55</v>
      </c>
      <c r="K417" t="s">
        <v>27</v>
      </c>
      <c r="L417" t="s">
        <v>2810</v>
      </c>
      <c r="M417" t="s">
        <v>2811</v>
      </c>
      <c r="N417" t="s">
        <v>646</v>
      </c>
      <c r="O417" t="s">
        <v>83</v>
      </c>
      <c r="P417" t="s">
        <v>2812</v>
      </c>
      <c r="Q417" t="s">
        <v>43</v>
      </c>
      <c r="R417" s="23" t="s">
        <v>177</v>
      </c>
      <c r="S417" s="23">
        <v>46175</v>
      </c>
      <c r="T417">
        <v>2.1</v>
      </c>
      <c r="U417">
        <v>5816</v>
      </c>
      <c r="V417">
        <v>0</v>
      </c>
      <c r="W417">
        <v>5816</v>
      </c>
    </row>
    <row r="418" spans="1:23" hidden="1" x14ac:dyDescent="0.25">
      <c r="A418">
        <v>15741</v>
      </c>
      <c r="B418">
        <v>455653304</v>
      </c>
      <c r="C418" t="s">
        <v>2813</v>
      </c>
      <c r="D418" s="8" t="s">
        <v>2814</v>
      </c>
      <c r="E418" t="s">
        <v>644</v>
      </c>
      <c r="G418" t="s">
        <v>53</v>
      </c>
      <c r="H418" t="s">
        <v>54</v>
      </c>
      <c r="I418" t="s">
        <v>30</v>
      </c>
      <c r="J418" t="s">
        <v>55</v>
      </c>
      <c r="K418" t="s">
        <v>27</v>
      </c>
      <c r="L418" t="s">
        <v>2815</v>
      </c>
      <c r="M418" t="s">
        <v>2816</v>
      </c>
      <c r="N418" t="s">
        <v>646</v>
      </c>
      <c r="O418" t="s">
        <v>83</v>
      </c>
      <c r="P418" t="s">
        <v>2817</v>
      </c>
      <c r="Q418" t="s">
        <v>45</v>
      </c>
      <c r="R418" s="23" t="s">
        <v>247</v>
      </c>
      <c r="S418" s="23">
        <v>46174</v>
      </c>
      <c r="T418">
        <v>2</v>
      </c>
      <c r="U418">
        <v>5504</v>
      </c>
      <c r="V418">
        <v>0</v>
      </c>
      <c r="W418">
        <v>5504</v>
      </c>
    </row>
    <row r="419" spans="1:23" hidden="1" x14ac:dyDescent="0.25">
      <c r="A419">
        <v>15741</v>
      </c>
      <c r="B419">
        <v>455660115</v>
      </c>
      <c r="C419" t="s">
        <v>2818</v>
      </c>
      <c r="D419" s="8" t="s">
        <v>2819</v>
      </c>
      <c r="E419" t="s">
        <v>644</v>
      </c>
      <c r="G419" t="s">
        <v>53</v>
      </c>
      <c r="H419" t="s">
        <v>54</v>
      </c>
      <c r="I419" t="s">
        <v>30</v>
      </c>
      <c r="J419" t="s">
        <v>55</v>
      </c>
      <c r="K419" t="s">
        <v>27</v>
      </c>
      <c r="L419" t="s">
        <v>2820</v>
      </c>
      <c r="M419" t="s">
        <v>2821</v>
      </c>
      <c r="N419" t="s">
        <v>646</v>
      </c>
      <c r="O419" t="s">
        <v>83</v>
      </c>
      <c r="P419" t="s">
        <v>2822</v>
      </c>
      <c r="Q419" t="s">
        <v>44</v>
      </c>
      <c r="R419" s="23" t="s">
        <v>363</v>
      </c>
      <c r="S419" s="23">
        <v>46174</v>
      </c>
      <c r="T419">
        <v>2.1</v>
      </c>
      <c r="U419">
        <v>5816</v>
      </c>
      <c r="V419">
        <v>0</v>
      </c>
      <c r="W419">
        <v>5816</v>
      </c>
    </row>
    <row r="420" spans="1:23" hidden="1" x14ac:dyDescent="0.25">
      <c r="A420">
        <v>15741</v>
      </c>
      <c r="B420">
        <v>455660646</v>
      </c>
      <c r="C420" t="s">
        <v>2823</v>
      </c>
      <c r="D420" s="8" t="s">
        <v>2824</v>
      </c>
      <c r="E420" t="s">
        <v>644</v>
      </c>
      <c r="G420" t="s">
        <v>53</v>
      </c>
      <c r="H420" t="s">
        <v>54</v>
      </c>
      <c r="I420" t="s">
        <v>30</v>
      </c>
      <c r="J420" t="s">
        <v>55</v>
      </c>
      <c r="K420" t="s">
        <v>27</v>
      </c>
      <c r="L420" t="s">
        <v>2825</v>
      </c>
      <c r="M420" t="s">
        <v>2826</v>
      </c>
      <c r="N420" t="s">
        <v>646</v>
      </c>
      <c r="O420" t="s">
        <v>83</v>
      </c>
      <c r="P420" t="s">
        <v>2827</v>
      </c>
      <c r="Q420" t="s">
        <v>48</v>
      </c>
      <c r="R420" s="23" t="s">
        <v>606</v>
      </c>
      <c r="S420" s="23">
        <v>46174</v>
      </c>
      <c r="T420">
        <v>2.1</v>
      </c>
      <c r="U420">
        <v>5816</v>
      </c>
      <c r="V420">
        <v>0</v>
      </c>
      <c r="W420">
        <v>5816</v>
      </c>
    </row>
    <row r="421" spans="1:23" hidden="1" x14ac:dyDescent="0.25">
      <c r="A421">
        <v>15741</v>
      </c>
      <c r="B421">
        <v>455659850</v>
      </c>
      <c r="C421" t="s">
        <v>2828</v>
      </c>
      <c r="D421" s="8" t="s">
        <v>2829</v>
      </c>
      <c r="E421" t="s">
        <v>644</v>
      </c>
      <c r="G421" t="s">
        <v>53</v>
      </c>
      <c r="H421" t="s">
        <v>54</v>
      </c>
      <c r="I421" t="s">
        <v>30</v>
      </c>
      <c r="J421" t="s">
        <v>55</v>
      </c>
      <c r="K421" t="s">
        <v>27</v>
      </c>
      <c r="L421" t="s">
        <v>2830</v>
      </c>
      <c r="M421" t="s">
        <v>2831</v>
      </c>
      <c r="N421" t="s">
        <v>646</v>
      </c>
      <c r="O421" t="s">
        <v>83</v>
      </c>
      <c r="P421" t="s">
        <v>2832</v>
      </c>
      <c r="Q421" t="s">
        <v>144</v>
      </c>
      <c r="R421" s="23" t="s">
        <v>183</v>
      </c>
      <c r="S421" s="23">
        <v>46174</v>
      </c>
      <c r="T421">
        <v>2</v>
      </c>
      <c r="U421">
        <v>5504</v>
      </c>
      <c r="V421">
        <v>0</v>
      </c>
      <c r="W421">
        <v>5504</v>
      </c>
    </row>
    <row r="422" spans="1:23" hidden="1" x14ac:dyDescent="0.25">
      <c r="A422">
        <v>15741</v>
      </c>
      <c r="B422">
        <v>455762704</v>
      </c>
      <c r="C422" t="s">
        <v>2833</v>
      </c>
      <c r="D422" s="8" t="s">
        <v>2834</v>
      </c>
      <c r="E422" t="s">
        <v>644</v>
      </c>
      <c r="G422" t="s">
        <v>53</v>
      </c>
      <c r="H422" t="s">
        <v>54</v>
      </c>
      <c r="I422" t="s">
        <v>30</v>
      </c>
      <c r="J422" t="s">
        <v>55</v>
      </c>
      <c r="K422" t="s">
        <v>27</v>
      </c>
      <c r="L422" t="s">
        <v>2835</v>
      </c>
      <c r="M422" t="s">
        <v>2836</v>
      </c>
      <c r="N422" t="s">
        <v>646</v>
      </c>
      <c r="O422" t="s">
        <v>83</v>
      </c>
      <c r="P422" t="s">
        <v>2837</v>
      </c>
      <c r="Q422" t="s">
        <v>52</v>
      </c>
      <c r="R422" s="23" t="s">
        <v>194</v>
      </c>
      <c r="S422" s="23">
        <v>46175</v>
      </c>
      <c r="T422">
        <v>2</v>
      </c>
      <c r="U422">
        <v>5504</v>
      </c>
      <c r="V422">
        <v>0</v>
      </c>
      <c r="W422">
        <v>5504</v>
      </c>
    </row>
    <row r="423" spans="1:23" hidden="1" x14ac:dyDescent="0.25">
      <c r="A423">
        <v>15741</v>
      </c>
      <c r="B423">
        <v>455657228</v>
      </c>
      <c r="C423" t="s">
        <v>2838</v>
      </c>
      <c r="D423" s="8" t="s">
        <v>2839</v>
      </c>
      <c r="E423" t="s">
        <v>644</v>
      </c>
      <c r="G423" t="s">
        <v>53</v>
      </c>
      <c r="H423" t="s">
        <v>54</v>
      </c>
      <c r="I423" t="s">
        <v>30</v>
      </c>
      <c r="J423" t="s">
        <v>55</v>
      </c>
      <c r="K423" t="s">
        <v>27</v>
      </c>
      <c r="L423" t="s">
        <v>2840</v>
      </c>
      <c r="M423" t="s">
        <v>2841</v>
      </c>
      <c r="N423" t="s">
        <v>646</v>
      </c>
      <c r="O423" t="s">
        <v>83</v>
      </c>
      <c r="P423" t="s">
        <v>2842</v>
      </c>
      <c r="Q423" t="s">
        <v>44</v>
      </c>
      <c r="R423" s="23" t="s">
        <v>419</v>
      </c>
      <c r="S423" s="23">
        <v>46174</v>
      </c>
      <c r="T423">
        <v>2</v>
      </c>
      <c r="U423">
        <v>5504</v>
      </c>
      <c r="V423">
        <v>0</v>
      </c>
      <c r="W423">
        <v>5504</v>
      </c>
    </row>
    <row r="424" spans="1:23" hidden="1" x14ac:dyDescent="0.25">
      <c r="A424">
        <v>15741</v>
      </c>
      <c r="B424">
        <v>455650755</v>
      </c>
      <c r="C424" t="s">
        <v>2843</v>
      </c>
      <c r="D424" s="8" t="s">
        <v>2844</v>
      </c>
      <c r="E424" t="s">
        <v>644</v>
      </c>
      <c r="G424" t="s">
        <v>53</v>
      </c>
      <c r="H424" t="s">
        <v>54</v>
      </c>
      <c r="I424" t="s">
        <v>30</v>
      </c>
      <c r="J424" t="s">
        <v>55</v>
      </c>
      <c r="K424" t="s">
        <v>27</v>
      </c>
      <c r="L424" t="s">
        <v>2845</v>
      </c>
      <c r="M424" t="s">
        <v>2846</v>
      </c>
      <c r="N424" t="s">
        <v>646</v>
      </c>
      <c r="O424" t="s">
        <v>83</v>
      </c>
      <c r="P424" t="s">
        <v>2847</v>
      </c>
      <c r="Q424" t="s">
        <v>43</v>
      </c>
      <c r="R424" s="23" t="s">
        <v>457</v>
      </c>
      <c r="S424" s="23">
        <v>46174</v>
      </c>
      <c r="T424">
        <v>2.1</v>
      </c>
      <c r="U424">
        <v>5816</v>
      </c>
      <c r="V424">
        <v>0</v>
      </c>
      <c r="W424">
        <v>5816</v>
      </c>
    </row>
    <row r="425" spans="1:23" hidden="1" x14ac:dyDescent="0.25">
      <c r="A425">
        <v>15741</v>
      </c>
      <c r="B425">
        <v>455766785</v>
      </c>
      <c r="C425" t="s">
        <v>2848</v>
      </c>
      <c r="D425" s="8" t="s">
        <v>2849</v>
      </c>
      <c r="E425" t="s">
        <v>644</v>
      </c>
      <c r="G425" t="s">
        <v>53</v>
      </c>
      <c r="H425" t="s">
        <v>54</v>
      </c>
      <c r="I425" t="s">
        <v>30</v>
      </c>
      <c r="J425" t="s">
        <v>55</v>
      </c>
      <c r="K425" t="s">
        <v>27</v>
      </c>
      <c r="L425" t="s">
        <v>2850</v>
      </c>
      <c r="M425" t="s">
        <v>2851</v>
      </c>
      <c r="N425" t="s">
        <v>646</v>
      </c>
      <c r="O425" t="s">
        <v>83</v>
      </c>
      <c r="P425" t="s">
        <v>2852</v>
      </c>
      <c r="Q425" t="s">
        <v>47</v>
      </c>
      <c r="R425" s="23" t="s">
        <v>283</v>
      </c>
      <c r="S425" s="23">
        <v>46175</v>
      </c>
      <c r="T425">
        <v>5.6</v>
      </c>
      <c r="U425">
        <v>6775</v>
      </c>
      <c r="V425">
        <v>0</v>
      </c>
      <c r="W425">
        <v>6775</v>
      </c>
    </row>
    <row r="426" spans="1:23" hidden="1" x14ac:dyDescent="0.25">
      <c r="A426">
        <v>15741</v>
      </c>
      <c r="B426">
        <v>455651192</v>
      </c>
      <c r="C426" t="s">
        <v>2853</v>
      </c>
      <c r="D426" s="8" t="s">
        <v>2854</v>
      </c>
      <c r="E426" t="s">
        <v>644</v>
      </c>
      <c r="G426" t="s">
        <v>53</v>
      </c>
      <c r="H426" t="s">
        <v>54</v>
      </c>
      <c r="I426" t="s">
        <v>30</v>
      </c>
      <c r="J426" t="s">
        <v>55</v>
      </c>
      <c r="K426" t="s">
        <v>27</v>
      </c>
      <c r="L426" t="s">
        <v>2855</v>
      </c>
      <c r="M426" t="s">
        <v>2856</v>
      </c>
      <c r="N426" t="s">
        <v>646</v>
      </c>
      <c r="O426" t="s">
        <v>83</v>
      </c>
      <c r="P426" t="s">
        <v>2857</v>
      </c>
      <c r="Q426" t="s">
        <v>44</v>
      </c>
      <c r="R426" s="23" t="s">
        <v>288</v>
      </c>
      <c r="S426" s="23">
        <v>46174</v>
      </c>
      <c r="T426">
        <v>2.1</v>
      </c>
      <c r="U426">
        <v>5816</v>
      </c>
      <c r="V426">
        <v>0</v>
      </c>
      <c r="W426">
        <v>5816</v>
      </c>
    </row>
    <row r="427" spans="1:23" hidden="1" x14ac:dyDescent="0.25">
      <c r="A427">
        <v>15741</v>
      </c>
      <c r="B427">
        <v>455780048</v>
      </c>
      <c r="C427" t="s">
        <v>2858</v>
      </c>
      <c r="D427" s="8" t="s">
        <v>2859</v>
      </c>
      <c r="E427" t="s">
        <v>644</v>
      </c>
      <c r="G427" t="s">
        <v>53</v>
      </c>
      <c r="H427" t="s">
        <v>54</v>
      </c>
      <c r="I427" t="s">
        <v>30</v>
      </c>
      <c r="J427" t="s">
        <v>55</v>
      </c>
      <c r="K427" t="s">
        <v>27</v>
      </c>
      <c r="L427" t="s">
        <v>2860</v>
      </c>
      <c r="M427" t="s">
        <v>2861</v>
      </c>
      <c r="N427" t="s">
        <v>646</v>
      </c>
      <c r="O427" t="s">
        <v>83</v>
      </c>
      <c r="P427" t="s">
        <v>2862</v>
      </c>
      <c r="Q427" t="s">
        <v>43</v>
      </c>
      <c r="R427" s="23" t="s">
        <v>134</v>
      </c>
      <c r="S427" s="23">
        <v>46175</v>
      </c>
      <c r="T427">
        <v>6.9</v>
      </c>
      <c r="U427">
        <v>7086</v>
      </c>
      <c r="V427">
        <v>0</v>
      </c>
      <c r="W427">
        <v>7086</v>
      </c>
    </row>
    <row r="428" spans="1:23" hidden="1" x14ac:dyDescent="0.25">
      <c r="A428">
        <v>15741</v>
      </c>
      <c r="B428">
        <v>455661241</v>
      </c>
      <c r="C428" t="s">
        <v>2863</v>
      </c>
      <c r="D428" s="8" t="s">
        <v>2864</v>
      </c>
      <c r="E428" t="s">
        <v>644</v>
      </c>
      <c r="G428" t="s">
        <v>53</v>
      </c>
      <c r="H428" t="s">
        <v>54</v>
      </c>
      <c r="I428" t="s">
        <v>30</v>
      </c>
      <c r="J428" t="s">
        <v>55</v>
      </c>
      <c r="K428" t="s">
        <v>27</v>
      </c>
      <c r="L428" t="s">
        <v>2865</v>
      </c>
      <c r="M428" t="s">
        <v>2866</v>
      </c>
      <c r="N428" t="s">
        <v>646</v>
      </c>
      <c r="O428" t="s">
        <v>83</v>
      </c>
      <c r="P428" t="s">
        <v>2867</v>
      </c>
      <c r="Q428" t="s">
        <v>47</v>
      </c>
      <c r="R428" s="23" t="s">
        <v>2868</v>
      </c>
      <c r="S428" s="23">
        <v>46174</v>
      </c>
      <c r="T428">
        <v>12.3</v>
      </c>
      <c r="U428">
        <v>8993</v>
      </c>
      <c r="V428">
        <v>0</v>
      </c>
      <c r="W428">
        <v>8993</v>
      </c>
    </row>
    <row r="429" spans="1:23" hidden="1" x14ac:dyDescent="0.25">
      <c r="A429">
        <v>15741</v>
      </c>
      <c r="B429">
        <v>455658206</v>
      </c>
      <c r="C429" t="s">
        <v>2869</v>
      </c>
      <c r="D429" s="8" t="s">
        <v>2870</v>
      </c>
      <c r="E429" t="s">
        <v>644</v>
      </c>
      <c r="G429" t="s">
        <v>53</v>
      </c>
      <c r="H429" t="s">
        <v>54</v>
      </c>
      <c r="I429" t="s">
        <v>30</v>
      </c>
      <c r="J429" t="s">
        <v>55</v>
      </c>
      <c r="K429" t="s">
        <v>27</v>
      </c>
      <c r="L429" t="s">
        <v>2871</v>
      </c>
      <c r="M429" t="s">
        <v>2872</v>
      </c>
      <c r="N429" t="s">
        <v>646</v>
      </c>
      <c r="O429" t="s">
        <v>83</v>
      </c>
      <c r="P429" t="s">
        <v>2873</v>
      </c>
      <c r="Q429" t="s">
        <v>50</v>
      </c>
      <c r="R429" s="23" t="s">
        <v>493</v>
      </c>
      <c r="S429" s="23">
        <v>46174</v>
      </c>
      <c r="T429">
        <v>2</v>
      </c>
      <c r="U429">
        <v>5504</v>
      </c>
      <c r="V429">
        <v>0</v>
      </c>
      <c r="W429">
        <v>5504</v>
      </c>
    </row>
    <row r="430" spans="1:23" hidden="1" x14ac:dyDescent="0.25">
      <c r="A430">
        <v>15741</v>
      </c>
      <c r="B430">
        <v>455655844</v>
      </c>
      <c r="C430" t="s">
        <v>2874</v>
      </c>
      <c r="D430" s="8" t="s">
        <v>2875</v>
      </c>
      <c r="E430" t="s">
        <v>644</v>
      </c>
      <c r="G430" t="s">
        <v>53</v>
      </c>
      <c r="H430" t="s">
        <v>54</v>
      </c>
      <c r="I430" t="s">
        <v>30</v>
      </c>
      <c r="J430" t="s">
        <v>55</v>
      </c>
      <c r="K430" t="s">
        <v>27</v>
      </c>
      <c r="L430" t="s">
        <v>2876</v>
      </c>
      <c r="M430" t="s">
        <v>2877</v>
      </c>
      <c r="N430" t="s">
        <v>646</v>
      </c>
      <c r="O430" t="s">
        <v>83</v>
      </c>
      <c r="P430" t="s">
        <v>2878</v>
      </c>
      <c r="Q430" t="s">
        <v>45</v>
      </c>
      <c r="R430" s="23" t="s">
        <v>245</v>
      </c>
      <c r="S430" s="23">
        <v>46174</v>
      </c>
      <c r="T430">
        <v>12.9</v>
      </c>
      <c r="U430">
        <v>8993</v>
      </c>
      <c r="V430">
        <v>0</v>
      </c>
      <c r="W430">
        <v>8993</v>
      </c>
    </row>
    <row r="431" spans="1:23" hidden="1" x14ac:dyDescent="0.25">
      <c r="A431">
        <v>15741</v>
      </c>
      <c r="B431">
        <v>455780651</v>
      </c>
      <c r="C431" t="s">
        <v>2879</v>
      </c>
      <c r="D431" s="8" t="s">
        <v>2880</v>
      </c>
      <c r="E431" t="s">
        <v>644</v>
      </c>
      <c r="G431" t="s">
        <v>53</v>
      </c>
      <c r="H431" t="s">
        <v>54</v>
      </c>
      <c r="I431" t="s">
        <v>30</v>
      </c>
      <c r="J431" t="s">
        <v>55</v>
      </c>
      <c r="K431" t="s">
        <v>27</v>
      </c>
      <c r="L431" t="s">
        <v>2881</v>
      </c>
      <c r="M431" t="s">
        <v>2882</v>
      </c>
      <c r="N431" t="s">
        <v>646</v>
      </c>
      <c r="O431" t="s">
        <v>83</v>
      </c>
      <c r="P431" t="s">
        <v>2883</v>
      </c>
      <c r="Q431" t="s">
        <v>87</v>
      </c>
      <c r="R431" s="23" t="s">
        <v>532</v>
      </c>
      <c r="S431" s="23">
        <v>46175</v>
      </c>
      <c r="T431">
        <v>2.1</v>
      </c>
      <c r="U431">
        <v>5816</v>
      </c>
      <c r="V431">
        <v>0</v>
      </c>
      <c r="W431">
        <v>5816</v>
      </c>
    </row>
    <row r="432" spans="1:23" hidden="1" x14ac:dyDescent="0.25">
      <c r="A432">
        <v>15741</v>
      </c>
      <c r="B432">
        <v>455778022</v>
      </c>
      <c r="C432" t="s">
        <v>2884</v>
      </c>
      <c r="D432" s="8" t="s">
        <v>2885</v>
      </c>
      <c r="E432" t="s">
        <v>644</v>
      </c>
      <c r="G432" t="s">
        <v>53</v>
      </c>
      <c r="H432" t="s">
        <v>54</v>
      </c>
      <c r="I432" t="s">
        <v>30</v>
      </c>
      <c r="J432" t="s">
        <v>55</v>
      </c>
      <c r="K432" t="s">
        <v>27</v>
      </c>
      <c r="L432" t="s">
        <v>2886</v>
      </c>
      <c r="M432" t="s">
        <v>2887</v>
      </c>
      <c r="N432" t="s">
        <v>646</v>
      </c>
      <c r="O432" t="s">
        <v>83</v>
      </c>
      <c r="P432" t="s">
        <v>2888</v>
      </c>
      <c r="Q432" t="s">
        <v>150</v>
      </c>
      <c r="R432" s="23" t="s">
        <v>2889</v>
      </c>
      <c r="S432" s="23">
        <v>46175</v>
      </c>
      <c r="T432">
        <v>2</v>
      </c>
      <c r="U432">
        <v>5504</v>
      </c>
      <c r="V432">
        <v>0</v>
      </c>
      <c r="W432">
        <v>5504</v>
      </c>
    </row>
    <row r="433" spans="1:23" hidden="1" x14ac:dyDescent="0.25">
      <c r="A433">
        <v>15741</v>
      </c>
      <c r="B433">
        <v>455776466</v>
      </c>
      <c r="C433" t="s">
        <v>2890</v>
      </c>
      <c r="D433" s="8" t="s">
        <v>2891</v>
      </c>
      <c r="E433" t="s">
        <v>644</v>
      </c>
      <c r="G433" t="s">
        <v>53</v>
      </c>
      <c r="H433" t="s">
        <v>54</v>
      </c>
      <c r="I433" t="s">
        <v>30</v>
      </c>
      <c r="J433" t="s">
        <v>55</v>
      </c>
      <c r="K433" t="s">
        <v>27</v>
      </c>
      <c r="L433" t="s">
        <v>2886</v>
      </c>
      <c r="M433" t="s">
        <v>2892</v>
      </c>
      <c r="N433" t="s">
        <v>646</v>
      </c>
      <c r="O433" t="s">
        <v>83</v>
      </c>
      <c r="P433" t="s">
        <v>2893</v>
      </c>
      <c r="Q433" t="s">
        <v>150</v>
      </c>
      <c r="R433" s="23" t="s">
        <v>282</v>
      </c>
      <c r="S433" s="23">
        <v>46175</v>
      </c>
      <c r="T433">
        <v>2.1</v>
      </c>
      <c r="U433">
        <v>5816</v>
      </c>
      <c r="V433">
        <v>0</v>
      </c>
      <c r="W433">
        <v>5816</v>
      </c>
    </row>
    <row r="434" spans="1:23" hidden="1" x14ac:dyDescent="0.25">
      <c r="A434">
        <v>15741</v>
      </c>
      <c r="B434">
        <v>455766391</v>
      </c>
      <c r="C434" t="s">
        <v>2894</v>
      </c>
      <c r="D434" s="8" t="s">
        <v>2895</v>
      </c>
      <c r="E434" t="s">
        <v>644</v>
      </c>
      <c r="G434" t="s">
        <v>53</v>
      </c>
      <c r="H434" t="s">
        <v>54</v>
      </c>
      <c r="I434" t="s">
        <v>30</v>
      </c>
      <c r="J434" t="s">
        <v>55</v>
      </c>
      <c r="K434" t="s">
        <v>27</v>
      </c>
      <c r="L434" t="s">
        <v>2896</v>
      </c>
      <c r="M434" t="s">
        <v>2897</v>
      </c>
      <c r="N434" t="s">
        <v>646</v>
      </c>
      <c r="O434" t="s">
        <v>83</v>
      </c>
      <c r="P434" t="s">
        <v>2898</v>
      </c>
      <c r="Q434" t="s">
        <v>45</v>
      </c>
      <c r="R434" s="23" t="s">
        <v>243</v>
      </c>
      <c r="S434" s="23">
        <v>46175</v>
      </c>
      <c r="T434">
        <v>81</v>
      </c>
      <c r="U434">
        <v>26503</v>
      </c>
      <c r="V434">
        <v>0</v>
      </c>
      <c r="W434">
        <v>26503</v>
      </c>
    </row>
    <row r="435" spans="1:23" hidden="1" x14ac:dyDescent="0.25">
      <c r="A435">
        <v>15741</v>
      </c>
      <c r="B435">
        <v>455781409</v>
      </c>
      <c r="C435" t="s">
        <v>2899</v>
      </c>
      <c r="D435" s="8" t="s">
        <v>2900</v>
      </c>
      <c r="E435" t="s">
        <v>644</v>
      </c>
      <c r="G435" t="s">
        <v>53</v>
      </c>
      <c r="H435" t="s">
        <v>54</v>
      </c>
      <c r="I435" t="s">
        <v>30</v>
      </c>
      <c r="J435" t="s">
        <v>55</v>
      </c>
      <c r="K435" t="s">
        <v>27</v>
      </c>
      <c r="L435" t="s">
        <v>2901</v>
      </c>
      <c r="M435" t="s">
        <v>2902</v>
      </c>
      <c r="N435" t="s">
        <v>646</v>
      </c>
      <c r="O435" t="s">
        <v>83</v>
      </c>
      <c r="P435" t="s">
        <v>2903</v>
      </c>
      <c r="Q435" t="s">
        <v>44</v>
      </c>
      <c r="R435" s="23" t="s">
        <v>2904</v>
      </c>
      <c r="S435" s="23">
        <v>46175</v>
      </c>
      <c r="T435">
        <v>5.6</v>
      </c>
      <c r="U435">
        <v>6775</v>
      </c>
      <c r="V435">
        <v>0</v>
      </c>
      <c r="W435">
        <v>6775</v>
      </c>
    </row>
    <row r="436" spans="1:23" hidden="1" x14ac:dyDescent="0.25">
      <c r="A436">
        <v>15741</v>
      </c>
      <c r="B436">
        <v>455566110</v>
      </c>
      <c r="C436" t="s">
        <v>2905</v>
      </c>
      <c r="D436" s="8" t="s">
        <v>2906</v>
      </c>
      <c r="E436" t="s">
        <v>644</v>
      </c>
      <c r="G436" t="s">
        <v>53</v>
      </c>
      <c r="H436" t="s">
        <v>54</v>
      </c>
      <c r="I436" t="s">
        <v>30</v>
      </c>
      <c r="J436" t="s">
        <v>55</v>
      </c>
      <c r="K436" t="s">
        <v>27</v>
      </c>
      <c r="L436" t="s">
        <v>2907</v>
      </c>
      <c r="M436" t="s">
        <v>2908</v>
      </c>
      <c r="N436" t="s">
        <v>646</v>
      </c>
      <c r="O436" t="s">
        <v>83</v>
      </c>
      <c r="P436" t="s">
        <v>2909</v>
      </c>
      <c r="Q436" t="s">
        <v>44</v>
      </c>
      <c r="R436" s="23" t="s">
        <v>2910</v>
      </c>
      <c r="S436" s="23">
        <v>46174</v>
      </c>
      <c r="T436">
        <v>1.8</v>
      </c>
      <c r="U436">
        <v>5504</v>
      </c>
      <c r="V436">
        <v>0</v>
      </c>
      <c r="W436">
        <v>5504</v>
      </c>
    </row>
    <row r="437" spans="1:23" hidden="1" x14ac:dyDescent="0.25">
      <c r="A437">
        <v>15741</v>
      </c>
      <c r="B437">
        <v>455571553</v>
      </c>
      <c r="C437" t="s">
        <v>2911</v>
      </c>
      <c r="D437" s="8" t="s">
        <v>2912</v>
      </c>
      <c r="E437" t="s">
        <v>644</v>
      </c>
      <c r="G437" t="s">
        <v>53</v>
      </c>
      <c r="H437" t="s">
        <v>54</v>
      </c>
      <c r="I437" t="s">
        <v>30</v>
      </c>
      <c r="J437" t="s">
        <v>55</v>
      </c>
      <c r="K437" t="s">
        <v>27</v>
      </c>
      <c r="L437" t="s">
        <v>2913</v>
      </c>
      <c r="M437" t="s">
        <v>2914</v>
      </c>
      <c r="N437" t="s">
        <v>646</v>
      </c>
      <c r="O437" t="s">
        <v>83</v>
      </c>
      <c r="P437" t="s">
        <v>2915</v>
      </c>
      <c r="Q437" t="s">
        <v>43</v>
      </c>
      <c r="R437" s="23" t="s">
        <v>292</v>
      </c>
      <c r="S437" s="23">
        <v>46174</v>
      </c>
      <c r="T437">
        <v>1.8</v>
      </c>
      <c r="U437">
        <v>5504</v>
      </c>
      <c r="V437">
        <v>0</v>
      </c>
      <c r="W437">
        <v>5504</v>
      </c>
    </row>
    <row r="438" spans="1:23" hidden="1" x14ac:dyDescent="0.25">
      <c r="A438">
        <v>15741</v>
      </c>
      <c r="B438">
        <v>455571023</v>
      </c>
      <c r="C438" t="s">
        <v>2916</v>
      </c>
      <c r="D438" s="8" t="s">
        <v>2917</v>
      </c>
      <c r="E438" t="s">
        <v>644</v>
      </c>
      <c r="G438" t="s">
        <v>53</v>
      </c>
      <c r="H438" t="s">
        <v>54</v>
      </c>
      <c r="I438" t="s">
        <v>30</v>
      </c>
      <c r="J438" t="s">
        <v>55</v>
      </c>
      <c r="K438" t="s">
        <v>27</v>
      </c>
      <c r="L438" t="s">
        <v>2918</v>
      </c>
      <c r="M438" t="s">
        <v>2919</v>
      </c>
      <c r="N438" t="s">
        <v>646</v>
      </c>
      <c r="O438" t="s">
        <v>83</v>
      </c>
      <c r="P438" t="s">
        <v>2920</v>
      </c>
      <c r="Q438" t="s">
        <v>69</v>
      </c>
      <c r="R438" s="23" t="s">
        <v>193</v>
      </c>
      <c r="S438" s="23">
        <v>46174</v>
      </c>
      <c r="T438">
        <v>10.1</v>
      </c>
      <c r="U438">
        <v>8357</v>
      </c>
      <c r="V438">
        <v>0</v>
      </c>
      <c r="W438">
        <v>8357</v>
      </c>
    </row>
    <row r="439" spans="1:23" hidden="1" x14ac:dyDescent="0.25">
      <c r="A439">
        <v>15741</v>
      </c>
      <c r="B439">
        <v>455570518</v>
      </c>
      <c r="C439" t="s">
        <v>2921</v>
      </c>
      <c r="D439" s="8" t="s">
        <v>2922</v>
      </c>
      <c r="E439" t="s">
        <v>644</v>
      </c>
      <c r="G439" t="s">
        <v>53</v>
      </c>
      <c r="H439" t="s">
        <v>54</v>
      </c>
      <c r="I439" t="s">
        <v>30</v>
      </c>
      <c r="J439" t="s">
        <v>55</v>
      </c>
      <c r="K439" t="s">
        <v>27</v>
      </c>
      <c r="L439" t="s">
        <v>2923</v>
      </c>
      <c r="M439" t="s">
        <v>2924</v>
      </c>
      <c r="N439" t="s">
        <v>646</v>
      </c>
      <c r="O439" t="s">
        <v>83</v>
      </c>
      <c r="P439" t="s">
        <v>2925</v>
      </c>
      <c r="Q439" t="s">
        <v>87</v>
      </c>
      <c r="R439" s="23" t="s">
        <v>500</v>
      </c>
      <c r="S439" s="23">
        <v>46174</v>
      </c>
      <c r="T439">
        <v>2</v>
      </c>
      <c r="U439">
        <v>5504</v>
      </c>
      <c r="V439">
        <v>0</v>
      </c>
      <c r="W439">
        <v>5504</v>
      </c>
    </row>
    <row r="440" spans="1:23" hidden="1" x14ac:dyDescent="0.25">
      <c r="A440">
        <v>15741</v>
      </c>
      <c r="B440">
        <v>455581200</v>
      </c>
      <c r="C440" t="s">
        <v>2926</v>
      </c>
      <c r="D440" s="8" t="s">
        <v>2927</v>
      </c>
      <c r="E440" t="s">
        <v>644</v>
      </c>
      <c r="G440" t="s">
        <v>53</v>
      </c>
      <c r="H440" t="s">
        <v>54</v>
      </c>
      <c r="I440" t="s">
        <v>30</v>
      </c>
      <c r="J440" t="s">
        <v>55</v>
      </c>
      <c r="K440" t="s">
        <v>27</v>
      </c>
      <c r="L440" t="s">
        <v>2928</v>
      </c>
      <c r="M440" t="s">
        <v>2929</v>
      </c>
      <c r="N440" t="s">
        <v>646</v>
      </c>
      <c r="O440" t="s">
        <v>83</v>
      </c>
      <c r="P440" t="s">
        <v>2930</v>
      </c>
      <c r="Q440" t="s">
        <v>47</v>
      </c>
      <c r="R440" s="23" t="s">
        <v>2931</v>
      </c>
      <c r="S440" s="23">
        <v>46174</v>
      </c>
      <c r="T440">
        <v>1.8</v>
      </c>
      <c r="U440">
        <v>5504</v>
      </c>
      <c r="V440">
        <v>0</v>
      </c>
      <c r="W440">
        <v>5504</v>
      </c>
    </row>
    <row r="441" spans="1:23" hidden="1" x14ac:dyDescent="0.25">
      <c r="A441">
        <v>15741</v>
      </c>
      <c r="B441">
        <v>455580560</v>
      </c>
      <c r="C441" t="s">
        <v>2932</v>
      </c>
      <c r="D441" s="8" t="s">
        <v>2933</v>
      </c>
      <c r="E441" t="s">
        <v>644</v>
      </c>
      <c r="G441" t="s">
        <v>53</v>
      </c>
      <c r="H441" t="s">
        <v>54</v>
      </c>
      <c r="I441" t="s">
        <v>30</v>
      </c>
      <c r="J441" t="s">
        <v>55</v>
      </c>
      <c r="K441" t="s">
        <v>27</v>
      </c>
      <c r="L441" t="s">
        <v>2934</v>
      </c>
      <c r="M441" t="s">
        <v>2935</v>
      </c>
      <c r="N441" t="s">
        <v>646</v>
      </c>
      <c r="O441" t="s">
        <v>83</v>
      </c>
      <c r="P441" t="s">
        <v>2936</v>
      </c>
      <c r="Q441" t="s">
        <v>45</v>
      </c>
      <c r="R441" s="23" t="s">
        <v>137</v>
      </c>
      <c r="S441" s="23">
        <v>46174</v>
      </c>
      <c r="T441">
        <v>10.1</v>
      </c>
      <c r="U441">
        <v>8357</v>
      </c>
      <c r="V441">
        <v>0</v>
      </c>
      <c r="W441">
        <v>8357</v>
      </c>
    </row>
    <row r="442" spans="1:23" hidden="1" x14ac:dyDescent="0.25">
      <c r="A442">
        <v>15741</v>
      </c>
      <c r="B442">
        <v>455560713</v>
      </c>
      <c r="C442" t="s">
        <v>583</v>
      </c>
      <c r="D442" s="8" t="s">
        <v>2937</v>
      </c>
      <c r="E442" t="s">
        <v>644</v>
      </c>
      <c r="G442" t="s">
        <v>53</v>
      </c>
      <c r="H442" t="s">
        <v>54</v>
      </c>
      <c r="I442" t="s">
        <v>30</v>
      </c>
      <c r="J442" t="s">
        <v>55</v>
      </c>
      <c r="K442" t="s">
        <v>27</v>
      </c>
      <c r="L442" t="s">
        <v>2938</v>
      </c>
      <c r="M442" t="s">
        <v>2939</v>
      </c>
      <c r="N442" t="s">
        <v>646</v>
      </c>
      <c r="O442" t="s">
        <v>83</v>
      </c>
      <c r="P442" t="s">
        <v>2940</v>
      </c>
      <c r="Q442" t="s">
        <v>117</v>
      </c>
      <c r="R442" s="23" t="s">
        <v>339</v>
      </c>
      <c r="S442" s="23">
        <v>46174</v>
      </c>
      <c r="T442">
        <v>10.1</v>
      </c>
      <c r="U442">
        <v>8452</v>
      </c>
      <c r="V442">
        <v>0</v>
      </c>
      <c r="W442">
        <v>8452</v>
      </c>
    </row>
    <row r="443" spans="1:23" hidden="1" x14ac:dyDescent="0.25">
      <c r="A443">
        <v>15741</v>
      </c>
      <c r="B443">
        <v>455566832</v>
      </c>
      <c r="C443" t="s">
        <v>2941</v>
      </c>
      <c r="D443" s="8" t="s">
        <v>2942</v>
      </c>
      <c r="E443" t="s">
        <v>644</v>
      </c>
      <c r="G443" t="s">
        <v>53</v>
      </c>
      <c r="H443" t="s">
        <v>54</v>
      </c>
      <c r="I443" t="s">
        <v>30</v>
      </c>
      <c r="J443" t="s">
        <v>55</v>
      </c>
      <c r="K443" t="s">
        <v>27</v>
      </c>
      <c r="L443" t="s">
        <v>2943</v>
      </c>
      <c r="M443" t="s">
        <v>390</v>
      </c>
      <c r="N443" t="s">
        <v>646</v>
      </c>
      <c r="O443" t="s">
        <v>83</v>
      </c>
      <c r="P443" t="s">
        <v>2944</v>
      </c>
      <c r="Q443" t="s">
        <v>44</v>
      </c>
      <c r="R443" s="23" t="s">
        <v>249</v>
      </c>
      <c r="S443" s="23">
        <v>46174</v>
      </c>
      <c r="T443">
        <v>1.7</v>
      </c>
      <c r="U443">
        <v>5504</v>
      </c>
      <c r="V443">
        <v>0</v>
      </c>
      <c r="W443">
        <v>5504</v>
      </c>
    </row>
    <row r="444" spans="1:23" hidden="1" x14ac:dyDescent="0.25">
      <c r="A444">
        <v>15741</v>
      </c>
      <c r="B444">
        <v>455560495</v>
      </c>
      <c r="C444" t="s">
        <v>2945</v>
      </c>
      <c r="D444" s="8" t="s">
        <v>2946</v>
      </c>
      <c r="E444" t="s">
        <v>644</v>
      </c>
      <c r="G444" t="s">
        <v>53</v>
      </c>
      <c r="H444" t="s">
        <v>54</v>
      </c>
      <c r="I444" t="s">
        <v>30</v>
      </c>
      <c r="J444" t="s">
        <v>55</v>
      </c>
      <c r="K444" t="s">
        <v>27</v>
      </c>
      <c r="L444" t="s">
        <v>2947</v>
      </c>
      <c r="M444" t="s">
        <v>2948</v>
      </c>
      <c r="N444" t="s">
        <v>646</v>
      </c>
      <c r="O444" t="s">
        <v>83</v>
      </c>
      <c r="P444" t="s">
        <v>2949</v>
      </c>
      <c r="Q444" t="s">
        <v>45</v>
      </c>
      <c r="R444" s="23" t="s">
        <v>496</v>
      </c>
      <c r="S444" s="23">
        <v>46174</v>
      </c>
      <c r="T444">
        <v>10.1</v>
      </c>
      <c r="U444">
        <v>8357</v>
      </c>
      <c r="V444">
        <v>0</v>
      </c>
      <c r="W444">
        <v>8357</v>
      </c>
    </row>
    <row r="445" spans="1:23" hidden="1" x14ac:dyDescent="0.25">
      <c r="A445">
        <v>15741</v>
      </c>
      <c r="B445">
        <v>455584862</v>
      </c>
      <c r="C445" t="s">
        <v>2950</v>
      </c>
      <c r="D445" s="8" t="s">
        <v>2951</v>
      </c>
      <c r="E445" t="s">
        <v>644</v>
      </c>
      <c r="G445" t="s">
        <v>53</v>
      </c>
      <c r="H445" t="s">
        <v>54</v>
      </c>
      <c r="I445" t="s">
        <v>30</v>
      </c>
      <c r="J445" t="s">
        <v>55</v>
      </c>
      <c r="K445" t="s">
        <v>27</v>
      </c>
      <c r="L445" t="s">
        <v>2952</v>
      </c>
      <c r="M445" t="s">
        <v>2953</v>
      </c>
      <c r="N445" t="s">
        <v>646</v>
      </c>
      <c r="O445" t="s">
        <v>83</v>
      </c>
      <c r="P445" t="s">
        <v>2954</v>
      </c>
      <c r="Q445" t="s">
        <v>51</v>
      </c>
      <c r="R445" s="23" t="s">
        <v>2955</v>
      </c>
      <c r="S445" s="23">
        <v>46174</v>
      </c>
      <c r="T445">
        <v>5.6</v>
      </c>
      <c r="U445">
        <v>6775</v>
      </c>
      <c r="V445">
        <v>0</v>
      </c>
      <c r="W445">
        <v>6775</v>
      </c>
    </row>
    <row r="446" spans="1:23" hidden="1" x14ac:dyDescent="0.25">
      <c r="A446">
        <v>15741</v>
      </c>
      <c r="B446">
        <v>455569708</v>
      </c>
      <c r="C446" t="s">
        <v>2956</v>
      </c>
      <c r="D446" s="8" t="s">
        <v>2957</v>
      </c>
      <c r="E446" t="s">
        <v>644</v>
      </c>
      <c r="G446" t="s">
        <v>53</v>
      </c>
      <c r="H446" t="s">
        <v>54</v>
      </c>
      <c r="I446" t="s">
        <v>30</v>
      </c>
      <c r="J446" t="s">
        <v>55</v>
      </c>
      <c r="K446" t="s">
        <v>27</v>
      </c>
      <c r="L446" t="s">
        <v>2958</v>
      </c>
      <c r="M446" t="s">
        <v>2959</v>
      </c>
      <c r="N446" t="s">
        <v>646</v>
      </c>
      <c r="O446" t="s">
        <v>83</v>
      </c>
      <c r="P446" t="s">
        <v>2960</v>
      </c>
      <c r="Q446" t="s">
        <v>47</v>
      </c>
      <c r="R446" s="23" t="s">
        <v>195</v>
      </c>
      <c r="S446" s="23">
        <v>46174</v>
      </c>
      <c r="T446">
        <v>5.6</v>
      </c>
      <c r="U446">
        <v>6775</v>
      </c>
      <c r="V446">
        <v>0</v>
      </c>
      <c r="W446">
        <v>6775</v>
      </c>
    </row>
    <row r="447" spans="1:23" hidden="1" x14ac:dyDescent="0.25">
      <c r="A447">
        <v>15741</v>
      </c>
      <c r="B447">
        <v>455566500</v>
      </c>
      <c r="C447" t="s">
        <v>2961</v>
      </c>
      <c r="D447" s="8" t="s">
        <v>2962</v>
      </c>
      <c r="E447" t="s">
        <v>644</v>
      </c>
      <c r="G447" t="s">
        <v>53</v>
      </c>
      <c r="H447" t="s">
        <v>54</v>
      </c>
      <c r="I447" t="s">
        <v>30</v>
      </c>
      <c r="J447" t="s">
        <v>55</v>
      </c>
      <c r="K447" t="s">
        <v>27</v>
      </c>
      <c r="L447" t="s">
        <v>2963</v>
      </c>
      <c r="M447" t="s">
        <v>2964</v>
      </c>
      <c r="N447" t="s">
        <v>646</v>
      </c>
      <c r="O447" t="s">
        <v>83</v>
      </c>
      <c r="P447" t="s">
        <v>2965</v>
      </c>
      <c r="Q447" t="s">
        <v>44</v>
      </c>
      <c r="R447" s="23" t="s">
        <v>211</v>
      </c>
      <c r="S447" s="23">
        <v>46174</v>
      </c>
      <c r="T447">
        <v>1.8</v>
      </c>
      <c r="U447">
        <v>5504</v>
      </c>
      <c r="V447">
        <v>0</v>
      </c>
      <c r="W447">
        <v>5504</v>
      </c>
    </row>
    <row r="448" spans="1:23" hidden="1" x14ac:dyDescent="0.25">
      <c r="A448">
        <v>15741</v>
      </c>
      <c r="B448">
        <v>455586376</v>
      </c>
      <c r="C448" t="s">
        <v>2966</v>
      </c>
      <c r="D448" s="8" t="s">
        <v>2967</v>
      </c>
      <c r="E448" t="s">
        <v>644</v>
      </c>
      <c r="G448" t="s">
        <v>53</v>
      </c>
      <c r="H448" t="s">
        <v>54</v>
      </c>
      <c r="I448" t="s">
        <v>30</v>
      </c>
      <c r="J448" t="s">
        <v>55</v>
      </c>
      <c r="K448" t="s">
        <v>27</v>
      </c>
      <c r="L448" t="s">
        <v>2968</v>
      </c>
      <c r="M448" t="s">
        <v>2969</v>
      </c>
      <c r="N448" t="s">
        <v>646</v>
      </c>
      <c r="O448" t="s">
        <v>83</v>
      </c>
      <c r="P448" t="s">
        <v>2970</v>
      </c>
      <c r="Q448" t="s">
        <v>47</v>
      </c>
      <c r="R448" s="23" t="s">
        <v>544</v>
      </c>
      <c r="S448" s="23">
        <v>46174</v>
      </c>
      <c r="T448">
        <v>14.69</v>
      </c>
      <c r="U448">
        <v>9628</v>
      </c>
      <c r="V448">
        <v>0</v>
      </c>
      <c r="W448">
        <v>9628</v>
      </c>
    </row>
    <row r="449" spans="1:23" hidden="1" x14ac:dyDescent="0.25">
      <c r="A449">
        <v>15741</v>
      </c>
      <c r="B449">
        <v>455565615</v>
      </c>
      <c r="C449" t="s">
        <v>2971</v>
      </c>
      <c r="D449" s="8" t="s">
        <v>2972</v>
      </c>
      <c r="E449" t="s">
        <v>644</v>
      </c>
      <c r="G449" t="s">
        <v>53</v>
      </c>
      <c r="H449" t="s">
        <v>54</v>
      </c>
      <c r="I449" t="s">
        <v>30</v>
      </c>
      <c r="J449" t="s">
        <v>55</v>
      </c>
      <c r="K449" t="s">
        <v>27</v>
      </c>
      <c r="L449" t="s">
        <v>2973</v>
      </c>
      <c r="M449" t="s">
        <v>2974</v>
      </c>
      <c r="N449" t="s">
        <v>646</v>
      </c>
      <c r="O449" t="s">
        <v>83</v>
      </c>
      <c r="P449" t="s">
        <v>2975</v>
      </c>
      <c r="Q449" t="s">
        <v>50</v>
      </c>
      <c r="R449" s="23" t="s">
        <v>293</v>
      </c>
      <c r="S449" s="23">
        <v>46174</v>
      </c>
      <c r="T449">
        <v>1.8</v>
      </c>
      <c r="U449">
        <v>5504</v>
      </c>
      <c r="V449">
        <v>0</v>
      </c>
      <c r="W449">
        <v>5504</v>
      </c>
    </row>
    <row r="450" spans="1:23" hidden="1" x14ac:dyDescent="0.25">
      <c r="A450">
        <v>15741</v>
      </c>
      <c r="B450">
        <v>455583022</v>
      </c>
      <c r="C450" t="s">
        <v>2976</v>
      </c>
      <c r="D450" s="8" t="s">
        <v>2977</v>
      </c>
      <c r="E450" t="s">
        <v>644</v>
      </c>
      <c r="G450" t="s">
        <v>53</v>
      </c>
      <c r="H450" t="s">
        <v>54</v>
      </c>
      <c r="I450" t="s">
        <v>30</v>
      </c>
      <c r="J450" t="s">
        <v>55</v>
      </c>
      <c r="K450" t="s">
        <v>27</v>
      </c>
      <c r="L450" t="s">
        <v>2978</v>
      </c>
      <c r="M450" t="s">
        <v>2022</v>
      </c>
      <c r="N450" t="s">
        <v>646</v>
      </c>
      <c r="O450" t="s">
        <v>83</v>
      </c>
      <c r="P450" t="s">
        <v>2979</v>
      </c>
      <c r="Q450" t="s">
        <v>43</v>
      </c>
      <c r="R450" s="23" t="s">
        <v>633</v>
      </c>
      <c r="S450" s="23">
        <v>46174</v>
      </c>
      <c r="T450">
        <v>5.6</v>
      </c>
      <c r="U450">
        <v>6775</v>
      </c>
      <c r="V450">
        <v>0</v>
      </c>
      <c r="W450">
        <v>6775</v>
      </c>
    </row>
    <row r="451" spans="1:23" hidden="1" x14ac:dyDescent="0.25">
      <c r="A451">
        <v>15741</v>
      </c>
      <c r="B451">
        <v>455584019</v>
      </c>
      <c r="C451" t="s">
        <v>2980</v>
      </c>
      <c r="D451" s="8" t="s">
        <v>2981</v>
      </c>
      <c r="E451" t="s">
        <v>644</v>
      </c>
      <c r="G451" t="s">
        <v>53</v>
      </c>
      <c r="H451" t="s">
        <v>54</v>
      </c>
      <c r="I451" t="s">
        <v>30</v>
      </c>
      <c r="J451" t="s">
        <v>55</v>
      </c>
      <c r="K451" t="s">
        <v>27</v>
      </c>
      <c r="L451" t="s">
        <v>2982</v>
      </c>
      <c r="M451" t="s">
        <v>2983</v>
      </c>
      <c r="N451" t="s">
        <v>646</v>
      </c>
      <c r="O451" t="s">
        <v>83</v>
      </c>
      <c r="P451" t="s">
        <v>2984</v>
      </c>
      <c r="Q451" t="s">
        <v>187</v>
      </c>
      <c r="R451" s="23" t="s">
        <v>258</v>
      </c>
      <c r="S451" s="23">
        <v>46174</v>
      </c>
      <c r="T451">
        <v>2</v>
      </c>
      <c r="U451">
        <v>5504</v>
      </c>
      <c r="V451">
        <v>0</v>
      </c>
      <c r="W451">
        <v>5504</v>
      </c>
    </row>
    <row r="452" spans="1:23" hidden="1" x14ac:dyDescent="0.25">
      <c r="A452">
        <v>15741</v>
      </c>
      <c r="B452">
        <v>455564609</v>
      </c>
      <c r="C452" t="s">
        <v>2985</v>
      </c>
      <c r="D452" s="8" t="s">
        <v>2986</v>
      </c>
      <c r="E452" t="s">
        <v>644</v>
      </c>
      <c r="G452" t="s">
        <v>53</v>
      </c>
      <c r="H452" t="s">
        <v>54</v>
      </c>
      <c r="I452" t="s">
        <v>30</v>
      </c>
      <c r="J452" t="s">
        <v>55</v>
      </c>
      <c r="K452" t="s">
        <v>27</v>
      </c>
      <c r="L452" t="s">
        <v>2987</v>
      </c>
      <c r="M452" t="s">
        <v>2988</v>
      </c>
      <c r="N452" t="s">
        <v>646</v>
      </c>
      <c r="O452" t="s">
        <v>83</v>
      </c>
      <c r="P452" t="s">
        <v>2989</v>
      </c>
      <c r="Q452" t="s">
        <v>47</v>
      </c>
      <c r="R452" s="23" t="s">
        <v>543</v>
      </c>
      <c r="S452" s="23">
        <v>46174</v>
      </c>
      <c r="T452">
        <v>81</v>
      </c>
      <c r="U452">
        <v>26503</v>
      </c>
      <c r="V452">
        <v>5999.52</v>
      </c>
      <c r="W452">
        <v>32502.52</v>
      </c>
    </row>
    <row r="453" spans="1:23" hidden="1" x14ac:dyDescent="0.25">
      <c r="A453">
        <v>15741</v>
      </c>
      <c r="B453">
        <v>455587184</v>
      </c>
      <c r="C453" t="s">
        <v>2990</v>
      </c>
      <c r="D453" s="8" t="s">
        <v>2991</v>
      </c>
      <c r="E453" t="s">
        <v>644</v>
      </c>
      <c r="G453" t="s">
        <v>53</v>
      </c>
      <c r="H453" t="s">
        <v>54</v>
      </c>
      <c r="I453" t="s">
        <v>30</v>
      </c>
      <c r="J453" t="s">
        <v>55</v>
      </c>
      <c r="K453" t="s">
        <v>27</v>
      </c>
      <c r="L453" t="s">
        <v>2992</v>
      </c>
      <c r="M453" t="s">
        <v>2993</v>
      </c>
      <c r="N453" t="s">
        <v>646</v>
      </c>
      <c r="O453" t="s">
        <v>83</v>
      </c>
      <c r="P453" t="s">
        <v>2994</v>
      </c>
      <c r="Q453" t="s">
        <v>46</v>
      </c>
      <c r="R453" s="23" t="s">
        <v>291</v>
      </c>
      <c r="S453" s="23">
        <v>46174</v>
      </c>
      <c r="T453">
        <v>1.7</v>
      </c>
      <c r="U453">
        <v>5504</v>
      </c>
      <c r="V453">
        <v>0</v>
      </c>
      <c r="W453">
        <v>5504</v>
      </c>
    </row>
    <row r="454" spans="1:23" hidden="1" x14ac:dyDescent="0.25">
      <c r="A454">
        <v>15741</v>
      </c>
      <c r="B454">
        <v>455579477</v>
      </c>
      <c r="C454" t="s">
        <v>2995</v>
      </c>
      <c r="D454" s="8" t="s">
        <v>2996</v>
      </c>
      <c r="E454" t="s">
        <v>644</v>
      </c>
      <c r="G454" t="s">
        <v>53</v>
      </c>
      <c r="H454" t="s">
        <v>54</v>
      </c>
      <c r="I454" t="s">
        <v>30</v>
      </c>
      <c r="J454" t="s">
        <v>55</v>
      </c>
      <c r="K454" t="s">
        <v>27</v>
      </c>
      <c r="L454" t="s">
        <v>2997</v>
      </c>
      <c r="M454" t="s">
        <v>2998</v>
      </c>
      <c r="N454" t="s">
        <v>646</v>
      </c>
      <c r="O454" t="s">
        <v>83</v>
      </c>
      <c r="P454" t="s">
        <v>2999</v>
      </c>
      <c r="Q454" t="s">
        <v>45</v>
      </c>
      <c r="R454" s="23" t="s">
        <v>174</v>
      </c>
      <c r="S454" s="23">
        <v>46174</v>
      </c>
      <c r="T454">
        <v>4.9000000000000004</v>
      </c>
      <c r="U454">
        <v>6450</v>
      </c>
      <c r="V454">
        <v>0</v>
      </c>
      <c r="W454">
        <v>6450</v>
      </c>
    </row>
    <row r="455" spans="1:23" hidden="1" x14ac:dyDescent="0.25">
      <c r="A455">
        <v>15741</v>
      </c>
      <c r="B455">
        <v>455302159</v>
      </c>
      <c r="C455" t="s">
        <v>3000</v>
      </c>
      <c r="D455" s="8" t="s">
        <v>3001</v>
      </c>
      <c r="E455" t="s">
        <v>644</v>
      </c>
      <c r="G455" t="s">
        <v>53</v>
      </c>
      <c r="H455" t="s">
        <v>54</v>
      </c>
      <c r="I455" t="s">
        <v>30</v>
      </c>
      <c r="J455" t="s">
        <v>55</v>
      </c>
      <c r="K455" t="s">
        <v>27</v>
      </c>
      <c r="L455" t="s">
        <v>3002</v>
      </c>
      <c r="M455" t="s">
        <v>3003</v>
      </c>
      <c r="N455" t="s">
        <v>646</v>
      </c>
      <c r="O455" t="s">
        <v>83</v>
      </c>
      <c r="P455" t="s">
        <v>3004</v>
      </c>
      <c r="Q455" t="s">
        <v>151</v>
      </c>
      <c r="R455" s="23" t="s">
        <v>370</v>
      </c>
      <c r="S455" s="23">
        <v>46168</v>
      </c>
      <c r="T455">
        <v>32</v>
      </c>
      <c r="U455">
        <v>28161</v>
      </c>
      <c r="V455">
        <v>4799.9399999999996</v>
      </c>
      <c r="W455">
        <v>32960.94</v>
      </c>
    </row>
    <row r="456" spans="1:23" hidden="1" x14ac:dyDescent="0.25">
      <c r="A456">
        <v>15741</v>
      </c>
      <c r="B456">
        <v>455407625</v>
      </c>
      <c r="C456" t="s">
        <v>3005</v>
      </c>
      <c r="D456" s="8" t="s">
        <v>3006</v>
      </c>
      <c r="E456" t="s">
        <v>644</v>
      </c>
      <c r="G456" t="s">
        <v>53</v>
      </c>
      <c r="H456" t="s">
        <v>54</v>
      </c>
      <c r="I456" t="s">
        <v>30</v>
      </c>
      <c r="J456" t="s">
        <v>55</v>
      </c>
      <c r="K456" t="s">
        <v>27</v>
      </c>
      <c r="L456" t="s">
        <v>3007</v>
      </c>
      <c r="M456" t="s">
        <v>3008</v>
      </c>
      <c r="N456" t="s">
        <v>646</v>
      </c>
      <c r="O456" t="s">
        <v>83</v>
      </c>
      <c r="P456" t="s">
        <v>3009</v>
      </c>
      <c r="Q456" t="s">
        <v>97</v>
      </c>
      <c r="R456" s="23" t="s">
        <v>3010</v>
      </c>
      <c r="S456" s="23">
        <v>46171</v>
      </c>
      <c r="T456">
        <v>0.6</v>
      </c>
      <c r="U456">
        <v>5800</v>
      </c>
      <c r="V456">
        <v>0</v>
      </c>
      <c r="W456">
        <v>5800</v>
      </c>
    </row>
    <row r="457" spans="1:23" hidden="1" x14ac:dyDescent="0.25">
      <c r="A457">
        <v>15741</v>
      </c>
      <c r="B457">
        <v>455345921</v>
      </c>
      <c r="C457" t="s">
        <v>3011</v>
      </c>
      <c r="D457" s="8" t="s">
        <v>3012</v>
      </c>
      <c r="E457" t="s">
        <v>644</v>
      </c>
      <c r="G457" t="s">
        <v>53</v>
      </c>
      <c r="H457" t="s">
        <v>54</v>
      </c>
      <c r="I457" t="s">
        <v>30</v>
      </c>
      <c r="J457" t="s">
        <v>55</v>
      </c>
      <c r="K457" t="s">
        <v>27</v>
      </c>
      <c r="L457" t="s">
        <v>3013</v>
      </c>
      <c r="M457" t="s">
        <v>3014</v>
      </c>
      <c r="N457" t="s">
        <v>646</v>
      </c>
      <c r="O457" t="s">
        <v>83</v>
      </c>
      <c r="P457" t="s">
        <v>3015</v>
      </c>
      <c r="Q457" t="s">
        <v>45</v>
      </c>
      <c r="R457" s="23" t="s">
        <v>3016</v>
      </c>
      <c r="S457" s="23">
        <v>46169</v>
      </c>
      <c r="T457">
        <v>2</v>
      </c>
      <c r="U457">
        <v>5504</v>
      </c>
      <c r="V457">
        <v>0</v>
      </c>
      <c r="W457">
        <v>5504</v>
      </c>
    </row>
    <row r="458" spans="1:23" hidden="1" x14ac:dyDescent="0.25">
      <c r="A458">
        <v>15741</v>
      </c>
      <c r="B458">
        <v>455338196</v>
      </c>
      <c r="C458" t="s">
        <v>3017</v>
      </c>
      <c r="D458" s="8" t="s">
        <v>3018</v>
      </c>
      <c r="E458" t="s">
        <v>644</v>
      </c>
      <c r="G458" t="s">
        <v>53</v>
      </c>
      <c r="H458" t="s">
        <v>54</v>
      </c>
      <c r="I458" t="s">
        <v>30</v>
      </c>
      <c r="J458" t="s">
        <v>55</v>
      </c>
      <c r="K458" t="s">
        <v>27</v>
      </c>
      <c r="L458" t="s">
        <v>3019</v>
      </c>
      <c r="M458" t="s">
        <v>3020</v>
      </c>
      <c r="N458" t="s">
        <v>646</v>
      </c>
      <c r="O458" t="s">
        <v>83</v>
      </c>
      <c r="P458" t="s">
        <v>3021</v>
      </c>
      <c r="Q458" t="s">
        <v>88</v>
      </c>
      <c r="R458" s="23" t="s">
        <v>3022</v>
      </c>
      <c r="S458" s="23">
        <v>46169</v>
      </c>
      <c r="T458">
        <v>221.3</v>
      </c>
      <c r="U458">
        <v>92570</v>
      </c>
      <c r="V458">
        <v>11399.94</v>
      </c>
      <c r="W458">
        <v>103969.94</v>
      </c>
    </row>
    <row r="459" spans="1:23" hidden="1" x14ac:dyDescent="0.25">
      <c r="A459">
        <v>15741</v>
      </c>
      <c r="B459">
        <v>455406312</v>
      </c>
      <c r="C459" t="s">
        <v>3023</v>
      </c>
      <c r="D459" s="8" t="s">
        <v>3024</v>
      </c>
      <c r="E459" t="s">
        <v>644</v>
      </c>
      <c r="G459" t="s">
        <v>53</v>
      </c>
      <c r="H459" t="s">
        <v>54</v>
      </c>
      <c r="I459" t="s">
        <v>30</v>
      </c>
      <c r="J459" t="s">
        <v>55</v>
      </c>
      <c r="K459" t="s">
        <v>27</v>
      </c>
      <c r="L459" t="s">
        <v>3025</v>
      </c>
      <c r="M459" t="s">
        <v>1232</v>
      </c>
      <c r="N459" t="s">
        <v>646</v>
      </c>
      <c r="O459" t="s">
        <v>83</v>
      </c>
      <c r="P459" t="s">
        <v>1233</v>
      </c>
      <c r="Q459" t="s">
        <v>143</v>
      </c>
      <c r="R459" s="23" t="s">
        <v>607</v>
      </c>
      <c r="S459" s="23">
        <v>46171</v>
      </c>
      <c r="T459">
        <v>101.25</v>
      </c>
      <c r="U459">
        <v>32719</v>
      </c>
      <c r="V459">
        <v>0</v>
      </c>
      <c r="W459">
        <v>32719</v>
      </c>
    </row>
    <row r="460" spans="1:23" hidden="1" x14ac:dyDescent="0.25">
      <c r="A460">
        <v>15741</v>
      </c>
      <c r="B460">
        <v>455344744</v>
      </c>
      <c r="C460" t="s">
        <v>3026</v>
      </c>
      <c r="D460" s="8" t="s">
        <v>3027</v>
      </c>
      <c r="E460" t="s">
        <v>644</v>
      </c>
      <c r="G460" t="s">
        <v>53</v>
      </c>
      <c r="H460" t="s">
        <v>54</v>
      </c>
      <c r="I460" t="s">
        <v>30</v>
      </c>
      <c r="J460" t="s">
        <v>55</v>
      </c>
      <c r="K460" t="s">
        <v>27</v>
      </c>
      <c r="L460" t="s">
        <v>3028</v>
      </c>
      <c r="M460" t="s">
        <v>3029</v>
      </c>
      <c r="N460" t="s">
        <v>646</v>
      </c>
      <c r="O460" t="s">
        <v>83</v>
      </c>
      <c r="P460" t="s">
        <v>3030</v>
      </c>
      <c r="Q460" t="s">
        <v>66</v>
      </c>
      <c r="R460" s="23" t="s">
        <v>3031</v>
      </c>
      <c r="S460" s="23">
        <v>46169</v>
      </c>
      <c r="T460">
        <v>2.1</v>
      </c>
      <c r="U460">
        <v>5816</v>
      </c>
      <c r="V460">
        <v>0</v>
      </c>
      <c r="W460">
        <v>5816</v>
      </c>
    </row>
    <row r="461" spans="1:23" hidden="1" x14ac:dyDescent="0.25">
      <c r="A461">
        <v>15741</v>
      </c>
      <c r="B461">
        <v>455347031</v>
      </c>
      <c r="C461" t="s">
        <v>3032</v>
      </c>
      <c r="D461" s="8" t="s">
        <v>3033</v>
      </c>
      <c r="E461" t="s">
        <v>644</v>
      </c>
      <c r="G461" t="s">
        <v>53</v>
      </c>
      <c r="H461" t="s">
        <v>54</v>
      </c>
      <c r="I461" t="s">
        <v>30</v>
      </c>
      <c r="J461" t="s">
        <v>55</v>
      </c>
      <c r="K461" t="s">
        <v>27</v>
      </c>
      <c r="L461" t="s">
        <v>3034</v>
      </c>
      <c r="M461" t="s">
        <v>3035</v>
      </c>
      <c r="N461" t="s">
        <v>646</v>
      </c>
      <c r="O461" t="s">
        <v>83</v>
      </c>
      <c r="P461" t="s">
        <v>3036</v>
      </c>
      <c r="Q461" t="s">
        <v>51</v>
      </c>
      <c r="R461" s="23" t="s">
        <v>3037</v>
      </c>
      <c r="S461" s="23">
        <v>46169</v>
      </c>
      <c r="T461">
        <v>2</v>
      </c>
      <c r="U461">
        <v>5504</v>
      </c>
      <c r="V461">
        <v>0</v>
      </c>
      <c r="W461">
        <v>5504</v>
      </c>
    </row>
    <row r="462" spans="1:23" hidden="1" x14ac:dyDescent="0.25">
      <c r="A462">
        <v>15741</v>
      </c>
      <c r="B462">
        <v>455347656</v>
      </c>
      <c r="C462" t="s">
        <v>3038</v>
      </c>
      <c r="D462" s="8" t="s">
        <v>3039</v>
      </c>
      <c r="E462" t="s">
        <v>644</v>
      </c>
      <c r="G462" t="s">
        <v>53</v>
      </c>
      <c r="H462" t="s">
        <v>54</v>
      </c>
      <c r="I462" t="s">
        <v>30</v>
      </c>
      <c r="J462" t="s">
        <v>55</v>
      </c>
      <c r="K462" t="s">
        <v>27</v>
      </c>
      <c r="L462" t="s">
        <v>3040</v>
      </c>
      <c r="M462" t="s">
        <v>3041</v>
      </c>
      <c r="N462" t="s">
        <v>646</v>
      </c>
      <c r="O462" t="s">
        <v>83</v>
      </c>
      <c r="P462" t="s">
        <v>3042</v>
      </c>
      <c r="Q462" t="s">
        <v>83</v>
      </c>
      <c r="R462" s="23" t="s">
        <v>3043</v>
      </c>
      <c r="S462" s="23">
        <v>46169</v>
      </c>
      <c r="T462">
        <v>2</v>
      </c>
      <c r="U462">
        <v>5504</v>
      </c>
      <c r="V462">
        <v>0</v>
      </c>
      <c r="W462">
        <v>5504</v>
      </c>
    </row>
    <row r="463" spans="1:23" hidden="1" x14ac:dyDescent="0.25">
      <c r="A463">
        <v>15741</v>
      </c>
      <c r="B463">
        <v>455370660</v>
      </c>
      <c r="C463" t="s">
        <v>3044</v>
      </c>
      <c r="D463" s="8" t="s">
        <v>3045</v>
      </c>
      <c r="E463" t="s">
        <v>644</v>
      </c>
      <c r="G463" t="s">
        <v>53</v>
      </c>
      <c r="H463" t="s">
        <v>54</v>
      </c>
      <c r="I463" t="s">
        <v>30</v>
      </c>
      <c r="J463" t="s">
        <v>55</v>
      </c>
      <c r="K463" t="s">
        <v>27</v>
      </c>
      <c r="L463" t="s">
        <v>3046</v>
      </c>
      <c r="M463" t="s">
        <v>3047</v>
      </c>
      <c r="N463" t="s">
        <v>646</v>
      </c>
      <c r="O463" t="s">
        <v>83</v>
      </c>
      <c r="P463" t="s">
        <v>3048</v>
      </c>
      <c r="Q463" t="s">
        <v>253</v>
      </c>
      <c r="R463" s="23" t="s">
        <v>545</v>
      </c>
      <c r="S463" s="23">
        <v>46170</v>
      </c>
      <c r="T463">
        <v>110.2</v>
      </c>
      <c r="U463">
        <v>47498</v>
      </c>
      <c r="V463">
        <v>10481.94</v>
      </c>
      <c r="W463">
        <v>57979.94</v>
      </c>
    </row>
    <row r="464" spans="1:23" hidden="1" x14ac:dyDescent="0.25">
      <c r="A464">
        <v>15741</v>
      </c>
      <c r="B464">
        <v>455302416</v>
      </c>
      <c r="C464" t="s">
        <v>3049</v>
      </c>
      <c r="D464" s="8" t="s">
        <v>3050</v>
      </c>
      <c r="E464" t="s">
        <v>644</v>
      </c>
      <c r="G464" t="s">
        <v>53</v>
      </c>
      <c r="H464" t="s">
        <v>54</v>
      </c>
      <c r="I464" t="s">
        <v>30</v>
      </c>
      <c r="J464" t="s">
        <v>55</v>
      </c>
      <c r="K464" t="s">
        <v>27</v>
      </c>
      <c r="L464" t="s">
        <v>3051</v>
      </c>
      <c r="M464" t="s">
        <v>3052</v>
      </c>
      <c r="N464" t="s">
        <v>646</v>
      </c>
      <c r="O464" t="s">
        <v>83</v>
      </c>
      <c r="P464" t="s">
        <v>3053</v>
      </c>
      <c r="Q464" t="s">
        <v>70</v>
      </c>
      <c r="R464" s="23" t="s">
        <v>361</v>
      </c>
      <c r="S464" s="23">
        <v>46168</v>
      </c>
      <c r="T464">
        <v>12.1</v>
      </c>
      <c r="U464">
        <v>8993</v>
      </c>
      <c r="V464">
        <v>0</v>
      </c>
      <c r="W464">
        <v>8993</v>
      </c>
    </row>
    <row r="465" spans="1:23" hidden="1" x14ac:dyDescent="0.25">
      <c r="A465">
        <v>15741</v>
      </c>
      <c r="B465">
        <v>455346380</v>
      </c>
      <c r="C465" t="s">
        <v>3054</v>
      </c>
      <c r="D465" s="8" t="s">
        <v>3055</v>
      </c>
      <c r="E465" t="s">
        <v>644</v>
      </c>
      <c r="G465" t="s">
        <v>53</v>
      </c>
      <c r="H465" t="s">
        <v>54</v>
      </c>
      <c r="I465" t="s">
        <v>30</v>
      </c>
      <c r="J465" t="s">
        <v>55</v>
      </c>
      <c r="K465" t="s">
        <v>27</v>
      </c>
      <c r="L465" t="s">
        <v>3056</v>
      </c>
      <c r="M465" t="s">
        <v>3057</v>
      </c>
      <c r="N465" t="s">
        <v>646</v>
      </c>
      <c r="O465" t="s">
        <v>83</v>
      </c>
      <c r="P465" t="s">
        <v>3058</v>
      </c>
      <c r="Q465" t="s">
        <v>43</v>
      </c>
      <c r="R465" s="23" t="s">
        <v>3059</v>
      </c>
      <c r="S465" s="23">
        <v>46169</v>
      </c>
      <c r="T465">
        <v>2.1</v>
      </c>
      <c r="U465">
        <v>5816</v>
      </c>
      <c r="V465">
        <v>0</v>
      </c>
      <c r="W465">
        <v>5816</v>
      </c>
    </row>
    <row r="466" spans="1:23" hidden="1" x14ac:dyDescent="0.25">
      <c r="A466">
        <v>15741</v>
      </c>
      <c r="B466">
        <v>455347221</v>
      </c>
      <c r="C466" t="s">
        <v>3060</v>
      </c>
      <c r="D466" s="8" t="s">
        <v>3061</v>
      </c>
      <c r="E466" t="s">
        <v>644</v>
      </c>
      <c r="G466" t="s">
        <v>53</v>
      </c>
      <c r="H466" t="s">
        <v>54</v>
      </c>
      <c r="I466" t="s">
        <v>30</v>
      </c>
      <c r="J466" t="s">
        <v>55</v>
      </c>
      <c r="K466" t="s">
        <v>27</v>
      </c>
      <c r="L466" t="s">
        <v>3062</v>
      </c>
      <c r="M466" t="s">
        <v>3063</v>
      </c>
      <c r="N466" t="s">
        <v>646</v>
      </c>
      <c r="O466" t="s">
        <v>83</v>
      </c>
      <c r="P466" t="s">
        <v>3064</v>
      </c>
      <c r="Q466" t="s">
        <v>69</v>
      </c>
      <c r="R466" s="23" t="s">
        <v>608</v>
      </c>
      <c r="S466" s="23">
        <v>46169</v>
      </c>
      <c r="T466">
        <v>2</v>
      </c>
      <c r="U466">
        <v>5504</v>
      </c>
      <c r="V466">
        <v>0</v>
      </c>
      <c r="W466">
        <v>5504</v>
      </c>
    </row>
    <row r="467" spans="1:23" hidden="1" x14ac:dyDescent="0.25">
      <c r="A467">
        <v>15741</v>
      </c>
      <c r="B467">
        <v>455344815</v>
      </c>
      <c r="C467" t="s">
        <v>3065</v>
      </c>
      <c r="D467" s="8" t="s">
        <v>3066</v>
      </c>
      <c r="E467" t="s">
        <v>644</v>
      </c>
      <c r="G467" t="s">
        <v>53</v>
      </c>
      <c r="H467" t="s">
        <v>54</v>
      </c>
      <c r="I467" t="s">
        <v>30</v>
      </c>
      <c r="J467" t="s">
        <v>55</v>
      </c>
      <c r="K467" t="s">
        <v>27</v>
      </c>
      <c r="L467" t="s">
        <v>3067</v>
      </c>
      <c r="M467" t="s">
        <v>3068</v>
      </c>
      <c r="N467" t="s">
        <v>646</v>
      </c>
      <c r="O467" t="s">
        <v>83</v>
      </c>
      <c r="P467" t="s">
        <v>3069</v>
      </c>
      <c r="Q467" t="s">
        <v>143</v>
      </c>
      <c r="R467" s="23" t="s">
        <v>613</v>
      </c>
      <c r="S467" s="23">
        <v>46169</v>
      </c>
      <c r="T467">
        <v>2.1</v>
      </c>
      <c r="U467">
        <v>5816</v>
      </c>
      <c r="V467">
        <v>0</v>
      </c>
      <c r="W467">
        <v>5816</v>
      </c>
    </row>
    <row r="468" spans="1:23" hidden="1" x14ac:dyDescent="0.25">
      <c r="A468">
        <v>15741</v>
      </c>
      <c r="B468">
        <v>455344903</v>
      </c>
      <c r="C468" t="s">
        <v>3070</v>
      </c>
      <c r="D468" s="8" t="s">
        <v>3071</v>
      </c>
      <c r="E468" t="s">
        <v>644</v>
      </c>
      <c r="G468" t="s">
        <v>53</v>
      </c>
      <c r="H468" t="s">
        <v>54</v>
      </c>
      <c r="I468" t="s">
        <v>30</v>
      </c>
      <c r="J468" t="s">
        <v>55</v>
      </c>
      <c r="K468" t="s">
        <v>27</v>
      </c>
      <c r="L468" t="s">
        <v>3072</v>
      </c>
      <c r="M468" t="s">
        <v>3073</v>
      </c>
      <c r="N468" t="s">
        <v>646</v>
      </c>
      <c r="O468" t="s">
        <v>83</v>
      </c>
      <c r="P468" t="s">
        <v>3074</v>
      </c>
      <c r="Q468" t="s">
        <v>143</v>
      </c>
      <c r="R468" s="23" t="s">
        <v>3075</v>
      </c>
      <c r="S468" s="23">
        <v>46169</v>
      </c>
      <c r="T468">
        <v>2</v>
      </c>
      <c r="U468">
        <v>5504</v>
      </c>
      <c r="V468">
        <v>0</v>
      </c>
      <c r="W468">
        <v>5504</v>
      </c>
    </row>
    <row r="469" spans="1:23" hidden="1" x14ac:dyDescent="0.25">
      <c r="A469">
        <v>15741</v>
      </c>
      <c r="B469">
        <v>455317938</v>
      </c>
      <c r="C469" t="s">
        <v>3076</v>
      </c>
      <c r="D469" s="8" t="s">
        <v>3077</v>
      </c>
      <c r="E469" t="s">
        <v>644</v>
      </c>
      <c r="G469" t="s">
        <v>53</v>
      </c>
      <c r="H469" t="s">
        <v>54</v>
      </c>
      <c r="I469" t="s">
        <v>30</v>
      </c>
      <c r="J469" t="s">
        <v>55</v>
      </c>
      <c r="K469" t="s">
        <v>27</v>
      </c>
      <c r="L469" t="s">
        <v>3078</v>
      </c>
      <c r="M469" t="s">
        <v>3079</v>
      </c>
      <c r="N469" t="s">
        <v>646</v>
      </c>
      <c r="O469" t="s">
        <v>83</v>
      </c>
      <c r="P469" t="s">
        <v>3080</v>
      </c>
      <c r="Q469" t="s">
        <v>61</v>
      </c>
      <c r="R469" s="23" t="s">
        <v>3081</v>
      </c>
      <c r="S469" s="23">
        <v>46168</v>
      </c>
      <c r="T469">
        <v>235</v>
      </c>
      <c r="U469">
        <v>71979</v>
      </c>
      <c r="V469">
        <v>12989.94</v>
      </c>
      <c r="W469">
        <v>84968.94</v>
      </c>
    </row>
    <row r="470" spans="1:23" hidden="1" x14ac:dyDescent="0.25">
      <c r="A470">
        <v>15741</v>
      </c>
      <c r="B470">
        <v>455346702</v>
      </c>
      <c r="C470" t="s">
        <v>3082</v>
      </c>
      <c r="D470" s="8" t="s">
        <v>3083</v>
      </c>
      <c r="E470" t="s">
        <v>644</v>
      </c>
      <c r="G470" t="s">
        <v>53</v>
      </c>
      <c r="H470" t="s">
        <v>54</v>
      </c>
      <c r="I470" t="s">
        <v>30</v>
      </c>
      <c r="J470" t="s">
        <v>55</v>
      </c>
      <c r="K470" t="s">
        <v>27</v>
      </c>
      <c r="L470" t="s">
        <v>3084</v>
      </c>
      <c r="M470" t="s">
        <v>3085</v>
      </c>
      <c r="N470" t="s">
        <v>646</v>
      </c>
      <c r="O470" t="s">
        <v>83</v>
      </c>
      <c r="P470" t="s">
        <v>3086</v>
      </c>
      <c r="Q470" t="s">
        <v>86</v>
      </c>
      <c r="R470" s="23" t="s">
        <v>3087</v>
      </c>
      <c r="S470" s="23">
        <v>46169</v>
      </c>
      <c r="T470">
        <v>2.1</v>
      </c>
      <c r="U470">
        <v>5816</v>
      </c>
      <c r="V470">
        <v>0</v>
      </c>
      <c r="W470">
        <v>5816</v>
      </c>
    </row>
    <row r="471" spans="1:23" hidden="1" x14ac:dyDescent="0.25">
      <c r="A471">
        <v>15741</v>
      </c>
      <c r="B471">
        <v>455347471</v>
      </c>
      <c r="C471" t="s">
        <v>3088</v>
      </c>
      <c r="D471" s="8" t="s">
        <v>3089</v>
      </c>
      <c r="E471" t="s">
        <v>644</v>
      </c>
      <c r="G471" t="s">
        <v>53</v>
      </c>
      <c r="H471" t="s">
        <v>54</v>
      </c>
      <c r="I471" t="s">
        <v>30</v>
      </c>
      <c r="J471" t="s">
        <v>55</v>
      </c>
      <c r="K471" t="s">
        <v>27</v>
      </c>
      <c r="L471" t="s">
        <v>3090</v>
      </c>
      <c r="M471" t="s">
        <v>3091</v>
      </c>
      <c r="N471" t="s">
        <v>646</v>
      </c>
      <c r="O471" t="s">
        <v>83</v>
      </c>
      <c r="P471" t="s">
        <v>3092</v>
      </c>
      <c r="Q471" t="s">
        <v>86</v>
      </c>
      <c r="R471" s="23" t="s">
        <v>3093</v>
      </c>
      <c r="S471" s="23">
        <v>46169</v>
      </c>
      <c r="T471">
        <v>2</v>
      </c>
      <c r="U471">
        <v>5504</v>
      </c>
      <c r="V471">
        <v>0</v>
      </c>
      <c r="W471">
        <v>5504</v>
      </c>
    </row>
    <row r="472" spans="1:23" hidden="1" x14ac:dyDescent="0.25">
      <c r="A472">
        <v>15741</v>
      </c>
      <c r="B472">
        <v>455346976</v>
      </c>
      <c r="C472" t="s">
        <v>3094</v>
      </c>
      <c r="D472" s="8" t="s">
        <v>3095</v>
      </c>
      <c r="E472" t="s">
        <v>644</v>
      </c>
      <c r="G472" t="s">
        <v>53</v>
      </c>
      <c r="H472" t="s">
        <v>54</v>
      </c>
      <c r="I472" t="s">
        <v>30</v>
      </c>
      <c r="J472" t="s">
        <v>55</v>
      </c>
      <c r="K472" t="s">
        <v>27</v>
      </c>
      <c r="L472" t="s">
        <v>3096</v>
      </c>
      <c r="M472" t="s">
        <v>453</v>
      </c>
      <c r="N472" t="s">
        <v>646</v>
      </c>
      <c r="O472" t="s">
        <v>83</v>
      </c>
      <c r="P472" t="s">
        <v>3097</v>
      </c>
      <c r="Q472" t="s">
        <v>50</v>
      </c>
      <c r="R472" s="23" t="s">
        <v>3098</v>
      </c>
      <c r="S472" s="23">
        <v>46169</v>
      </c>
      <c r="T472">
        <v>2</v>
      </c>
      <c r="U472">
        <v>5504</v>
      </c>
      <c r="V472">
        <v>0</v>
      </c>
      <c r="W472">
        <v>5504</v>
      </c>
    </row>
    <row r="473" spans="1:23" hidden="1" x14ac:dyDescent="0.25">
      <c r="A473">
        <v>15741</v>
      </c>
      <c r="B473">
        <v>455344693</v>
      </c>
      <c r="C473" t="s">
        <v>3099</v>
      </c>
      <c r="D473" s="8" t="s">
        <v>3100</v>
      </c>
      <c r="E473" t="s">
        <v>644</v>
      </c>
      <c r="G473" t="s">
        <v>53</v>
      </c>
      <c r="H473" t="s">
        <v>54</v>
      </c>
      <c r="I473" t="s">
        <v>30</v>
      </c>
      <c r="J473" t="s">
        <v>55</v>
      </c>
      <c r="K473" t="s">
        <v>27</v>
      </c>
      <c r="L473" t="s">
        <v>3101</v>
      </c>
      <c r="M473" t="s">
        <v>3102</v>
      </c>
      <c r="N473" t="s">
        <v>646</v>
      </c>
      <c r="O473" t="s">
        <v>83</v>
      </c>
      <c r="P473" t="s">
        <v>3103</v>
      </c>
      <c r="Q473" t="s">
        <v>50</v>
      </c>
      <c r="R473" s="23" t="s">
        <v>609</v>
      </c>
      <c r="S473" s="23">
        <v>46169</v>
      </c>
      <c r="T473">
        <v>2.1</v>
      </c>
      <c r="U473">
        <v>5816</v>
      </c>
      <c r="V473">
        <v>0</v>
      </c>
      <c r="W473">
        <v>5816</v>
      </c>
    </row>
    <row r="474" spans="1:23" hidden="1" x14ac:dyDescent="0.25">
      <c r="A474">
        <v>15741</v>
      </c>
      <c r="B474">
        <v>455346913</v>
      </c>
      <c r="C474" t="s">
        <v>3104</v>
      </c>
      <c r="D474" s="8" t="s">
        <v>3105</v>
      </c>
      <c r="E474" t="s">
        <v>644</v>
      </c>
      <c r="G474" t="s">
        <v>53</v>
      </c>
      <c r="H474" t="s">
        <v>54</v>
      </c>
      <c r="I474" t="s">
        <v>30</v>
      </c>
      <c r="J474" t="s">
        <v>55</v>
      </c>
      <c r="K474" t="s">
        <v>27</v>
      </c>
      <c r="L474" t="s">
        <v>3106</v>
      </c>
      <c r="M474" t="s">
        <v>3107</v>
      </c>
      <c r="N474" t="s">
        <v>646</v>
      </c>
      <c r="O474" t="s">
        <v>83</v>
      </c>
      <c r="P474" t="s">
        <v>3108</v>
      </c>
      <c r="Q474" t="s">
        <v>75</v>
      </c>
      <c r="R474" s="23" t="s">
        <v>3109</v>
      </c>
      <c r="S474" s="23">
        <v>46169</v>
      </c>
      <c r="T474">
        <v>2.1</v>
      </c>
      <c r="U474">
        <v>5816</v>
      </c>
      <c r="V474">
        <v>0</v>
      </c>
      <c r="W474">
        <v>5816</v>
      </c>
    </row>
    <row r="475" spans="1:23" hidden="1" x14ac:dyDescent="0.25">
      <c r="A475">
        <v>15741</v>
      </c>
      <c r="B475">
        <v>455345542</v>
      </c>
      <c r="C475" t="s">
        <v>3110</v>
      </c>
      <c r="D475" s="8" t="s">
        <v>3111</v>
      </c>
      <c r="E475" t="s">
        <v>644</v>
      </c>
      <c r="G475" t="s">
        <v>53</v>
      </c>
      <c r="H475" t="s">
        <v>54</v>
      </c>
      <c r="I475" t="s">
        <v>30</v>
      </c>
      <c r="J475" t="s">
        <v>55</v>
      </c>
      <c r="K475" t="s">
        <v>27</v>
      </c>
      <c r="L475" t="s">
        <v>3112</v>
      </c>
      <c r="M475" t="s">
        <v>3113</v>
      </c>
      <c r="N475" t="s">
        <v>646</v>
      </c>
      <c r="O475" t="s">
        <v>83</v>
      </c>
      <c r="P475" t="s">
        <v>3114</v>
      </c>
      <c r="Q475" t="s">
        <v>208</v>
      </c>
      <c r="R475" s="23" t="s">
        <v>3115</v>
      </c>
      <c r="S475" s="23">
        <v>46169</v>
      </c>
      <c r="T475">
        <v>2.1</v>
      </c>
      <c r="U475">
        <v>5816</v>
      </c>
      <c r="V475">
        <v>0</v>
      </c>
      <c r="W475">
        <v>5816</v>
      </c>
    </row>
    <row r="476" spans="1:23" hidden="1" x14ac:dyDescent="0.25">
      <c r="A476">
        <v>15741</v>
      </c>
      <c r="B476">
        <v>455347423</v>
      </c>
      <c r="C476" t="s">
        <v>3116</v>
      </c>
      <c r="D476" s="8" t="s">
        <v>3117</v>
      </c>
      <c r="E476" t="s">
        <v>644</v>
      </c>
      <c r="G476" t="s">
        <v>53</v>
      </c>
      <c r="H476" t="s">
        <v>54</v>
      </c>
      <c r="I476" t="s">
        <v>30</v>
      </c>
      <c r="J476" t="s">
        <v>55</v>
      </c>
      <c r="K476" t="s">
        <v>27</v>
      </c>
      <c r="L476" t="s">
        <v>3118</v>
      </c>
      <c r="M476" t="s">
        <v>3119</v>
      </c>
      <c r="N476" t="s">
        <v>646</v>
      </c>
      <c r="O476" t="s">
        <v>83</v>
      </c>
      <c r="P476" t="s">
        <v>3120</v>
      </c>
      <c r="Q476" t="s">
        <v>50</v>
      </c>
      <c r="R476" s="23" t="s">
        <v>3121</v>
      </c>
      <c r="S476" s="23">
        <v>46169</v>
      </c>
      <c r="T476">
        <v>2.1</v>
      </c>
      <c r="U476">
        <v>5816</v>
      </c>
      <c r="V476">
        <v>0</v>
      </c>
      <c r="W476">
        <v>5816</v>
      </c>
    </row>
    <row r="477" spans="1:23" hidden="1" x14ac:dyDescent="0.25">
      <c r="A477">
        <v>15741</v>
      </c>
      <c r="B477">
        <v>455349486</v>
      </c>
      <c r="C477" t="s">
        <v>3122</v>
      </c>
      <c r="D477" s="8" t="s">
        <v>3123</v>
      </c>
      <c r="E477" t="s">
        <v>644</v>
      </c>
      <c r="G477" t="s">
        <v>53</v>
      </c>
      <c r="H477" t="s">
        <v>54</v>
      </c>
      <c r="I477" t="s">
        <v>30</v>
      </c>
      <c r="J477" t="s">
        <v>55</v>
      </c>
      <c r="K477" t="s">
        <v>27</v>
      </c>
      <c r="L477" t="s">
        <v>3124</v>
      </c>
      <c r="M477" t="s">
        <v>3125</v>
      </c>
      <c r="N477" t="s">
        <v>646</v>
      </c>
      <c r="O477" t="s">
        <v>83</v>
      </c>
      <c r="P477" t="s">
        <v>3126</v>
      </c>
      <c r="Q477" t="s">
        <v>86</v>
      </c>
      <c r="R477" s="23" t="s">
        <v>365</v>
      </c>
      <c r="S477" s="23">
        <v>46169</v>
      </c>
      <c r="T477">
        <v>13.8</v>
      </c>
      <c r="U477">
        <v>9304</v>
      </c>
      <c r="V477">
        <v>0</v>
      </c>
      <c r="W477">
        <v>9304</v>
      </c>
    </row>
    <row r="478" spans="1:23" hidden="1" x14ac:dyDescent="0.25">
      <c r="A478">
        <v>15741</v>
      </c>
      <c r="B478">
        <v>455349460</v>
      </c>
      <c r="C478" t="s">
        <v>3127</v>
      </c>
      <c r="D478" s="8" t="s">
        <v>3128</v>
      </c>
      <c r="E478" t="s">
        <v>644</v>
      </c>
      <c r="G478" t="s">
        <v>53</v>
      </c>
      <c r="H478" t="s">
        <v>54</v>
      </c>
      <c r="I478" t="s">
        <v>30</v>
      </c>
      <c r="J478" t="s">
        <v>55</v>
      </c>
      <c r="K478" t="s">
        <v>27</v>
      </c>
      <c r="L478" t="s">
        <v>3129</v>
      </c>
      <c r="M478" t="s">
        <v>3130</v>
      </c>
      <c r="N478" t="s">
        <v>646</v>
      </c>
      <c r="O478" t="s">
        <v>83</v>
      </c>
      <c r="P478" t="s">
        <v>3131</v>
      </c>
      <c r="Q478" t="s">
        <v>93</v>
      </c>
      <c r="R478" s="23" t="s">
        <v>3132</v>
      </c>
      <c r="S478" s="23">
        <v>46169</v>
      </c>
      <c r="T478">
        <v>13.8</v>
      </c>
      <c r="U478">
        <v>9420</v>
      </c>
      <c r="V478">
        <v>0</v>
      </c>
      <c r="W478">
        <v>9420</v>
      </c>
    </row>
    <row r="479" spans="1:23" hidden="1" x14ac:dyDescent="0.25">
      <c r="A479">
        <v>15741</v>
      </c>
      <c r="B479">
        <v>455344594</v>
      </c>
      <c r="C479" t="s">
        <v>3133</v>
      </c>
      <c r="D479" s="8" t="s">
        <v>3134</v>
      </c>
      <c r="E479" t="s">
        <v>644</v>
      </c>
      <c r="G479" t="s">
        <v>53</v>
      </c>
      <c r="H479" t="s">
        <v>54</v>
      </c>
      <c r="I479" t="s">
        <v>30</v>
      </c>
      <c r="J479" t="s">
        <v>55</v>
      </c>
      <c r="K479" t="s">
        <v>27</v>
      </c>
      <c r="L479" t="s">
        <v>3135</v>
      </c>
      <c r="M479" t="s">
        <v>3136</v>
      </c>
      <c r="N479" t="s">
        <v>646</v>
      </c>
      <c r="O479" t="s">
        <v>83</v>
      </c>
      <c r="P479" t="s">
        <v>3137</v>
      </c>
      <c r="Q479" t="s">
        <v>43</v>
      </c>
      <c r="R479" s="23" t="s">
        <v>3138</v>
      </c>
      <c r="S479" s="23">
        <v>46169</v>
      </c>
      <c r="T479">
        <v>2.1</v>
      </c>
      <c r="U479">
        <v>5816</v>
      </c>
      <c r="V479">
        <v>0</v>
      </c>
      <c r="W479">
        <v>5816</v>
      </c>
    </row>
    <row r="480" spans="1:23" hidden="1" x14ac:dyDescent="0.25">
      <c r="A480">
        <v>15741</v>
      </c>
      <c r="B480">
        <v>455349408</v>
      </c>
      <c r="C480" t="s">
        <v>3139</v>
      </c>
      <c r="D480" s="8" t="s">
        <v>3140</v>
      </c>
      <c r="E480" t="s">
        <v>644</v>
      </c>
      <c r="G480" t="s">
        <v>53</v>
      </c>
      <c r="H480" t="s">
        <v>54</v>
      </c>
      <c r="I480" t="s">
        <v>30</v>
      </c>
      <c r="J480" t="s">
        <v>55</v>
      </c>
      <c r="K480" t="s">
        <v>27</v>
      </c>
      <c r="L480" t="s">
        <v>3141</v>
      </c>
      <c r="M480" t="s">
        <v>3142</v>
      </c>
      <c r="N480" t="s">
        <v>646</v>
      </c>
      <c r="O480" t="s">
        <v>83</v>
      </c>
      <c r="P480" t="s">
        <v>3143</v>
      </c>
      <c r="Q480" t="s">
        <v>51</v>
      </c>
      <c r="R480" s="23" t="s">
        <v>3144</v>
      </c>
      <c r="S480" s="23">
        <v>46169</v>
      </c>
      <c r="T480">
        <v>12</v>
      </c>
      <c r="U480">
        <v>8670</v>
      </c>
      <c r="V480">
        <v>0</v>
      </c>
      <c r="W480">
        <v>8670</v>
      </c>
    </row>
    <row r="481" spans="1:23" hidden="1" x14ac:dyDescent="0.25">
      <c r="A481">
        <v>15741</v>
      </c>
      <c r="B481">
        <v>455347555</v>
      </c>
      <c r="C481" t="s">
        <v>3145</v>
      </c>
      <c r="D481" s="8" t="s">
        <v>3146</v>
      </c>
      <c r="E481" t="s">
        <v>644</v>
      </c>
      <c r="G481" t="s">
        <v>53</v>
      </c>
      <c r="H481" t="s">
        <v>54</v>
      </c>
      <c r="I481" t="s">
        <v>30</v>
      </c>
      <c r="J481" t="s">
        <v>55</v>
      </c>
      <c r="K481" t="s">
        <v>27</v>
      </c>
      <c r="L481" t="s">
        <v>3147</v>
      </c>
      <c r="M481" t="s">
        <v>3148</v>
      </c>
      <c r="N481" t="s">
        <v>646</v>
      </c>
      <c r="O481" t="s">
        <v>83</v>
      </c>
      <c r="P481" t="s">
        <v>3149</v>
      </c>
      <c r="Q481" t="s">
        <v>45</v>
      </c>
      <c r="R481" s="23" t="s">
        <v>3150</v>
      </c>
      <c r="S481" s="23">
        <v>46169</v>
      </c>
      <c r="T481">
        <v>4.9000000000000004</v>
      </c>
      <c r="U481">
        <v>6450</v>
      </c>
      <c r="V481">
        <v>0</v>
      </c>
      <c r="W481">
        <v>6450</v>
      </c>
    </row>
    <row r="482" spans="1:23" hidden="1" x14ac:dyDescent="0.25">
      <c r="A482">
        <v>15741</v>
      </c>
      <c r="B482">
        <v>455345435</v>
      </c>
      <c r="C482" t="s">
        <v>3151</v>
      </c>
      <c r="D482" s="8" t="s">
        <v>3152</v>
      </c>
      <c r="E482" t="s">
        <v>644</v>
      </c>
      <c r="G482" t="s">
        <v>53</v>
      </c>
      <c r="H482" t="s">
        <v>54</v>
      </c>
      <c r="I482" t="s">
        <v>30</v>
      </c>
      <c r="J482" t="s">
        <v>55</v>
      </c>
      <c r="K482" t="s">
        <v>27</v>
      </c>
      <c r="L482" t="s">
        <v>3153</v>
      </c>
      <c r="M482" t="s">
        <v>3154</v>
      </c>
      <c r="N482" t="s">
        <v>646</v>
      </c>
      <c r="O482" t="s">
        <v>83</v>
      </c>
      <c r="P482" t="s">
        <v>3155</v>
      </c>
      <c r="Q482" t="s">
        <v>50</v>
      </c>
      <c r="R482" s="23" t="s">
        <v>3156</v>
      </c>
      <c r="S482" s="23">
        <v>46169</v>
      </c>
      <c r="T482">
        <v>2.1</v>
      </c>
      <c r="U482">
        <v>5816</v>
      </c>
      <c r="V482">
        <v>0</v>
      </c>
      <c r="W482">
        <v>5816</v>
      </c>
    </row>
    <row r="483" spans="1:23" hidden="1" x14ac:dyDescent="0.25">
      <c r="A483">
        <v>15741</v>
      </c>
      <c r="B483">
        <v>455345980</v>
      </c>
      <c r="C483" t="s">
        <v>3157</v>
      </c>
      <c r="D483" s="8" t="s">
        <v>3158</v>
      </c>
      <c r="E483" t="s">
        <v>644</v>
      </c>
      <c r="G483" t="s">
        <v>53</v>
      </c>
      <c r="H483" t="s">
        <v>54</v>
      </c>
      <c r="I483" t="s">
        <v>30</v>
      </c>
      <c r="J483" t="s">
        <v>55</v>
      </c>
      <c r="K483" t="s">
        <v>27</v>
      </c>
      <c r="L483" t="s">
        <v>3159</v>
      </c>
      <c r="M483" t="s">
        <v>3160</v>
      </c>
      <c r="N483" t="s">
        <v>646</v>
      </c>
      <c r="O483" t="s">
        <v>83</v>
      </c>
      <c r="P483" t="s">
        <v>3161</v>
      </c>
      <c r="Q483" t="s">
        <v>43</v>
      </c>
      <c r="R483" s="23" t="s">
        <v>3162</v>
      </c>
      <c r="S483" s="23">
        <v>46169</v>
      </c>
      <c r="T483">
        <v>2.1</v>
      </c>
      <c r="U483">
        <v>5816</v>
      </c>
      <c r="V483">
        <v>0</v>
      </c>
      <c r="W483">
        <v>5816</v>
      </c>
    </row>
    <row r="484" spans="1:23" hidden="1" x14ac:dyDescent="0.25">
      <c r="A484">
        <v>15741</v>
      </c>
      <c r="B484">
        <v>455345608</v>
      </c>
      <c r="C484" t="s">
        <v>3163</v>
      </c>
      <c r="D484" s="8" t="s">
        <v>3164</v>
      </c>
      <c r="E484" t="s">
        <v>644</v>
      </c>
      <c r="G484" t="s">
        <v>53</v>
      </c>
      <c r="H484" t="s">
        <v>54</v>
      </c>
      <c r="I484" t="s">
        <v>30</v>
      </c>
      <c r="J484" t="s">
        <v>55</v>
      </c>
      <c r="K484" t="s">
        <v>27</v>
      </c>
      <c r="L484" t="s">
        <v>3165</v>
      </c>
      <c r="M484" t="s">
        <v>3166</v>
      </c>
      <c r="N484" t="s">
        <v>646</v>
      </c>
      <c r="O484" t="s">
        <v>83</v>
      </c>
      <c r="P484" t="s">
        <v>3167</v>
      </c>
      <c r="Q484" t="s">
        <v>46</v>
      </c>
      <c r="R484" s="23" t="s">
        <v>3168</v>
      </c>
      <c r="S484" s="23">
        <v>46169</v>
      </c>
      <c r="T484">
        <v>2</v>
      </c>
      <c r="U484">
        <v>5504</v>
      </c>
      <c r="V484">
        <v>0</v>
      </c>
      <c r="W484">
        <v>5504</v>
      </c>
    </row>
    <row r="485" spans="1:23" hidden="1" x14ac:dyDescent="0.25">
      <c r="A485">
        <v>15741</v>
      </c>
      <c r="B485">
        <v>455318889</v>
      </c>
      <c r="C485" t="s">
        <v>3169</v>
      </c>
      <c r="D485" s="8" t="s">
        <v>3170</v>
      </c>
      <c r="E485" t="s">
        <v>644</v>
      </c>
      <c r="G485" t="s">
        <v>53</v>
      </c>
      <c r="H485" t="s">
        <v>54</v>
      </c>
      <c r="I485" t="s">
        <v>30</v>
      </c>
      <c r="J485" t="s">
        <v>55</v>
      </c>
      <c r="K485" t="s">
        <v>27</v>
      </c>
      <c r="L485" t="s">
        <v>3171</v>
      </c>
      <c r="M485" t="s">
        <v>3172</v>
      </c>
      <c r="N485" t="s">
        <v>646</v>
      </c>
      <c r="O485" t="s">
        <v>83</v>
      </c>
      <c r="P485" t="s">
        <v>3173</v>
      </c>
      <c r="Q485" t="s">
        <v>119</v>
      </c>
      <c r="R485" s="23" t="s">
        <v>255</v>
      </c>
      <c r="S485" s="23">
        <v>46168</v>
      </c>
      <c r="T485">
        <v>0.3</v>
      </c>
      <c r="U485">
        <v>6024</v>
      </c>
      <c r="V485">
        <v>0</v>
      </c>
      <c r="W485">
        <v>6024</v>
      </c>
    </row>
    <row r="486" spans="1:23" hidden="1" x14ac:dyDescent="0.25">
      <c r="A486">
        <v>15741</v>
      </c>
      <c r="B486">
        <v>455346280</v>
      </c>
      <c r="C486" t="s">
        <v>3174</v>
      </c>
      <c r="D486" s="8" t="s">
        <v>3175</v>
      </c>
      <c r="E486" t="s">
        <v>644</v>
      </c>
      <c r="G486" t="s">
        <v>53</v>
      </c>
      <c r="H486" t="s">
        <v>54</v>
      </c>
      <c r="I486" t="s">
        <v>30</v>
      </c>
      <c r="J486" t="s">
        <v>55</v>
      </c>
      <c r="K486" t="s">
        <v>27</v>
      </c>
      <c r="L486" t="s">
        <v>3176</v>
      </c>
      <c r="M486" t="s">
        <v>3177</v>
      </c>
      <c r="N486" t="s">
        <v>646</v>
      </c>
      <c r="O486" t="s">
        <v>83</v>
      </c>
      <c r="P486" t="s">
        <v>3178</v>
      </c>
      <c r="Q486" t="s">
        <v>81</v>
      </c>
      <c r="R486" s="23" t="s">
        <v>329</v>
      </c>
      <c r="S486" s="23">
        <v>46169</v>
      </c>
      <c r="T486">
        <v>2.1</v>
      </c>
      <c r="U486">
        <v>5816</v>
      </c>
      <c r="V486">
        <v>0</v>
      </c>
      <c r="W486">
        <v>5816</v>
      </c>
    </row>
    <row r="487" spans="1:23" hidden="1" x14ac:dyDescent="0.25">
      <c r="A487">
        <v>15741</v>
      </c>
      <c r="B487">
        <v>455346120</v>
      </c>
      <c r="C487" t="s">
        <v>3179</v>
      </c>
      <c r="D487" s="8" t="s">
        <v>3180</v>
      </c>
      <c r="E487" t="s">
        <v>644</v>
      </c>
      <c r="G487" t="s">
        <v>53</v>
      </c>
      <c r="H487" t="s">
        <v>54</v>
      </c>
      <c r="I487" t="s">
        <v>30</v>
      </c>
      <c r="J487" t="s">
        <v>55</v>
      </c>
      <c r="K487" t="s">
        <v>27</v>
      </c>
      <c r="L487" t="s">
        <v>3181</v>
      </c>
      <c r="M487" t="s">
        <v>3177</v>
      </c>
      <c r="N487" t="s">
        <v>646</v>
      </c>
      <c r="O487" t="s">
        <v>83</v>
      </c>
      <c r="P487" t="s">
        <v>3178</v>
      </c>
      <c r="Q487" t="s">
        <v>81</v>
      </c>
      <c r="R487" s="23" t="s">
        <v>428</v>
      </c>
      <c r="S487" s="23">
        <v>46169</v>
      </c>
      <c r="T487">
        <v>2</v>
      </c>
      <c r="U487">
        <v>5504</v>
      </c>
      <c r="V487">
        <v>0</v>
      </c>
      <c r="W487">
        <v>5504</v>
      </c>
    </row>
    <row r="488" spans="1:23" hidden="1" x14ac:dyDescent="0.25">
      <c r="A488">
        <v>15741</v>
      </c>
      <c r="B488">
        <v>455317998</v>
      </c>
      <c r="C488" t="s">
        <v>3182</v>
      </c>
      <c r="D488" s="8" t="s">
        <v>3183</v>
      </c>
      <c r="E488" t="s">
        <v>644</v>
      </c>
      <c r="G488" t="s">
        <v>53</v>
      </c>
      <c r="H488" t="s">
        <v>54</v>
      </c>
      <c r="I488" t="s">
        <v>30</v>
      </c>
      <c r="J488" t="s">
        <v>55</v>
      </c>
      <c r="K488" t="s">
        <v>27</v>
      </c>
      <c r="L488" t="s">
        <v>3184</v>
      </c>
      <c r="M488" t="s">
        <v>3185</v>
      </c>
      <c r="N488" t="s">
        <v>646</v>
      </c>
      <c r="O488" t="s">
        <v>83</v>
      </c>
      <c r="P488" t="s">
        <v>3186</v>
      </c>
      <c r="Q488" t="s">
        <v>98</v>
      </c>
      <c r="R488" s="23" t="s">
        <v>3187</v>
      </c>
      <c r="S488" s="23">
        <v>46168</v>
      </c>
      <c r="T488">
        <v>704.07</v>
      </c>
      <c r="U488">
        <v>229248</v>
      </c>
      <c r="V488">
        <v>34176</v>
      </c>
      <c r="W488">
        <v>263424</v>
      </c>
    </row>
    <row r="489" spans="1:23" hidden="1" x14ac:dyDescent="0.25">
      <c r="A489">
        <v>15741</v>
      </c>
      <c r="B489">
        <v>455349377</v>
      </c>
      <c r="C489" t="s">
        <v>3188</v>
      </c>
      <c r="D489" s="8" t="s">
        <v>3189</v>
      </c>
      <c r="E489" t="s">
        <v>644</v>
      </c>
      <c r="G489" t="s">
        <v>53</v>
      </c>
      <c r="H489" t="s">
        <v>54</v>
      </c>
      <c r="I489" t="s">
        <v>30</v>
      </c>
      <c r="J489" t="s">
        <v>55</v>
      </c>
      <c r="K489" t="s">
        <v>27</v>
      </c>
      <c r="L489" t="s">
        <v>3190</v>
      </c>
      <c r="M489" t="s">
        <v>3191</v>
      </c>
      <c r="N489" t="s">
        <v>646</v>
      </c>
      <c r="O489" t="s">
        <v>83</v>
      </c>
      <c r="P489" t="s">
        <v>3192</v>
      </c>
      <c r="Q489" t="s">
        <v>44</v>
      </c>
      <c r="R489" s="23" t="s">
        <v>3193</v>
      </c>
      <c r="S489" s="23">
        <v>46169</v>
      </c>
      <c r="T489">
        <v>15</v>
      </c>
      <c r="U489">
        <v>9628</v>
      </c>
      <c r="V489">
        <v>0</v>
      </c>
      <c r="W489">
        <v>9628</v>
      </c>
    </row>
    <row r="490" spans="1:23" hidden="1" x14ac:dyDescent="0.25">
      <c r="A490">
        <v>15741</v>
      </c>
      <c r="B490">
        <v>455345095</v>
      </c>
      <c r="C490" t="s">
        <v>3194</v>
      </c>
      <c r="D490" s="8" t="s">
        <v>3195</v>
      </c>
      <c r="E490" t="s">
        <v>644</v>
      </c>
      <c r="G490" t="s">
        <v>53</v>
      </c>
      <c r="H490" t="s">
        <v>54</v>
      </c>
      <c r="I490" t="s">
        <v>30</v>
      </c>
      <c r="J490" t="s">
        <v>55</v>
      </c>
      <c r="K490" t="s">
        <v>27</v>
      </c>
      <c r="L490" t="s">
        <v>3196</v>
      </c>
      <c r="M490" t="s">
        <v>3197</v>
      </c>
      <c r="N490" t="s">
        <v>646</v>
      </c>
      <c r="O490" t="s">
        <v>83</v>
      </c>
      <c r="P490" t="s">
        <v>3198</v>
      </c>
      <c r="Q490" t="s">
        <v>45</v>
      </c>
      <c r="R490" s="23" t="s">
        <v>3199</v>
      </c>
      <c r="S490" s="23">
        <v>46169</v>
      </c>
      <c r="T490">
        <v>2.1</v>
      </c>
      <c r="U490">
        <v>5816</v>
      </c>
      <c r="V490">
        <v>0</v>
      </c>
      <c r="W490">
        <v>5816</v>
      </c>
    </row>
    <row r="491" spans="1:23" hidden="1" x14ac:dyDescent="0.25">
      <c r="A491">
        <v>15741</v>
      </c>
      <c r="B491">
        <v>455345164</v>
      </c>
      <c r="C491" t="s">
        <v>3200</v>
      </c>
      <c r="D491" s="8" t="s">
        <v>3201</v>
      </c>
      <c r="E491" t="s">
        <v>644</v>
      </c>
      <c r="G491" t="s">
        <v>53</v>
      </c>
      <c r="H491" t="s">
        <v>54</v>
      </c>
      <c r="I491" t="s">
        <v>30</v>
      </c>
      <c r="J491" t="s">
        <v>55</v>
      </c>
      <c r="K491" t="s">
        <v>27</v>
      </c>
      <c r="L491" t="s">
        <v>3202</v>
      </c>
      <c r="M491" t="s">
        <v>3203</v>
      </c>
      <c r="N491" t="s">
        <v>646</v>
      </c>
      <c r="O491" t="s">
        <v>83</v>
      </c>
      <c r="P491" t="s">
        <v>3204</v>
      </c>
      <c r="Q491" t="s">
        <v>43</v>
      </c>
      <c r="R491" s="23" t="s">
        <v>3205</v>
      </c>
      <c r="S491" s="23">
        <v>46169</v>
      </c>
      <c r="T491">
        <v>2</v>
      </c>
      <c r="U491">
        <v>5504</v>
      </c>
      <c r="V491">
        <v>0</v>
      </c>
      <c r="W491">
        <v>5504</v>
      </c>
    </row>
    <row r="492" spans="1:23" hidden="1" x14ac:dyDescent="0.25">
      <c r="A492">
        <v>15741</v>
      </c>
      <c r="B492">
        <v>455349566</v>
      </c>
      <c r="C492" t="s">
        <v>3206</v>
      </c>
      <c r="D492" s="8" t="s">
        <v>3207</v>
      </c>
      <c r="E492" t="s">
        <v>644</v>
      </c>
      <c r="G492" t="s">
        <v>53</v>
      </c>
      <c r="H492" t="s">
        <v>54</v>
      </c>
      <c r="I492" t="s">
        <v>30</v>
      </c>
      <c r="J492" t="s">
        <v>55</v>
      </c>
      <c r="K492" t="s">
        <v>27</v>
      </c>
      <c r="L492" t="s">
        <v>3208</v>
      </c>
      <c r="M492" t="s">
        <v>3209</v>
      </c>
      <c r="N492" t="s">
        <v>646</v>
      </c>
      <c r="O492" t="s">
        <v>83</v>
      </c>
      <c r="P492" t="s">
        <v>3210</v>
      </c>
      <c r="Q492" t="s">
        <v>43</v>
      </c>
      <c r="R492" s="23" t="s">
        <v>3211</v>
      </c>
      <c r="S492" s="23">
        <v>46169</v>
      </c>
      <c r="T492">
        <v>7.9</v>
      </c>
      <c r="U492">
        <v>7409</v>
      </c>
      <c r="V492">
        <v>0</v>
      </c>
      <c r="W492">
        <v>7409</v>
      </c>
    </row>
    <row r="493" spans="1:23" hidden="1" x14ac:dyDescent="0.25">
      <c r="A493">
        <v>15741</v>
      </c>
      <c r="B493">
        <v>455349600</v>
      </c>
      <c r="C493" t="s">
        <v>3212</v>
      </c>
      <c r="D493" s="8" t="s">
        <v>3213</v>
      </c>
      <c r="E493" t="s">
        <v>644</v>
      </c>
      <c r="G493" t="s">
        <v>53</v>
      </c>
      <c r="H493" t="s">
        <v>54</v>
      </c>
      <c r="I493" t="s">
        <v>30</v>
      </c>
      <c r="J493" t="s">
        <v>55</v>
      </c>
      <c r="K493" t="s">
        <v>27</v>
      </c>
      <c r="L493" t="s">
        <v>3214</v>
      </c>
      <c r="M493" t="s">
        <v>3215</v>
      </c>
      <c r="N493" t="s">
        <v>646</v>
      </c>
      <c r="O493" t="s">
        <v>83</v>
      </c>
      <c r="P493" t="s">
        <v>3216</v>
      </c>
      <c r="Q493" t="s">
        <v>88</v>
      </c>
      <c r="R493" s="23" t="s">
        <v>3211</v>
      </c>
      <c r="S493" s="23">
        <v>46169</v>
      </c>
      <c r="T493">
        <v>7.88</v>
      </c>
      <c r="U493">
        <v>12196</v>
      </c>
      <c r="V493">
        <v>0</v>
      </c>
      <c r="W493">
        <v>12196</v>
      </c>
    </row>
    <row r="494" spans="1:23" hidden="1" x14ac:dyDescent="0.25">
      <c r="A494">
        <v>15741</v>
      </c>
      <c r="B494">
        <v>455346586</v>
      </c>
      <c r="C494" t="s">
        <v>3217</v>
      </c>
      <c r="D494" s="8" t="s">
        <v>3218</v>
      </c>
      <c r="E494" t="s">
        <v>644</v>
      </c>
      <c r="G494" t="s">
        <v>53</v>
      </c>
      <c r="H494" t="s">
        <v>54</v>
      </c>
      <c r="I494" t="s">
        <v>30</v>
      </c>
      <c r="J494" t="s">
        <v>55</v>
      </c>
      <c r="K494" t="s">
        <v>27</v>
      </c>
      <c r="L494" t="s">
        <v>3219</v>
      </c>
      <c r="M494" t="s">
        <v>3220</v>
      </c>
      <c r="N494" t="s">
        <v>646</v>
      </c>
      <c r="O494" t="s">
        <v>83</v>
      </c>
      <c r="P494" t="s">
        <v>3221</v>
      </c>
      <c r="Q494" t="s">
        <v>52</v>
      </c>
      <c r="R494" s="23" t="s">
        <v>3222</v>
      </c>
      <c r="S494" s="23">
        <v>46169</v>
      </c>
      <c r="T494">
        <v>2.2000000000000002</v>
      </c>
      <c r="U494">
        <v>5816</v>
      </c>
      <c r="V494">
        <v>0</v>
      </c>
      <c r="W494">
        <v>5816</v>
      </c>
    </row>
    <row r="495" spans="1:23" hidden="1" x14ac:dyDescent="0.25">
      <c r="A495">
        <v>15741</v>
      </c>
      <c r="B495">
        <v>455344970</v>
      </c>
      <c r="C495" t="s">
        <v>3223</v>
      </c>
      <c r="D495" s="8" t="s">
        <v>3224</v>
      </c>
      <c r="E495" t="s">
        <v>644</v>
      </c>
      <c r="G495" t="s">
        <v>53</v>
      </c>
      <c r="H495" t="s">
        <v>54</v>
      </c>
      <c r="I495" t="s">
        <v>30</v>
      </c>
      <c r="J495" t="s">
        <v>55</v>
      </c>
      <c r="K495" t="s">
        <v>27</v>
      </c>
      <c r="L495" t="s">
        <v>3225</v>
      </c>
      <c r="M495" t="s">
        <v>3226</v>
      </c>
      <c r="N495" t="s">
        <v>646</v>
      </c>
      <c r="O495" t="s">
        <v>83</v>
      </c>
      <c r="P495" t="s">
        <v>3227</v>
      </c>
      <c r="Q495" t="s">
        <v>43</v>
      </c>
      <c r="R495" s="23" t="s">
        <v>3228</v>
      </c>
      <c r="S495" s="23">
        <v>46169</v>
      </c>
      <c r="T495">
        <v>2.1</v>
      </c>
      <c r="U495">
        <v>5816</v>
      </c>
      <c r="V495">
        <v>0</v>
      </c>
      <c r="W495">
        <v>5816</v>
      </c>
    </row>
    <row r="496" spans="1:23" hidden="1" x14ac:dyDescent="0.25">
      <c r="A496">
        <v>15741</v>
      </c>
      <c r="B496">
        <v>455346814</v>
      </c>
      <c r="C496" t="s">
        <v>3229</v>
      </c>
      <c r="D496" s="8" t="s">
        <v>3230</v>
      </c>
      <c r="E496" t="s">
        <v>644</v>
      </c>
      <c r="G496" t="s">
        <v>53</v>
      </c>
      <c r="H496" t="s">
        <v>54</v>
      </c>
      <c r="I496" t="s">
        <v>30</v>
      </c>
      <c r="J496" t="s">
        <v>55</v>
      </c>
      <c r="K496" t="s">
        <v>27</v>
      </c>
      <c r="L496" t="s">
        <v>3231</v>
      </c>
      <c r="M496" t="s">
        <v>3232</v>
      </c>
      <c r="N496" t="s">
        <v>646</v>
      </c>
      <c r="O496" t="s">
        <v>83</v>
      </c>
      <c r="P496" t="s">
        <v>3233</v>
      </c>
      <c r="Q496" t="s">
        <v>50</v>
      </c>
      <c r="R496" s="23" t="s">
        <v>3234</v>
      </c>
      <c r="S496" s="23">
        <v>46169</v>
      </c>
      <c r="T496">
        <v>2.1</v>
      </c>
      <c r="U496">
        <v>5816</v>
      </c>
      <c r="V496">
        <v>0</v>
      </c>
      <c r="W496">
        <v>5816</v>
      </c>
    </row>
    <row r="497" spans="1:23" hidden="1" x14ac:dyDescent="0.25">
      <c r="A497">
        <v>15741</v>
      </c>
      <c r="B497">
        <v>455345493</v>
      </c>
      <c r="C497" t="s">
        <v>3235</v>
      </c>
      <c r="D497" s="8" t="s">
        <v>3236</v>
      </c>
      <c r="E497" t="s">
        <v>644</v>
      </c>
      <c r="G497" t="s">
        <v>53</v>
      </c>
      <c r="H497" t="s">
        <v>54</v>
      </c>
      <c r="I497" t="s">
        <v>30</v>
      </c>
      <c r="J497" t="s">
        <v>55</v>
      </c>
      <c r="K497" t="s">
        <v>27</v>
      </c>
      <c r="L497" t="s">
        <v>3237</v>
      </c>
      <c r="M497" t="s">
        <v>3238</v>
      </c>
      <c r="N497" t="s">
        <v>646</v>
      </c>
      <c r="O497" t="s">
        <v>83</v>
      </c>
      <c r="P497" t="s">
        <v>3239</v>
      </c>
      <c r="Q497" t="s">
        <v>148</v>
      </c>
      <c r="R497" s="23" t="s">
        <v>296</v>
      </c>
      <c r="S497" s="23">
        <v>46169</v>
      </c>
      <c r="T497">
        <v>4.9000000000000004</v>
      </c>
      <c r="U497">
        <v>6450</v>
      </c>
      <c r="V497">
        <v>0</v>
      </c>
      <c r="W497">
        <v>6450</v>
      </c>
    </row>
    <row r="498" spans="1:23" hidden="1" x14ac:dyDescent="0.25">
      <c r="A498">
        <v>15741</v>
      </c>
      <c r="B498">
        <v>455346052</v>
      </c>
      <c r="C498" t="s">
        <v>3240</v>
      </c>
      <c r="D498" s="8" t="s">
        <v>3241</v>
      </c>
      <c r="E498" t="s">
        <v>644</v>
      </c>
      <c r="G498" t="s">
        <v>53</v>
      </c>
      <c r="H498" t="s">
        <v>54</v>
      </c>
      <c r="I498" t="s">
        <v>30</v>
      </c>
      <c r="J498" t="s">
        <v>55</v>
      </c>
      <c r="K498" t="s">
        <v>27</v>
      </c>
      <c r="L498" t="s">
        <v>3242</v>
      </c>
      <c r="M498" t="s">
        <v>3243</v>
      </c>
      <c r="N498" t="s">
        <v>646</v>
      </c>
      <c r="O498" t="s">
        <v>83</v>
      </c>
      <c r="P498" t="s">
        <v>3244</v>
      </c>
      <c r="Q498" t="s">
        <v>45</v>
      </c>
      <c r="R498" s="23" t="s">
        <v>3245</v>
      </c>
      <c r="S498" s="23">
        <v>46169</v>
      </c>
      <c r="T498">
        <v>2.1</v>
      </c>
      <c r="U498">
        <v>5816</v>
      </c>
      <c r="V498">
        <v>0</v>
      </c>
      <c r="W498">
        <v>5816</v>
      </c>
    </row>
    <row r="499" spans="1:23" hidden="1" x14ac:dyDescent="0.25">
      <c r="A499">
        <v>15741</v>
      </c>
      <c r="B499">
        <v>455346540</v>
      </c>
      <c r="C499" t="s">
        <v>3246</v>
      </c>
      <c r="D499" s="8" t="s">
        <v>3247</v>
      </c>
      <c r="E499" t="s">
        <v>644</v>
      </c>
      <c r="G499" t="s">
        <v>53</v>
      </c>
      <c r="H499" t="s">
        <v>54</v>
      </c>
      <c r="I499" t="s">
        <v>30</v>
      </c>
      <c r="J499" t="s">
        <v>55</v>
      </c>
      <c r="K499" t="s">
        <v>27</v>
      </c>
      <c r="L499" t="s">
        <v>3248</v>
      </c>
      <c r="M499" t="s">
        <v>3249</v>
      </c>
      <c r="N499" t="s">
        <v>646</v>
      </c>
      <c r="O499" t="s">
        <v>83</v>
      </c>
      <c r="P499" t="s">
        <v>3250</v>
      </c>
      <c r="Q499" t="s">
        <v>44</v>
      </c>
      <c r="R499" s="23" t="s">
        <v>578</v>
      </c>
      <c r="S499" s="23">
        <v>46169</v>
      </c>
      <c r="T499">
        <v>2</v>
      </c>
      <c r="U499">
        <v>5504</v>
      </c>
      <c r="V499">
        <v>0</v>
      </c>
      <c r="W499">
        <v>5504</v>
      </c>
    </row>
    <row r="500" spans="1:23" hidden="1" x14ac:dyDescent="0.25">
      <c r="A500">
        <v>15741</v>
      </c>
      <c r="B500">
        <v>455345697</v>
      </c>
      <c r="C500" t="s">
        <v>3251</v>
      </c>
      <c r="D500" s="8" t="s">
        <v>3252</v>
      </c>
      <c r="E500" t="s">
        <v>644</v>
      </c>
      <c r="G500" t="s">
        <v>53</v>
      </c>
      <c r="H500" t="s">
        <v>54</v>
      </c>
      <c r="I500" t="s">
        <v>30</v>
      </c>
      <c r="J500" t="s">
        <v>55</v>
      </c>
      <c r="K500" t="s">
        <v>27</v>
      </c>
      <c r="L500" t="s">
        <v>3253</v>
      </c>
      <c r="M500" t="s">
        <v>3254</v>
      </c>
      <c r="N500" t="s">
        <v>646</v>
      </c>
      <c r="O500" t="s">
        <v>83</v>
      </c>
      <c r="P500" t="s">
        <v>3255</v>
      </c>
      <c r="Q500" t="s">
        <v>52</v>
      </c>
      <c r="R500" s="23" t="s">
        <v>3256</v>
      </c>
      <c r="S500" s="23">
        <v>46169</v>
      </c>
      <c r="T500">
        <v>2.1</v>
      </c>
      <c r="U500">
        <v>5816</v>
      </c>
      <c r="V500">
        <v>0</v>
      </c>
      <c r="W500">
        <v>5816</v>
      </c>
    </row>
    <row r="501" spans="1:23" hidden="1" x14ac:dyDescent="0.25">
      <c r="A501">
        <v>15741</v>
      </c>
      <c r="B501">
        <v>455346345</v>
      </c>
      <c r="C501" t="s">
        <v>3257</v>
      </c>
      <c r="D501" s="8" t="s">
        <v>3258</v>
      </c>
      <c r="E501" t="s">
        <v>644</v>
      </c>
      <c r="G501" t="s">
        <v>53</v>
      </c>
      <c r="H501" t="s">
        <v>54</v>
      </c>
      <c r="I501" t="s">
        <v>30</v>
      </c>
      <c r="J501" t="s">
        <v>55</v>
      </c>
      <c r="K501" t="s">
        <v>27</v>
      </c>
      <c r="L501" t="s">
        <v>1444</v>
      </c>
      <c r="M501" t="s">
        <v>1445</v>
      </c>
      <c r="N501" t="s">
        <v>646</v>
      </c>
      <c r="O501" t="s">
        <v>83</v>
      </c>
      <c r="P501" t="s">
        <v>3259</v>
      </c>
      <c r="Q501" t="s">
        <v>48</v>
      </c>
      <c r="R501" s="23" t="s">
        <v>427</v>
      </c>
      <c r="S501" s="23">
        <v>46169</v>
      </c>
      <c r="T501">
        <v>2.1</v>
      </c>
      <c r="U501">
        <v>5816</v>
      </c>
      <c r="V501">
        <v>0</v>
      </c>
      <c r="W501">
        <v>5816</v>
      </c>
    </row>
    <row r="502" spans="1:23" hidden="1" x14ac:dyDescent="0.25">
      <c r="A502">
        <v>15741</v>
      </c>
      <c r="B502">
        <v>455318239</v>
      </c>
      <c r="C502" t="s">
        <v>3260</v>
      </c>
      <c r="D502" s="8" t="s">
        <v>3261</v>
      </c>
      <c r="E502" t="s">
        <v>644</v>
      </c>
      <c r="G502" t="s">
        <v>53</v>
      </c>
      <c r="H502" t="s">
        <v>54</v>
      </c>
      <c r="I502" t="s">
        <v>30</v>
      </c>
      <c r="J502" t="s">
        <v>55</v>
      </c>
      <c r="K502" t="s">
        <v>27</v>
      </c>
      <c r="L502" t="s">
        <v>3262</v>
      </c>
      <c r="M502" t="s">
        <v>3263</v>
      </c>
      <c r="N502" t="s">
        <v>646</v>
      </c>
      <c r="O502" t="s">
        <v>83</v>
      </c>
      <c r="P502" t="s">
        <v>3264</v>
      </c>
      <c r="Q502" t="s">
        <v>189</v>
      </c>
      <c r="R502" s="23" t="s">
        <v>3265</v>
      </c>
      <c r="S502" s="23">
        <v>46168</v>
      </c>
      <c r="T502">
        <v>150</v>
      </c>
      <c r="U502">
        <v>86166</v>
      </c>
      <c r="V502">
        <v>32196</v>
      </c>
      <c r="W502">
        <v>118362</v>
      </c>
    </row>
    <row r="503" spans="1:23" hidden="1" x14ac:dyDescent="0.25">
      <c r="A503">
        <v>15741</v>
      </c>
      <c r="B503">
        <v>455349531</v>
      </c>
      <c r="C503" t="s">
        <v>3266</v>
      </c>
      <c r="D503" s="8" t="s">
        <v>3267</v>
      </c>
      <c r="E503" t="s">
        <v>644</v>
      </c>
      <c r="G503" t="s">
        <v>53</v>
      </c>
      <c r="H503" t="s">
        <v>54</v>
      </c>
      <c r="I503" t="s">
        <v>30</v>
      </c>
      <c r="J503" t="s">
        <v>55</v>
      </c>
      <c r="K503" t="s">
        <v>27</v>
      </c>
      <c r="L503" t="s">
        <v>3268</v>
      </c>
      <c r="M503" t="s">
        <v>3269</v>
      </c>
      <c r="N503" t="s">
        <v>646</v>
      </c>
      <c r="O503" t="s">
        <v>83</v>
      </c>
      <c r="P503" t="s">
        <v>3270</v>
      </c>
      <c r="Q503" t="s">
        <v>66</v>
      </c>
      <c r="R503" s="23" t="s">
        <v>3271</v>
      </c>
      <c r="S503" s="23">
        <v>46169</v>
      </c>
      <c r="T503">
        <v>13.8</v>
      </c>
      <c r="U503">
        <v>9304</v>
      </c>
      <c r="V503">
        <v>0</v>
      </c>
      <c r="W503">
        <v>9304</v>
      </c>
    </row>
    <row r="504" spans="1:23" hidden="1" x14ac:dyDescent="0.25">
      <c r="A504">
        <v>15741</v>
      </c>
      <c r="B504">
        <v>455345017</v>
      </c>
      <c r="C504" t="s">
        <v>3272</v>
      </c>
      <c r="D504" s="8" t="s">
        <v>3273</v>
      </c>
      <c r="E504" t="s">
        <v>644</v>
      </c>
      <c r="G504" t="s">
        <v>53</v>
      </c>
      <c r="H504" t="s">
        <v>54</v>
      </c>
      <c r="I504" t="s">
        <v>30</v>
      </c>
      <c r="J504" t="s">
        <v>55</v>
      </c>
      <c r="K504" t="s">
        <v>27</v>
      </c>
      <c r="L504" t="s">
        <v>3274</v>
      </c>
      <c r="M504" t="s">
        <v>3275</v>
      </c>
      <c r="N504" t="s">
        <v>646</v>
      </c>
      <c r="O504" t="s">
        <v>83</v>
      </c>
      <c r="P504" t="s">
        <v>3276</v>
      </c>
      <c r="Q504" t="s">
        <v>49</v>
      </c>
      <c r="R504" s="23" t="s">
        <v>529</v>
      </c>
      <c r="S504" s="23">
        <v>46169</v>
      </c>
      <c r="T504">
        <v>1.8</v>
      </c>
      <c r="U504">
        <v>6707</v>
      </c>
      <c r="V504">
        <v>0</v>
      </c>
      <c r="W504">
        <v>6707</v>
      </c>
    </row>
    <row r="505" spans="1:23" hidden="1" x14ac:dyDescent="0.25">
      <c r="A505">
        <v>15741</v>
      </c>
      <c r="B505">
        <v>455346483</v>
      </c>
      <c r="C505" t="s">
        <v>3277</v>
      </c>
      <c r="D505" s="8" t="s">
        <v>3278</v>
      </c>
      <c r="E505" t="s">
        <v>644</v>
      </c>
      <c r="G505" t="s">
        <v>53</v>
      </c>
      <c r="H505" t="s">
        <v>54</v>
      </c>
      <c r="I505" t="s">
        <v>30</v>
      </c>
      <c r="J505" t="s">
        <v>55</v>
      </c>
      <c r="K505" t="s">
        <v>27</v>
      </c>
      <c r="L505" t="s">
        <v>3279</v>
      </c>
      <c r="M505" t="s">
        <v>3280</v>
      </c>
      <c r="N505" t="s">
        <v>646</v>
      </c>
      <c r="O505" t="s">
        <v>83</v>
      </c>
      <c r="P505" t="s">
        <v>3281</v>
      </c>
      <c r="Q505" t="s">
        <v>50</v>
      </c>
      <c r="R505" s="23" t="s">
        <v>3282</v>
      </c>
      <c r="S505" s="23">
        <v>46169</v>
      </c>
      <c r="T505">
        <v>2.1</v>
      </c>
      <c r="U505">
        <v>5816</v>
      </c>
      <c r="V505">
        <v>0</v>
      </c>
      <c r="W505">
        <v>5816</v>
      </c>
    </row>
    <row r="506" spans="1:23" hidden="1" x14ac:dyDescent="0.25">
      <c r="A506">
        <v>15741</v>
      </c>
      <c r="B506">
        <v>455347114</v>
      </c>
      <c r="C506" t="s">
        <v>3283</v>
      </c>
      <c r="D506" s="8" t="s">
        <v>3284</v>
      </c>
      <c r="E506" t="s">
        <v>644</v>
      </c>
      <c r="G506" t="s">
        <v>53</v>
      </c>
      <c r="H506" t="s">
        <v>54</v>
      </c>
      <c r="I506" t="s">
        <v>30</v>
      </c>
      <c r="J506" t="s">
        <v>55</v>
      </c>
      <c r="K506" t="s">
        <v>27</v>
      </c>
      <c r="L506" t="s">
        <v>3285</v>
      </c>
      <c r="M506" t="s">
        <v>3286</v>
      </c>
      <c r="N506" t="s">
        <v>646</v>
      </c>
      <c r="O506" t="s">
        <v>83</v>
      </c>
      <c r="P506" t="s">
        <v>3287</v>
      </c>
      <c r="Q506" t="s">
        <v>47</v>
      </c>
      <c r="R506" s="23" t="s">
        <v>3288</v>
      </c>
      <c r="S506" s="23">
        <v>46169</v>
      </c>
      <c r="T506">
        <v>2</v>
      </c>
      <c r="U506">
        <v>5504</v>
      </c>
      <c r="V506">
        <v>0</v>
      </c>
      <c r="W506">
        <v>5504</v>
      </c>
    </row>
    <row r="507" spans="1:23" hidden="1" x14ac:dyDescent="0.25">
      <c r="A507">
        <v>15741</v>
      </c>
      <c r="B507">
        <v>455345654</v>
      </c>
      <c r="C507" t="s">
        <v>3289</v>
      </c>
      <c r="D507" s="8" t="s">
        <v>3290</v>
      </c>
      <c r="E507" t="s">
        <v>644</v>
      </c>
      <c r="G507" t="s">
        <v>53</v>
      </c>
      <c r="H507" t="s">
        <v>54</v>
      </c>
      <c r="I507" t="s">
        <v>30</v>
      </c>
      <c r="J507" t="s">
        <v>55</v>
      </c>
      <c r="K507" t="s">
        <v>27</v>
      </c>
      <c r="L507" t="s">
        <v>3291</v>
      </c>
      <c r="M507" t="s">
        <v>3292</v>
      </c>
      <c r="N507" t="s">
        <v>646</v>
      </c>
      <c r="O507" t="s">
        <v>83</v>
      </c>
      <c r="P507" t="s">
        <v>3293</v>
      </c>
      <c r="Q507" t="s">
        <v>144</v>
      </c>
      <c r="R507" s="23" t="s">
        <v>3294</v>
      </c>
      <c r="S507" s="23">
        <v>46169</v>
      </c>
      <c r="T507">
        <v>2.1</v>
      </c>
      <c r="U507">
        <v>5816</v>
      </c>
      <c r="V507">
        <v>0</v>
      </c>
      <c r="W507">
        <v>5816</v>
      </c>
    </row>
    <row r="508" spans="1:23" hidden="1" x14ac:dyDescent="0.25">
      <c r="A508">
        <v>15741</v>
      </c>
      <c r="B508">
        <v>455346943</v>
      </c>
      <c r="C508" t="s">
        <v>3295</v>
      </c>
      <c r="D508" s="8" t="s">
        <v>3296</v>
      </c>
      <c r="E508" t="s">
        <v>644</v>
      </c>
      <c r="G508" t="s">
        <v>53</v>
      </c>
      <c r="H508" t="s">
        <v>54</v>
      </c>
      <c r="I508" t="s">
        <v>30</v>
      </c>
      <c r="J508" t="s">
        <v>55</v>
      </c>
      <c r="K508" t="s">
        <v>27</v>
      </c>
      <c r="L508" t="s">
        <v>3297</v>
      </c>
      <c r="M508" t="s">
        <v>3298</v>
      </c>
      <c r="N508" t="s">
        <v>646</v>
      </c>
      <c r="O508" t="s">
        <v>83</v>
      </c>
      <c r="P508" t="s">
        <v>3299</v>
      </c>
      <c r="Q508" t="s">
        <v>43</v>
      </c>
      <c r="R508" s="23" t="s">
        <v>3300</v>
      </c>
      <c r="S508" s="23">
        <v>46169</v>
      </c>
      <c r="T508">
        <v>2.1</v>
      </c>
      <c r="U508">
        <v>5816</v>
      </c>
      <c r="V508">
        <v>0</v>
      </c>
      <c r="W508">
        <v>5816</v>
      </c>
    </row>
    <row r="509" spans="1:23" hidden="1" x14ac:dyDescent="0.25">
      <c r="A509">
        <v>15741</v>
      </c>
      <c r="B509">
        <v>455347163</v>
      </c>
      <c r="C509" t="s">
        <v>3301</v>
      </c>
      <c r="D509" s="8" t="s">
        <v>3302</v>
      </c>
      <c r="E509" t="s">
        <v>644</v>
      </c>
      <c r="G509" t="s">
        <v>53</v>
      </c>
      <c r="H509" t="s">
        <v>54</v>
      </c>
      <c r="I509" t="s">
        <v>30</v>
      </c>
      <c r="J509" t="s">
        <v>55</v>
      </c>
      <c r="K509" t="s">
        <v>27</v>
      </c>
      <c r="L509" t="s">
        <v>3303</v>
      </c>
      <c r="M509" t="s">
        <v>3304</v>
      </c>
      <c r="N509" t="s">
        <v>646</v>
      </c>
      <c r="O509" t="s">
        <v>83</v>
      </c>
      <c r="P509" t="s">
        <v>3305</v>
      </c>
      <c r="Q509" t="s">
        <v>46</v>
      </c>
      <c r="R509" s="23" t="s">
        <v>3306</v>
      </c>
      <c r="S509" s="23">
        <v>46169</v>
      </c>
      <c r="T509">
        <v>2</v>
      </c>
      <c r="U509">
        <v>5504</v>
      </c>
      <c r="V509">
        <v>0</v>
      </c>
      <c r="W509">
        <v>5504</v>
      </c>
    </row>
    <row r="510" spans="1:23" hidden="1" x14ac:dyDescent="0.25">
      <c r="A510">
        <v>15741</v>
      </c>
      <c r="B510">
        <v>455332183</v>
      </c>
      <c r="C510" t="s">
        <v>3307</v>
      </c>
      <c r="D510" s="8" t="s">
        <v>3308</v>
      </c>
      <c r="E510" t="s">
        <v>644</v>
      </c>
      <c r="G510" t="s">
        <v>53</v>
      </c>
      <c r="H510" t="s">
        <v>54</v>
      </c>
      <c r="I510" t="s">
        <v>30</v>
      </c>
      <c r="J510" t="s">
        <v>55</v>
      </c>
      <c r="K510" t="s">
        <v>27</v>
      </c>
      <c r="L510" t="s">
        <v>3309</v>
      </c>
      <c r="M510" t="s">
        <v>3310</v>
      </c>
      <c r="N510" t="s">
        <v>646</v>
      </c>
      <c r="O510" t="s">
        <v>83</v>
      </c>
      <c r="P510" t="s">
        <v>3311</v>
      </c>
      <c r="Q510" t="s">
        <v>214</v>
      </c>
      <c r="R510" s="23" t="s">
        <v>3312</v>
      </c>
      <c r="S510" s="23">
        <v>46169</v>
      </c>
      <c r="T510">
        <v>221.62</v>
      </c>
      <c r="U510">
        <v>136846</v>
      </c>
      <c r="V510">
        <v>31547.94</v>
      </c>
      <c r="W510">
        <v>168393.94</v>
      </c>
    </row>
    <row r="511" spans="1:23" hidden="1" x14ac:dyDescent="0.25">
      <c r="A511">
        <v>15741</v>
      </c>
      <c r="B511">
        <v>455345255</v>
      </c>
      <c r="C511" t="s">
        <v>3313</v>
      </c>
      <c r="D511" s="8" t="s">
        <v>3314</v>
      </c>
      <c r="E511" t="s">
        <v>644</v>
      </c>
      <c r="G511" t="s">
        <v>53</v>
      </c>
      <c r="H511" t="s">
        <v>54</v>
      </c>
      <c r="I511" t="s">
        <v>30</v>
      </c>
      <c r="J511" t="s">
        <v>55</v>
      </c>
      <c r="K511" t="s">
        <v>27</v>
      </c>
      <c r="L511" t="s">
        <v>3315</v>
      </c>
      <c r="M511" t="s">
        <v>3316</v>
      </c>
      <c r="N511" t="s">
        <v>646</v>
      </c>
      <c r="O511" t="s">
        <v>83</v>
      </c>
      <c r="P511" t="s">
        <v>3317</v>
      </c>
      <c r="Q511" t="s">
        <v>50</v>
      </c>
      <c r="R511" s="23" t="s">
        <v>3318</v>
      </c>
      <c r="S511" s="23">
        <v>46169</v>
      </c>
      <c r="T511">
        <v>4.9000000000000004</v>
      </c>
      <c r="U511">
        <v>6450</v>
      </c>
      <c r="V511">
        <v>0</v>
      </c>
      <c r="W511">
        <v>6450</v>
      </c>
    </row>
    <row r="512" spans="1:23" hidden="1" x14ac:dyDescent="0.25">
      <c r="A512">
        <v>15741</v>
      </c>
      <c r="B512">
        <v>455346423</v>
      </c>
      <c r="C512" t="s">
        <v>3319</v>
      </c>
      <c r="D512" s="8" t="s">
        <v>3320</v>
      </c>
      <c r="E512" t="s">
        <v>644</v>
      </c>
      <c r="G512" t="s">
        <v>53</v>
      </c>
      <c r="H512" t="s">
        <v>54</v>
      </c>
      <c r="I512" t="s">
        <v>30</v>
      </c>
      <c r="J512" t="s">
        <v>55</v>
      </c>
      <c r="K512" t="s">
        <v>27</v>
      </c>
      <c r="L512" t="s">
        <v>3321</v>
      </c>
      <c r="M512" t="s">
        <v>3322</v>
      </c>
      <c r="N512" t="s">
        <v>646</v>
      </c>
      <c r="O512" t="s">
        <v>83</v>
      </c>
      <c r="P512" t="s">
        <v>3323</v>
      </c>
      <c r="Q512" t="s">
        <v>52</v>
      </c>
      <c r="R512" s="23" t="s">
        <v>577</v>
      </c>
      <c r="S512" s="23">
        <v>46169</v>
      </c>
      <c r="T512">
        <v>2</v>
      </c>
      <c r="U512">
        <v>5504</v>
      </c>
      <c r="V512">
        <v>0</v>
      </c>
      <c r="W512">
        <v>5504</v>
      </c>
    </row>
    <row r="513" spans="1:23" hidden="1" x14ac:dyDescent="0.25">
      <c r="A513">
        <v>15741</v>
      </c>
      <c r="B513">
        <v>455243838</v>
      </c>
      <c r="C513" t="s">
        <v>3324</v>
      </c>
      <c r="D513" s="8" t="s">
        <v>3325</v>
      </c>
      <c r="E513" t="s">
        <v>644</v>
      </c>
      <c r="G513" t="s">
        <v>53</v>
      </c>
      <c r="H513" t="s">
        <v>54</v>
      </c>
      <c r="I513" t="s">
        <v>30</v>
      </c>
      <c r="J513" t="s">
        <v>55</v>
      </c>
      <c r="K513" t="s">
        <v>27</v>
      </c>
      <c r="L513" t="s">
        <v>3326</v>
      </c>
      <c r="M513" t="s">
        <v>3327</v>
      </c>
      <c r="N513" t="s">
        <v>646</v>
      </c>
      <c r="O513" t="s">
        <v>83</v>
      </c>
      <c r="P513" t="s">
        <v>3328</v>
      </c>
      <c r="Q513" t="s">
        <v>153</v>
      </c>
      <c r="R513" s="23" t="s">
        <v>629</v>
      </c>
      <c r="S513" s="23">
        <v>46167</v>
      </c>
      <c r="T513">
        <v>15.75</v>
      </c>
      <c r="U513">
        <v>26156</v>
      </c>
      <c r="V513">
        <v>0</v>
      </c>
      <c r="W513">
        <v>26156</v>
      </c>
    </row>
    <row r="514" spans="1:23" hidden="1" x14ac:dyDescent="0.25">
      <c r="A514">
        <v>15741</v>
      </c>
      <c r="B514">
        <v>455301516</v>
      </c>
      <c r="C514" t="s">
        <v>3329</v>
      </c>
      <c r="D514" s="8" t="s">
        <v>3330</v>
      </c>
      <c r="E514" t="s">
        <v>644</v>
      </c>
      <c r="G514" t="s">
        <v>53</v>
      </c>
      <c r="H514" t="s">
        <v>54</v>
      </c>
      <c r="I514" t="s">
        <v>30</v>
      </c>
      <c r="J514" t="s">
        <v>55</v>
      </c>
      <c r="K514" t="s">
        <v>27</v>
      </c>
      <c r="L514" t="s">
        <v>3331</v>
      </c>
      <c r="M514" t="s">
        <v>3332</v>
      </c>
      <c r="N514" t="s">
        <v>646</v>
      </c>
      <c r="O514" t="s">
        <v>83</v>
      </c>
      <c r="P514" t="s">
        <v>3333</v>
      </c>
      <c r="Q514" t="s">
        <v>176</v>
      </c>
      <c r="R514" s="23" t="s">
        <v>588</v>
      </c>
      <c r="S514" s="23">
        <v>46168</v>
      </c>
      <c r="T514">
        <v>145.1</v>
      </c>
      <c r="U514">
        <v>89293</v>
      </c>
      <c r="V514">
        <v>22799.94</v>
      </c>
      <c r="W514">
        <v>112092.94</v>
      </c>
    </row>
    <row r="515" spans="1:23" hidden="1" x14ac:dyDescent="0.25">
      <c r="A515">
        <v>15741</v>
      </c>
      <c r="B515">
        <v>455301201</v>
      </c>
      <c r="C515" t="s">
        <v>3334</v>
      </c>
      <c r="D515" s="8" t="s">
        <v>3335</v>
      </c>
      <c r="E515" t="s">
        <v>644</v>
      </c>
      <c r="G515" t="s">
        <v>53</v>
      </c>
      <c r="H515" t="s">
        <v>54</v>
      </c>
      <c r="I515" t="s">
        <v>30</v>
      </c>
      <c r="J515" t="s">
        <v>55</v>
      </c>
      <c r="K515" t="s">
        <v>27</v>
      </c>
      <c r="L515" t="s">
        <v>3336</v>
      </c>
      <c r="M515" t="s">
        <v>3337</v>
      </c>
      <c r="N515" t="s">
        <v>646</v>
      </c>
      <c r="O515" t="s">
        <v>83</v>
      </c>
      <c r="P515" t="s">
        <v>3338</v>
      </c>
      <c r="Q515" t="s">
        <v>144</v>
      </c>
      <c r="R515" s="23" t="s">
        <v>3339</v>
      </c>
      <c r="S515" s="23">
        <v>46168</v>
      </c>
      <c r="T515">
        <v>11.4</v>
      </c>
      <c r="U515">
        <v>8670</v>
      </c>
      <c r="V515">
        <v>0</v>
      </c>
      <c r="W515">
        <v>8670</v>
      </c>
    </row>
    <row r="516" spans="1:23" hidden="1" x14ac:dyDescent="0.25">
      <c r="A516">
        <v>15741</v>
      </c>
      <c r="B516">
        <v>455243574</v>
      </c>
      <c r="C516" t="s">
        <v>3340</v>
      </c>
      <c r="D516" s="8" t="s">
        <v>3341</v>
      </c>
      <c r="E516" t="s">
        <v>644</v>
      </c>
      <c r="G516" t="s">
        <v>53</v>
      </c>
      <c r="H516" t="s">
        <v>54</v>
      </c>
      <c r="I516" t="s">
        <v>30</v>
      </c>
      <c r="J516" t="s">
        <v>55</v>
      </c>
      <c r="K516" t="s">
        <v>27</v>
      </c>
      <c r="L516" t="s">
        <v>3342</v>
      </c>
      <c r="M516" t="s">
        <v>3343</v>
      </c>
      <c r="N516" t="s">
        <v>646</v>
      </c>
      <c r="O516" t="s">
        <v>83</v>
      </c>
      <c r="P516" t="s">
        <v>3344</v>
      </c>
      <c r="Q516" t="s">
        <v>57</v>
      </c>
      <c r="R516" s="23" t="s">
        <v>3345</v>
      </c>
      <c r="S516" s="23">
        <v>46167</v>
      </c>
      <c r="T516">
        <v>20.7</v>
      </c>
      <c r="U516">
        <v>10982</v>
      </c>
      <c r="V516">
        <v>0</v>
      </c>
      <c r="W516">
        <v>10982</v>
      </c>
    </row>
    <row r="517" spans="1:23" hidden="1" x14ac:dyDescent="0.25">
      <c r="A517">
        <v>15741</v>
      </c>
      <c r="B517">
        <v>455243696</v>
      </c>
      <c r="C517" t="s">
        <v>3346</v>
      </c>
      <c r="D517" s="8" t="s">
        <v>3347</v>
      </c>
      <c r="E517" t="s">
        <v>644</v>
      </c>
      <c r="G517" t="s">
        <v>53</v>
      </c>
      <c r="H517" t="s">
        <v>54</v>
      </c>
      <c r="I517" t="s">
        <v>30</v>
      </c>
      <c r="J517" t="s">
        <v>55</v>
      </c>
      <c r="K517" t="s">
        <v>27</v>
      </c>
      <c r="L517" t="s">
        <v>3348</v>
      </c>
      <c r="M517" t="s">
        <v>3349</v>
      </c>
      <c r="N517" t="s">
        <v>646</v>
      </c>
      <c r="O517" t="s">
        <v>83</v>
      </c>
      <c r="P517" t="s">
        <v>3350</v>
      </c>
      <c r="Q517" t="s">
        <v>119</v>
      </c>
      <c r="R517" s="23" t="s">
        <v>220</v>
      </c>
      <c r="S517" s="23">
        <v>46167</v>
      </c>
      <c r="T517">
        <v>12.1</v>
      </c>
      <c r="U517">
        <v>10458</v>
      </c>
      <c r="V517">
        <v>0</v>
      </c>
      <c r="W517">
        <v>10458</v>
      </c>
    </row>
    <row r="518" spans="1:23" hidden="1" x14ac:dyDescent="0.25">
      <c r="A518">
        <v>15741</v>
      </c>
      <c r="B518">
        <v>457032917</v>
      </c>
      <c r="C518" t="s">
        <v>3351</v>
      </c>
      <c r="D518" s="8" t="s">
        <v>3352</v>
      </c>
      <c r="E518" t="s">
        <v>644</v>
      </c>
      <c r="G518" t="s">
        <v>62</v>
      </c>
      <c r="H518" t="s">
        <v>63</v>
      </c>
      <c r="I518" t="s">
        <v>30</v>
      </c>
      <c r="J518" t="s">
        <v>64</v>
      </c>
      <c r="K518" t="s">
        <v>27</v>
      </c>
      <c r="L518" t="s">
        <v>65</v>
      </c>
      <c r="M518" t="s">
        <v>3353</v>
      </c>
      <c r="N518" t="s">
        <v>646</v>
      </c>
      <c r="O518" t="s">
        <v>83</v>
      </c>
      <c r="P518" t="s">
        <v>3354</v>
      </c>
      <c r="Q518" t="s">
        <v>108</v>
      </c>
      <c r="R518" s="23" t="s">
        <v>3355</v>
      </c>
      <c r="S518" s="23">
        <v>46197</v>
      </c>
      <c r="T518">
        <v>15.85</v>
      </c>
      <c r="U518">
        <v>13529</v>
      </c>
      <c r="V518">
        <v>1260</v>
      </c>
      <c r="W518">
        <v>14789</v>
      </c>
    </row>
    <row r="519" spans="1:23" hidden="1" x14ac:dyDescent="0.25">
      <c r="A519">
        <v>15741</v>
      </c>
      <c r="B519">
        <v>457032661</v>
      </c>
      <c r="C519" t="s">
        <v>3356</v>
      </c>
      <c r="D519" s="8" t="s">
        <v>3357</v>
      </c>
      <c r="E519" t="s">
        <v>644</v>
      </c>
      <c r="G519" t="s">
        <v>62</v>
      </c>
      <c r="H519" t="s">
        <v>63</v>
      </c>
      <c r="I519" t="s">
        <v>30</v>
      </c>
      <c r="J519" t="s">
        <v>64</v>
      </c>
      <c r="K519" t="s">
        <v>27</v>
      </c>
      <c r="L519" t="s">
        <v>65</v>
      </c>
      <c r="M519" t="s">
        <v>3358</v>
      </c>
      <c r="N519" t="s">
        <v>646</v>
      </c>
      <c r="O519" t="s">
        <v>83</v>
      </c>
      <c r="P519" t="s">
        <v>3359</v>
      </c>
      <c r="Q519" t="s">
        <v>156</v>
      </c>
      <c r="R519" s="23" t="s">
        <v>3360</v>
      </c>
      <c r="S519" s="23">
        <v>46197</v>
      </c>
      <c r="T519">
        <v>0.22</v>
      </c>
      <c r="U519">
        <v>6888</v>
      </c>
      <c r="V519">
        <v>0</v>
      </c>
      <c r="W519">
        <v>6888</v>
      </c>
    </row>
    <row r="520" spans="1:23" hidden="1" x14ac:dyDescent="0.25">
      <c r="A520">
        <v>15741</v>
      </c>
      <c r="B520">
        <v>457020281</v>
      </c>
      <c r="C520" t="s">
        <v>3361</v>
      </c>
      <c r="D520" s="8" t="s">
        <v>3362</v>
      </c>
      <c r="E520" t="s">
        <v>644</v>
      </c>
      <c r="G520" t="s">
        <v>62</v>
      </c>
      <c r="H520" t="s">
        <v>63</v>
      </c>
      <c r="I520" t="s">
        <v>30</v>
      </c>
      <c r="J520" t="s">
        <v>64</v>
      </c>
      <c r="K520" t="s">
        <v>27</v>
      </c>
      <c r="L520" t="s">
        <v>65</v>
      </c>
      <c r="M520" t="s">
        <v>3363</v>
      </c>
      <c r="N520" t="s">
        <v>646</v>
      </c>
      <c r="O520" t="s">
        <v>83</v>
      </c>
      <c r="P520" t="s">
        <v>3364</v>
      </c>
      <c r="Q520" t="s">
        <v>387</v>
      </c>
      <c r="R520" s="23" t="s">
        <v>443</v>
      </c>
      <c r="S520" s="23">
        <v>46197</v>
      </c>
      <c r="T520">
        <v>15.12</v>
      </c>
      <c r="U520">
        <v>11761</v>
      </c>
      <c r="V520">
        <v>899.94</v>
      </c>
      <c r="W520">
        <v>12660.94</v>
      </c>
    </row>
    <row r="521" spans="1:23" hidden="1" x14ac:dyDescent="0.25">
      <c r="A521">
        <v>15741</v>
      </c>
      <c r="B521">
        <v>457020207</v>
      </c>
      <c r="C521" t="s">
        <v>3365</v>
      </c>
      <c r="D521" s="8" t="s">
        <v>3366</v>
      </c>
      <c r="E521" t="s">
        <v>644</v>
      </c>
      <c r="G521" t="s">
        <v>62</v>
      </c>
      <c r="H521" t="s">
        <v>63</v>
      </c>
      <c r="I521" t="s">
        <v>30</v>
      </c>
      <c r="J521" t="s">
        <v>64</v>
      </c>
      <c r="K521" t="s">
        <v>27</v>
      </c>
      <c r="L521" t="s">
        <v>65</v>
      </c>
      <c r="M521" t="s">
        <v>3367</v>
      </c>
      <c r="N521" t="s">
        <v>646</v>
      </c>
      <c r="O521" t="s">
        <v>83</v>
      </c>
      <c r="P521" t="s">
        <v>3368</v>
      </c>
      <c r="Q521" t="s">
        <v>50</v>
      </c>
      <c r="R521" s="23" t="s">
        <v>442</v>
      </c>
      <c r="S521" s="23">
        <v>46197</v>
      </c>
      <c r="T521">
        <v>11.36</v>
      </c>
      <c r="U521">
        <v>5943</v>
      </c>
      <c r="V521">
        <v>779.94</v>
      </c>
      <c r="W521">
        <v>6722.9400000000005</v>
      </c>
    </row>
    <row r="522" spans="1:23" hidden="1" x14ac:dyDescent="0.25">
      <c r="A522">
        <v>15741</v>
      </c>
      <c r="B522">
        <v>457020151</v>
      </c>
      <c r="C522" t="s">
        <v>3369</v>
      </c>
      <c r="D522" s="8" t="s">
        <v>3370</v>
      </c>
      <c r="E522" t="s">
        <v>644</v>
      </c>
      <c r="G522" t="s">
        <v>62</v>
      </c>
      <c r="H522" t="s">
        <v>63</v>
      </c>
      <c r="I522" t="s">
        <v>30</v>
      </c>
      <c r="J522" t="s">
        <v>64</v>
      </c>
      <c r="K522" t="s">
        <v>27</v>
      </c>
      <c r="L522" t="s">
        <v>65</v>
      </c>
      <c r="M522" t="s">
        <v>3371</v>
      </c>
      <c r="N522" t="s">
        <v>646</v>
      </c>
      <c r="O522" t="s">
        <v>83</v>
      </c>
      <c r="P522" t="s">
        <v>3372</v>
      </c>
      <c r="Q522" t="s">
        <v>43</v>
      </c>
      <c r="R522" s="23" t="s">
        <v>3373</v>
      </c>
      <c r="S522" s="23">
        <v>46197</v>
      </c>
      <c r="T522">
        <v>14.52</v>
      </c>
      <c r="U522">
        <v>5943</v>
      </c>
      <c r="V522">
        <v>899.94</v>
      </c>
      <c r="W522">
        <v>6842.9400000000005</v>
      </c>
    </row>
    <row r="523" spans="1:23" hidden="1" x14ac:dyDescent="0.25">
      <c r="A523">
        <v>15741</v>
      </c>
      <c r="B523">
        <v>457020102</v>
      </c>
      <c r="C523" t="s">
        <v>3374</v>
      </c>
      <c r="D523" s="8" t="s">
        <v>3375</v>
      </c>
      <c r="E523" t="s">
        <v>644</v>
      </c>
      <c r="G523" t="s">
        <v>62</v>
      </c>
      <c r="H523" t="s">
        <v>63</v>
      </c>
      <c r="I523" t="s">
        <v>30</v>
      </c>
      <c r="J523" t="s">
        <v>64</v>
      </c>
      <c r="K523" t="s">
        <v>27</v>
      </c>
      <c r="L523" t="s">
        <v>65</v>
      </c>
      <c r="M523" t="s">
        <v>3376</v>
      </c>
      <c r="N523" t="s">
        <v>646</v>
      </c>
      <c r="O523" t="s">
        <v>83</v>
      </c>
      <c r="P523" t="s">
        <v>3377</v>
      </c>
      <c r="Q523" t="s">
        <v>46</v>
      </c>
      <c r="R523" s="23" t="s">
        <v>444</v>
      </c>
      <c r="S523" s="23">
        <v>46197</v>
      </c>
      <c r="T523">
        <v>11.86</v>
      </c>
      <c r="U523">
        <v>5943</v>
      </c>
      <c r="V523">
        <v>779.94</v>
      </c>
      <c r="W523">
        <v>6722.9400000000005</v>
      </c>
    </row>
    <row r="524" spans="1:23" hidden="1" x14ac:dyDescent="0.25">
      <c r="A524">
        <v>15741</v>
      </c>
      <c r="B524">
        <v>457020018</v>
      </c>
      <c r="C524" t="s">
        <v>3378</v>
      </c>
      <c r="D524" s="8" t="s">
        <v>3379</v>
      </c>
      <c r="E524" t="s">
        <v>644</v>
      </c>
      <c r="G524" t="s">
        <v>62</v>
      </c>
      <c r="H524" t="s">
        <v>63</v>
      </c>
      <c r="I524" t="s">
        <v>30</v>
      </c>
      <c r="J524" t="s">
        <v>64</v>
      </c>
      <c r="K524" t="s">
        <v>27</v>
      </c>
      <c r="L524" t="s">
        <v>65</v>
      </c>
      <c r="M524" t="s">
        <v>3380</v>
      </c>
      <c r="N524" t="s">
        <v>646</v>
      </c>
      <c r="O524" t="s">
        <v>83</v>
      </c>
      <c r="P524" t="s">
        <v>3381</v>
      </c>
      <c r="Q524" t="s">
        <v>44</v>
      </c>
      <c r="R524" s="23" t="s">
        <v>273</v>
      </c>
      <c r="S524" s="23">
        <v>46197</v>
      </c>
      <c r="T524">
        <v>11.23</v>
      </c>
      <c r="U524">
        <v>5943</v>
      </c>
      <c r="V524">
        <v>839.94</v>
      </c>
      <c r="W524">
        <v>6782.9400000000005</v>
      </c>
    </row>
    <row r="525" spans="1:23" hidden="1" x14ac:dyDescent="0.25">
      <c r="A525">
        <v>15741</v>
      </c>
      <c r="B525">
        <v>457019960</v>
      </c>
      <c r="C525" t="s">
        <v>3382</v>
      </c>
      <c r="D525" s="8" t="s">
        <v>3383</v>
      </c>
      <c r="E525" t="s">
        <v>644</v>
      </c>
      <c r="G525" t="s">
        <v>62</v>
      </c>
      <c r="H525" t="s">
        <v>63</v>
      </c>
      <c r="I525" t="s">
        <v>30</v>
      </c>
      <c r="J525" t="s">
        <v>64</v>
      </c>
      <c r="K525" t="s">
        <v>27</v>
      </c>
      <c r="L525" t="s">
        <v>65</v>
      </c>
      <c r="M525" t="s">
        <v>3384</v>
      </c>
      <c r="N525" t="s">
        <v>646</v>
      </c>
      <c r="O525" t="s">
        <v>83</v>
      </c>
      <c r="P525" t="s">
        <v>3385</v>
      </c>
      <c r="Q525" t="s">
        <v>50</v>
      </c>
      <c r="R525" s="23" t="s">
        <v>228</v>
      </c>
      <c r="S525" s="23">
        <v>46197</v>
      </c>
      <c r="T525">
        <v>15.86</v>
      </c>
      <c r="U525">
        <v>5943</v>
      </c>
      <c r="V525">
        <v>899.94</v>
      </c>
      <c r="W525">
        <v>6842.9400000000005</v>
      </c>
    </row>
    <row r="526" spans="1:23" hidden="1" x14ac:dyDescent="0.25">
      <c r="A526">
        <v>15741</v>
      </c>
      <c r="B526">
        <v>456996723</v>
      </c>
      <c r="C526" t="s">
        <v>3386</v>
      </c>
      <c r="D526" s="8" t="s">
        <v>3387</v>
      </c>
      <c r="E526" t="s">
        <v>644</v>
      </c>
      <c r="G526" t="s">
        <v>62</v>
      </c>
      <c r="H526" t="s">
        <v>63</v>
      </c>
      <c r="I526" t="s">
        <v>30</v>
      </c>
      <c r="J526" t="s">
        <v>64</v>
      </c>
      <c r="K526" t="s">
        <v>27</v>
      </c>
      <c r="L526" t="s">
        <v>65</v>
      </c>
      <c r="M526" t="s">
        <v>3388</v>
      </c>
      <c r="N526" t="s">
        <v>646</v>
      </c>
      <c r="O526" t="s">
        <v>83</v>
      </c>
      <c r="P526" t="s">
        <v>3389</v>
      </c>
      <c r="Q526" t="s">
        <v>72</v>
      </c>
      <c r="R526" s="23" t="s">
        <v>3390</v>
      </c>
      <c r="S526" s="23">
        <v>46196</v>
      </c>
      <c r="T526">
        <v>7.58</v>
      </c>
      <c r="U526">
        <v>10513</v>
      </c>
      <c r="V526">
        <v>0</v>
      </c>
      <c r="W526">
        <v>10513</v>
      </c>
    </row>
    <row r="527" spans="1:23" hidden="1" x14ac:dyDescent="0.25">
      <c r="A527">
        <v>15741</v>
      </c>
      <c r="B527">
        <v>456996652</v>
      </c>
      <c r="C527" t="s">
        <v>3391</v>
      </c>
      <c r="D527" s="8" t="s">
        <v>3392</v>
      </c>
      <c r="E527" t="s">
        <v>644</v>
      </c>
      <c r="G527" t="s">
        <v>62</v>
      </c>
      <c r="H527" t="s">
        <v>63</v>
      </c>
      <c r="I527" t="s">
        <v>30</v>
      </c>
      <c r="J527" t="s">
        <v>64</v>
      </c>
      <c r="K527" t="s">
        <v>27</v>
      </c>
      <c r="L527" t="s">
        <v>65</v>
      </c>
      <c r="M527" t="s">
        <v>3393</v>
      </c>
      <c r="N527" t="s">
        <v>646</v>
      </c>
      <c r="O527" t="s">
        <v>83</v>
      </c>
      <c r="P527" t="s">
        <v>3394</v>
      </c>
      <c r="Q527" t="s">
        <v>51</v>
      </c>
      <c r="R527" s="23" t="s">
        <v>3395</v>
      </c>
      <c r="S527" s="23">
        <v>46196</v>
      </c>
      <c r="T527">
        <v>15.05</v>
      </c>
      <c r="U527">
        <v>5943</v>
      </c>
      <c r="V527">
        <v>899.94</v>
      </c>
      <c r="W527">
        <v>6842.9400000000005</v>
      </c>
    </row>
    <row r="528" spans="1:23" hidden="1" x14ac:dyDescent="0.25">
      <c r="A528">
        <v>15741</v>
      </c>
      <c r="B528">
        <v>456989581</v>
      </c>
      <c r="C528" t="s">
        <v>3396</v>
      </c>
      <c r="D528" s="8" t="s">
        <v>3397</v>
      </c>
      <c r="E528" t="s">
        <v>644</v>
      </c>
      <c r="G528" t="s">
        <v>62</v>
      </c>
      <c r="H528" t="s">
        <v>63</v>
      </c>
      <c r="I528" t="s">
        <v>30</v>
      </c>
      <c r="J528" t="s">
        <v>64</v>
      </c>
      <c r="K528" t="s">
        <v>27</v>
      </c>
      <c r="L528" t="s">
        <v>65</v>
      </c>
      <c r="M528" t="s">
        <v>3398</v>
      </c>
      <c r="N528" t="s">
        <v>646</v>
      </c>
      <c r="O528" t="s">
        <v>83</v>
      </c>
      <c r="P528" t="s">
        <v>3399</v>
      </c>
      <c r="Q528" t="s">
        <v>52</v>
      </c>
      <c r="R528" s="23" t="s">
        <v>3400</v>
      </c>
      <c r="S528" s="23">
        <v>46196</v>
      </c>
      <c r="T528">
        <v>11.99</v>
      </c>
      <c r="U528">
        <v>5943</v>
      </c>
      <c r="V528">
        <v>779.94</v>
      </c>
      <c r="W528">
        <v>6722.9400000000005</v>
      </c>
    </row>
    <row r="529" spans="1:23" hidden="1" x14ac:dyDescent="0.25">
      <c r="A529">
        <v>15741</v>
      </c>
      <c r="B529">
        <v>456989474</v>
      </c>
      <c r="C529" t="s">
        <v>3401</v>
      </c>
      <c r="D529" s="8" t="s">
        <v>3402</v>
      </c>
      <c r="E529" t="s">
        <v>644</v>
      </c>
      <c r="G529" t="s">
        <v>62</v>
      </c>
      <c r="H529" t="s">
        <v>63</v>
      </c>
      <c r="I529" t="s">
        <v>30</v>
      </c>
      <c r="J529" t="s">
        <v>64</v>
      </c>
      <c r="K529" t="s">
        <v>27</v>
      </c>
      <c r="L529" t="s">
        <v>65</v>
      </c>
      <c r="M529" t="s">
        <v>3403</v>
      </c>
      <c r="N529" t="s">
        <v>646</v>
      </c>
      <c r="O529" t="s">
        <v>83</v>
      </c>
      <c r="P529" t="s">
        <v>3404</v>
      </c>
      <c r="Q529" t="s">
        <v>43</v>
      </c>
      <c r="R529" s="23" t="s">
        <v>3405</v>
      </c>
      <c r="S529" s="23">
        <v>46196</v>
      </c>
      <c r="T529">
        <v>15.89</v>
      </c>
      <c r="U529">
        <v>5943</v>
      </c>
      <c r="V529">
        <v>899.94</v>
      </c>
      <c r="W529">
        <v>6842.9400000000005</v>
      </c>
    </row>
    <row r="530" spans="1:23" hidden="1" x14ac:dyDescent="0.25">
      <c r="A530">
        <v>15741</v>
      </c>
      <c r="B530">
        <v>456984829</v>
      </c>
      <c r="C530" t="s">
        <v>3406</v>
      </c>
      <c r="D530" s="8" t="s">
        <v>3407</v>
      </c>
      <c r="E530" t="s">
        <v>644</v>
      </c>
      <c r="G530" t="s">
        <v>62</v>
      </c>
      <c r="H530" t="s">
        <v>63</v>
      </c>
      <c r="I530" t="s">
        <v>30</v>
      </c>
      <c r="J530" t="s">
        <v>64</v>
      </c>
      <c r="K530" t="s">
        <v>27</v>
      </c>
      <c r="L530" t="s">
        <v>215</v>
      </c>
      <c r="M530" t="s">
        <v>3408</v>
      </c>
      <c r="N530" t="s">
        <v>646</v>
      </c>
      <c r="O530" t="s">
        <v>83</v>
      </c>
      <c r="P530" t="s">
        <v>3409</v>
      </c>
      <c r="Q530" t="s">
        <v>46</v>
      </c>
      <c r="R530" s="23" t="s">
        <v>3410</v>
      </c>
      <c r="S530" s="23">
        <v>46196</v>
      </c>
      <c r="T530">
        <v>35.200000000000003</v>
      </c>
      <c r="U530">
        <v>15389</v>
      </c>
      <c r="V530">
        <v>1199.8800000000001</v>
      </c>
      <c r="W530">
        <v>16588.88</v>
      </c>
    </row>
    <row r="531" spans="1:23" hidden="1" x14ac:dyDescent="0.25">
      <c r="A531">
        <v>15741</v>
      </c>
      <c r="B531">
        <v>456984776</v>
      </c>
      <c r="C531" t="s">
        <v>3411</v>
      </c>
      <c r="D531" s="8" t="s">
        <v>3412</v>
      </c>
      <c r="E531" t="s">
        <v>644</v>
      </c>
      <c r="G531" t="s">
        <v>62</v>
      </c>
      <c r="H531" t="s">
        <v>63</v>
      </c>
      <c r="I531" t="s">
        <v>30</v>
      </c>
      <c r="J531" t="s">
        <v>64</v>
      </c>
      <c r="K531" t="s">
        <v>27</v>
      </c>
      <c r="L531" t="s">
        <v>65</v>
      </c>
      <c r="M531" t="s">
        <v>252</v>
      </c>
      <c r="N531" t="s">
        <v>646</v>
      </c>
      <c r="O531" t="s">
        <v>83</v>
      </c>
      <c r="P531" t="s">
        <v>3413</v>
      </c>
      <c r="Q531" t="s">
        <v>48</v>
      </c>
      <c r="R531" s="23" t="s">
        <v>3414</v>
      </c>
      <c r="S531" s="23">
        <v>46196</v>
      </c>
      <c r="T531">
        <v>11.52</v>
      </c>
      <c r="U531">
        <v>5943</v>
      </c>
      <c r="V531">
        <v>779.94</v>
      </c>
      <c r="W531">
        <v>6722.9400000000005</v>
      </c>
    </row>
    <row r="532" spans="1:23" hidden="1" x14ac:dyDescent="0.25">
      <c r="A532">
        <v>15741</v>
      </c>
      <c r="B532">
        <v>456984750</v>
      </c>
      <c r="C532" t="s">
        <v>3415</v>
      </c>
      <c r="D532" s="8" t="s">
        <v>3416</v>
      </c>
      <c r="E532" t="s">
        <v>644</v>
      </c>
      <c r="G532" t="s">
        <v>62</v>
      </c>
      <c r="H532" t="s">
        <v>63</v>
      </c>
      <c r="I532" t="s">
        <v>30</v>
      </c>
      <c r="J532" t="s">
        <v>64</v>
      </c>
      <c r="K532" t="s">
        <v>27</v>
      </c>
      <c r="L532" t="s">
        <v>65</v>
      </c>
      <c r="M532" t="s">
        <v>3417</v>
      </c>
      <c r="N532" t="s">
        <v>646</v>
      </c>
      <c r="O532" t="s">
        <v>83</v>
      </c>
      <c r="P532" t="s">
        <v>3418</v>
      </c>
      <c r="Q532" t="s">
        <v>78</v>
      </c>
      <c r="R532" s="23" t="s">
        <v>436</v>
      </c>
      <c r="S532" s="23">
        <v>46196</v>
      </c>
      <c r="T532">
        <v>12.57</v>
      </c>
      <c r="U532">
        <v>5943</v>
      </c>
      <c r="V532">
        <v>779.94</v>
      </c>
      <c r="W532">
        <v>6722.9400000000005</v>
      </c>
    </row>
    <row r="533" spans="1:23" hidden="1" x14ac:dyDescent="0.25">
      <c r="A533">
        <v>15741</v>
      </c>
      <c r="B533">
        <v>456984714</v>
      </c>
      <c r="C533" t="s">
        <v>3419</v>
      </c>
      <c r="D533" s="8" t="s">
        <v>3420</v>
      </c>
      <c r="E533" t="s">
        <v>644</v>
      </c>
      <c r="G533" t="s">
        <v>62</v>
      </c>
      <c r="H533" t="s">
        <v>63</v>
      </c>
      <c r="I533" t="s">
        <v>30</v>
      </c>
      <c r="J533" t="s">
        <v>64</v>
      </c>
      <c r="K533" t="s">
        <v>27</v>
      </c>
      <c r="L533" t="s">
        <v>65</v>
      </c>
      <c r="M533" t="s">
        <v>3421</v>
      </c>
      <c r="N533" t="s">
        <v>646</v>
      </c>
      <c r="O533" t="s">
        <v>83</v>
      </c>
      <c r="P533" t="s">
        <v>3422</v>
      </c>
      <c r="Q533" t="s">
        <v>105</v>
      </c>
      <c r="R533" s="23" t="s">
        <v>229</v>
      </c>
      <c r="S533" s="23">
        <v>46196</v>
      </c>
      <c r="T533">
        <v>10.09</v>
      </c>
      <c r="U533">
        <v>12046</v>
      </c>
      <c r="V533">
        <v>599.94000000000005</v>
      </c>
      <c r="W533">
        <v>12645.94</v>
      </c>
    </row>
    <row r="534" spans="1:23" hidden="1" x14ac:dyDescent="0.25">
      <c r="A534">
        <v>15741</v>
      </c>
      <c r="B534">
        <v>456984382</v>
      </c>
      <c r="C534" t="s">
        <v>3423</v>
      </c>
      <c r="D534" s="8" t="s">
        <v>3424</v>
      </c>
      <c r="E534" t="s">
        <v>644</v>
      </c>
      <c r="G534" t="s">
        <v>62</v>
      </c>
      <c r="H534" t="s">
        <v>63</v>
      </c>
      <c r="I534" t="s">
        <v>30</v>
      </c>
      <c r="J534" t="s">
        <v>64</v>
      </c>
      <c r="K534" t="s">
        <v>27</v>
      </c>
      <c r="L534" t="s">
        <v>65</v>
      </c>
      <c r="M534" t="s">
        <v>3425</v>
      </c>
      <c r="N534" t="s">
        <v>646</v>
      </c>
      <c r="O534" t="s">
        <v>83</v>
      </c>
      <c r="P534" t="s">
        <v>3426</v>
      </c>
      <c r="Q534" t="s">
        <v>101</v>
      </c>
      <c r="R534" s="23" t="s">
        <v>3427</v>
      </c>
      <c r="S534" s="23">
        <v>46196</v>
      </c>
      <c r="T534">
        <v>11.21</v>
      </c>
      <c r="U534">
        <v>12360</v>
      </c>
      <c r="V534">
        <v>779.94</v>
      </c>
      <c r="W534">
        <v>13139.94</v>
      </c>
    </row>
    <row r="535" spans="1:23" hidden="1" x14ac:dyDescent="0.25">
      <c r="A535">
        <v>15741</v>
      </c>
      <c r="B535">
        <v>456984264</v>
      </c>
      <c r="C535" t="s">
        <v>3428</v>
      </c>
      <c r="D535" s="8" t="s">
        <v>3429</v>
      </c>
      <c r="E535" t="s">
        <v>644</v>
      </c>
      <c r="G535" t="s">
        <v>62</v>
      </c>
      <c r="H535" t="s">
        <v>63</v>
      </c>
      <c r="I535" t="s">
        <v>30</v>
      </c>
      <c r="J535" t="s">
        <v>64</v>
      </c>
      <c r="K535" t="s">
        <v>27</v>
      </c>
      <c r="L535" t="s">
        <v>65</v>
      </c>
      <c r="M535" t="s">
        <v>3430</v>
      </c>
      <c r="N535" t="s">
        <v>646</v>
      </c>
      <c r="O535" t="s">
        <v>83</v>
      </c>
      <c r="P535" t="s">
        <v>3431</v>
      </c>
      <c r="Q535" t="s">
        <v>71</v>
      </c>
      <c r="R535" s="23" t="s">
        <v>3432</v>
      </c>
      <c r="S535" s="23">
        <v>46196</v>
      </c>
      <c r="T535">
        <v>15.24</v>
      </c>
      <c r="U535">
        <v>5943</v>
      </c>
      <c r="V535">
        <v>899.94</v>
      </c>
      <c r="W535">
        <v>6842.9400000000005</v>
      </c>
    </row>
    <row r="536" spans="1:23" hidden="1" x14ac:dyDescent="0.25">
      <c r="A536">
        <v>15741</v>
      </c>
      <c r="B536">
        <v>456966806</v>
      </c>
      <c r="C536" t="s">
        <v>3433</v>
      </c>
      <c r="D536" s="8" t="s">
        <v>3434</v>
      </c>
      <c r="E536" t="s">
        <v>644</v>
      </c>
      <c r="G536" t="s">
        <v>62</v>
      </c>
      <c r="H536" t="s">
        <v>63</v>
      </c>
      <c r="I536" t="s">
        <v>30</v>
      </c>
      <c r="J536" t="s">
        <v>64</v>
      </c>
      <c r="K536" t="s">
        <v>27</v>
      </c>
      <c r="L536" t="s">
        <v>65</v>
      </c>
      <c r="M536" t="s">
        <v>3435</v>
      </c>
      <c r="N536" t="s">
        <v>646</v>
      </c>
      <c r="O536" t="s">
        <v>83</v>
      </c>
      <c r="P536" t="s">
        <v>3436</v>
      </c>
      <c r="Q536" t="s">
        <v>122</v>
      </c>
      <c r="R536" s="23" t="s">
        <v>3437</v>
      </c>
      <c r="S536" s="23">
        <v>46195</v>
      </c>
      <c r="T536">
        <v>2.88</v>
      </c>
      <c r="U536">
        <v>7072</v>
      </c>
      <c r="V536">
        <v>1200</v>
      </c>
      <c r="W536">
        <v>8272</v>
      </c>
    </row>
    <row r="537" spans="1:23" hidden="1" x14ac:dyDescent="0.25">
      <c r="A537">
        <v>15741</v>
      </c>
      <c r="B537">
        <v>456961905</v>
      </c>
      <c r="C537" t="s">
        <v>3438</v>
      </c>
      <c r="D537" s="8" t="s">
        <v>3439</v>
      </c>
      <c r="E537" t="s">
        <v>644</v>
      </c>
      <c r="G537" t="s">
        <v>62</v>
      </c>
      <c r="H537" t="s">
        <v>63</v>
      </c>
      <c r="I537" t="s">
        <v>30</v>
      </c>
      <c r="J537" t="s">
        <v>64</v>
      </c>
      <c r="K537" t="s">
        <v>27</v>
      </c>
      <c r="L537" t="s">
        <v>65</v>
      </c>
      <c r="M537" t="s">
        <v>3440</v>
      </c>
      <c r="N537" t="s">
        <v>646</v>
      </c>
      <c r="O537" t="s">
        <v>83</v>
      </c>
      <c r="P537" t="s">
        <v>3441</v>
      </c>
      <c r="Q537" t="s">
        <v>47</v>
      </c>
      <c r="R537" s="23" t="s">
        <v>230</v>
      </c>
      <c r="S537" s="23">
        <v>46195</v>
      </c>
      <c r="T537">
        <v>13.32</v>
      </c>
      <c r="U537">
        <v>5943</v>
      </c>
      <c r="V537">
        <v>0</v>
      </c>
      <c r="W537">
        <v>5943</v>
      </c>
    </row>
    <row r="538" spans="1:23" hidden="1" x14ac:dyDescent="0.25">
      <c r="A538">
        <v>15741</v>
      </c>
      <c r="B538">
        <v>456961817</v>
      </c>
      <c r="C538" t="s">
        <v>3442</v>
      </c>
      <c r="D538" s="8" t="s">
        <v>3443</v>
      </c>
      <c r="E538" t="s">
        <v>644</v>
      </c>
      <c r="G538" t="s">
        <v>62</v>
      </c>
      <c r="H538" t="s">
        <v>63</v>
      </c>
      <c r="I538" t="s">
        <v>30</v>
      </c>
      <c r="J538" t="s">
        <v>64</v>
      </c>
      <c r="K538" t="s">
        <v>196</v>
      </c>
      <c r="L538" t="s">
        <v>307</v>
      </c>
      <c r="M538" t="s">
        <v>3444</v>
      </c>
      <c r="N538" t="s">
        <v>646</v>
      </c>
      <c r="O538" t="s">
        <v>83</v>
      </c>
      <c r="P538" t="s">
        <v>3445</v>
      </c>
      <c r="Q538" t="s">
        <v>47</v>
      </c>
      <c r="R538" s="23" t="s">
        <v>460</v>
      </c>
      <c r="S538" s="23">
        <v>46195</v>
      </c>
      <c r="T538">
        <v>182.97</v>
      </c>
      <c r="U538">
        <v>71247</v>
      </c>
      <c r="V538">
        <v>2951.71</v>
      </c>
      <c r="W538">
        <v>74198.710000000006</v>
      </c>
    </row>
    <row r="539" spans="1:23" hidden="1" x14ac:dyDescent="0.25">
      <c r="A539">
        <v>15741</v>
      </c>
      <c r="B539">
        <v>456958446</v>
      </c>
      <c r="C539" t="s">
        <v>3446</v>
      </c>
      <c r="D539" s="8" t="s">
        <v>3447</v>
      </c>
      <c r="E539" t="s">
        <v>644</v>
      </c>
      <c r="G539" t="s">
        <v>62</v>
      </c>
      <c r="H539" t="s">
        <v>63</v>
      </c>
      <c r="I539" t="s">
        <v>30</v>
      </c>
      <c r="J539" t="s">
        <v>64</v>
      </c>
      <c r="K539" t="s">
        <v>27</v>
      </c>
      <c r="L539" t="s">
        <v>65</v>
      </c>
      <c r="M539" t="s">
        <v>3448</v>
      </c>
      <c r="N539" t="s">
        <v>646</v>
      </c>
      <c r="O539" t="s">
        <v>83</v>
      </c>
      <c r="P539" t="s">
        <v>3449</v>
      </c>
      <c r="Q539" t="s">
        <v>105</v>
      </c>
      <c r="R539" s="23" t="s">
        <v>461</v>
      </c>
      <c r="S539" s="23">
        <v>46195</v>
      </c>
      <c r="T539">
        <v>221.34</v>
      </c>
      <c r="U539">
        <v>140966</v>
      </c>
      <c r="V539">
        <v>14255.88</v>
      </c>
      <c r="W539">
        <v>155221.88</v>
      </c>
    </row>
    <row r="540" spans="1:23" hidden="1" x14ac:dyDescent="0.25">
      <c r="A540">
        <v>15741</v>
      </c>
      <c r="B540">
        <v>456946676</v>
      </c>
      <c r="C540" t="s">
        <v>3450</v>
      </c>
      <c r="D540" s="8" t="s">
        <v>3451</v>
      </c>
      <c r="E540" t="s">
        <v>644</v>
      </c>
      <c r="G540" t="s">
        <v>62</v>
      </c>
      <c r="H540" t="s">
        <v>63</v>
      </c>
      <c r="I540" t="s">
        <v>30</v>
      </c>
      <c r="J540" t="s">
        <v>64</v>
      </c>
      <c r="K540" t="s">
        <v>27</v>
      </c>
      <c r="L540" t="s">
        <v>65</v>
      </c>
      <c r="M540" t="s">
        <v>3452</v>
      </c>
      <c r="N540" t="s">
        <v>646</v>
      </c>
      <c r="O540" t="s">
        <v>83</v>
      </c>
      <c r="P540" t="s">
        <v>3453</v>
      </c>
      <c r="Q540" t="s">
        <v>105</v>
      </c>
      <c r="R540" s="23" t="s">
        <v>570</v>
      </c>
      <c r="S540" s="23">
        <v>46195</v>
      </c>
      <c r="T540">
        <v>20.7</v>
      </c>
      <c r="U540">
        <v>15903</v>
      </c>
      <c r="V540">
        <v>1739.94</v>
      </c>
      <c r="W540">
        <v>17642.939999999999</v>
      </c>
    </row>
    <row r="541" spans="1:23" hidden="1" x14ac:dyDescent="0.25">
      <c r="A541">
        <v>15741</v>
      </c>
      <c r="B541">
        <v>456946565</v>
      </c>
      <c r="C541" t="s">
        <v>3454</v>
      </c>
      <c r="D541" s="8" t="s">
        <v>3455</v>
      </c>
      <c r="E541" t="s">
        <v>644</v>
      </c>
      <c r="G541" t="s">
        <v>62</v>
      </c>
      <c r="H541" t="s">
        <v>63</v>
      </c>
      <c r="I541" t="s">
        <v>30</v>
      </c>
      <c r="J541" t="s">
        <v>64</v>
      </c>
      <c r="K541" t="s">
        <v>196</v>
      </c>
      <c r="L541" t="s">
        <v>305</v>
      </c>
      <c r="M541" t="s">
        <v>3456</v>
      </c>
      <c r="N541" t="s">
        <v>646</v>
      </c>
      <c r="O541" t="s">
        <v>83</v>
      </c>
      <c r="P541" t="s">
        <v>3457</v>
      </c>
      <c r="Q541" t="s">
        <v>340</v>
      </c>
      <c r="R541" s="23" t="s">
        <v>113</v>
      </c>
      <c r="S541" s="23">
        <v>46195</v>
      </c>
      <c r="T541">
        <v>59.44</v>
      </c>
      <c r="U541">
        <v>58988</v>
      </c>
      <c r="V541">
        <v>3359.76</v>
      </c>
      <c r="W541">
        <v>62347.76</v>
      </c>
    </row>
    <row r="542" spans="1:23" hidden="1" x14ac:dyDescent="0.25">
      <c r="A542">
        <v>15741</v>
      </c>
      <c r="B542">
        <v>456946495</v>
      </c>
      <c r="C542" t="s">
        <v>3458</v>
      </c>
      <c r="D542" s="8" t="s">
        <v>3459</v>
      </c>
      <c r="E542" t="s">
        <v>644</v>
      </c>
      <c r="G542" t="s">
        <v>62</v>
      </c>
      <c r="H542" t="s">
        <v>63</v>
      </c>
      <c r="I542" t="s">
        <v>30</v>
      </c>
      <c r="J542" t="s">
        <v>64</v>
      </c>
      <c r="K542" t="s">
        <v>27</v>
      </c>
      <c r="L542" t="s">
        <v>215</v>
      </c>
      <c r="M542" t="s">
        <v>3460</v>
      </c>
      <c r="N542" t="s">
        <v>646</v>
      </c>
      <c r="O542" t="s">
        <v>83</v>
      </c>
      <c r="P542" t="s">
        <v>3461</v>
      </c>
      <c r="Q542" t="s">
        <v>92</v>
      </c>
      <c r="R542" s="23" t="s">
        <v>209</v>
      </c>
      <c r="S542" s="23">
        <v>46195</v>
      </c>
      <c r="T542">
        <v>31.06</v>
      </c>
      <c r="U542">
        <v>25601</v>
      </c>
      <c r="V542">
        <v>1799.88</v>
      </c>
      <c r="W542">
        <v>27400.880000000001</v>
      </c>
    </row>
    <row r="543" spans="1:23" hidden="1" x14ac:dyDescent="0.25">
      <c r="A543">
        <v>15741</v>
      </c>
      <c r="B543">
        <v>456946429</v>
      </c>
      <c r="C543" t="s">
        <v>3462</v>
      </c>
      <c r="D543" s="8" t="s">
        <v>3463</v>
      </c>
      <c r="E543" t="s">
        <v>644</v>
      </c>
      <c r="G543" t="s">
        <v>62</v>
      </c>
      <c r="H543" t="s">
        <v>63</v>
      </c>
      <c r="I543" t="s">
        <v>30</v>
      </c>
      <c r="J543" t="s">
        <v>64</v>
      </c>
      <c r="K543" t="s">
        <v>27</v>
      </c>
      <c r="L543" t="s">
        <v>215</v>
      </c>
      <c r="M543" t="s">
        <v>3464</v>
      </c>
      <c r="N543" t="s">
        <v>646</v>
      </c>
      <c r="O543" t="s">
        <v>83</v>
      </c>
      <c r="P543" t="s">
        <v>3465</v>
      </c>
      <c r="Q543" t="s">
        <v>103</v>
      </c>
      <c r="R543" s="23" t="s">
        <v>377</v>
      </c>
      <c r="S543" s="23">
        <v>46195</v>
      </c>
      <c r="T543">
        <v>29.96</v>
      </c>
      <c r="U543">
        <v>23702</v>
      </c>
      <c r="V543">
        <v>959.88</v>
      </c>
      <c r="W543">
        <v>24661.88</v>
      </c>
    </row>
    <row r="544" spans="1:23" hidden="1" x14ac:dyDescent="0.25">
      <c r="A544">
        <v>15741</v>
      </c>
      <c r="B544">
        <v>456946371</v>
      </c>
      <c r="C544" t="s">
        <v>3466</v>
      </c>
      <c r="D544" s="8" t="s">
        <v>3467</v>
      </c>
      <c r="E544" t="s">
        <v>644</v>
      </c>
      <c r="G544" t="s">
        <v>62</v>
      </c>
      <c r="H544" t="s">
        <v>63</v>
      </c>
      <c r="I544" t="s">
        <v>30</v>
      </c>
      <c r="J544" t="s">
        <v>64</v>
      </c>
      <c r="K544" t="s">
        <v>27</v>
      </c>
      <c r="L544" t="s">
        <v>65</v>
      </c>
      <c r="M544" t="s">
        <v>3468</v>
      </c>
      <c r="N544" t="s">
        <v>646</v>
      </c>
      <c r="O544" t="s">
        <v>83</v>
      </c>
      <c r="P544" t="s">
        <v>3469</v>
      </c>
      <c r="Q544" t="s">
        <v>51</v>
      </c>
      <c r="R544" s="23" t="s">
        <v>216</v>
      </c>
      <c r="S544" s="23">
        <v>46195</v>
      </c>
      <c r="T544">
        <v>15.29</v>
      </c>
      <c r="U544">
        <v>5943</v>
      </c>
      <c r="V544">
        <v>899.94</v>
      </c>
      <c r="W544">
        <v>6842.9400000000005</v>
      </c>
    </row>
    <row r="545" spans="1:23" hidden="1" x14ac:dyDescent="0.25">
      <c r="A545">
        <v>15741</v>
      </c>
      <c r="B545">
        <v>456946319</v>
      </c>
      <c r="C545" t="s">
        <v>3470</v>
      </c>
      <c r="D545" s="8" t="s">
        <v>3471</v>
      </c>
      <c r="E545" t="s">
        <v>644</v>
      </c>
      <c r="G545" t="s">
        <v>62</v>
      </c>
      <c r="H545" t="s">
        <v>63</v>
      </c>
      <c r="I545" t="s">
        <v>30</v>
      </c>
      <c r="J545" t="s">
        <v>64</v>
      </c>
      <c r="K545" t="s">
        <v>27</v>
      </c>
      <c r="L545" t="s">
        <v>65</v>
      </c>
      <c r="M545" t="s">
        <v>3472</v>
      </c>
      <c r="N545" t="s">
        <v>646</v>
      </c>
      <c r="O545" t="s">
        <v>83</v>
      </c>
      <c r="P545" t="s">
        <v>3473</v>
      </c>
      <c r="Q545" t="s">
        <v>118</v>
      </c>
      <c r="R545" s="23" t="s">
        <v>216</v>
      </c>
      <c r="S545" s="23">
        <v>46195</v>
      </c>
      <c r="T545">
        <v>15.3</v>
      </c>
      <c r="U545">
        <v>19243</v>
      </c>
      <c r="V545">
        <v>899.94</v>
      </c>
      <c r="W545">
        <v>20142.939999999999</v>
      </c>
    </row>
    <row r="546" spans="1:23" hidden="1" x14ac:dyDescent="0.25">
      <c r="A546">
        <v>15741</v>
      </c>
      <c r="B546">
        <v>456946284</v>
      </c>
      <c r="C546" t="s">
        <v>3474</v>
      </c>
      <c r="D546" s="8" t="s">
        <v>3475</v>
      </c>
      <c r="E546" t="s">
        <v>644</v>
      </c>
      <c r="G546" t="s">
        <v>62</v>
      </c>
      <c r="H546" t="s">
        <v>63</v>
      </c>
      <c r="I546" t="s">
        <v>30</v>
      </c>
      <c r="J546" t="s">
        <v>64</v>
      </c>
      <c r="K546" t="s">
        <v>27</v>
      </c>
      <c r="L546" t="s">
        <v>65</v>
      </c>
      <c r="M546" t="s">
        <v>3476</v>
      </c>
      <c r="N546" t="s">
        <v>646</v>
      </c>
      <c r="O546" t="s">
        <v>83</v>
      </c>
      <c r="P546" t="s">
        <v>3477</v>
      </c>
      <c r="Q546" t="s">
        <v>98</v>
      </c>
      <c r="R546" s="23" t="s">
        <v>372</v>
      </c>
      <c r="S546" s="23">
        <v>46195</v>
      </c>
      <c r="T546">
        <v>11.26</v>
      </c>
      <c r="U546">
        <v>12046</v>
      </c>
      <c r="V546">
        <v>839.94</v>
      </c>
      <c r="W546">
        <v>12885.94</v>
      </c>
    </row>
    <row r="547" spans="1:23" hidden="1" x14ac:dyDescent="0.25">
      <c r="A547">
        <v>15741</v>
      </c>
      <c r="B547">
        <v>456946246</v>
      </c>
      <c r="C547" t="s">
        <v>3478</v>
      </c>
      <c r="D547" s="8" t="s">
        <v>3479</v>
      </c>
      <c r="E547" t="s">
        <v>644</v>
      </c>
      <c r="G547" t="s">
        <v>62</v>
      </c>
      <c r="H547" t="s">
        <v>63</v>
      </c>
      <c r="I547" t="s">
        <v>30</v>
      </c>
      <c r="J547" t="s">
        <v>64</v>
      </c>
      <c r="K547" t="s">
        <v>27</v>
      </c>
      <c r="L547" t="s">
        <v>65</v>
      </c>
      <c r="M547" t="s">
        <v>3480</v>
      </c>
      <c r="N547" t="s">
        <v>646</v>
      </c>
      <c r="O547" t="s">
        <v>83</v>
      </c>
      <c r="P547" t="s">
        <v>3481</v>
      </c>
      <c r="Q547" t="s">
        <v>44</v>
      </c>
      <c r="R547" s="23" t="s">
        <v>373</v>
      </c>
      <c r="S547" s="23">
        <v>46195</v>
      </c>
      <c r="T547">
        <v>16.059999999999999</v>
      </c>
      <c r="U547">
        <v>6414</v>
      </c>
      <c r="V547">
        <v>899.94</v>
      </c>
      <c r="W547">
        <v>7313.9400000000005</v>
      </c>
    </row>
    <row r="548" spans="1:23" hidden="1" x14ac:dyDescent="0.25">
      <c r="A548">
        <v>15741</v>
      </c>
      <c r="B548">
        <v>456946139</v>
      </c>
      <c r="C548" t="s">
        <v>3482</v>
      </c>
      <c r="D548" s="8" t="s">
        <v>3483</v>
      </c>
      <c r="E548" t="s">
        <v>644</v>
      </c>
      <c r="G548" t="s">
        <v>62</v>
      </c>
      <c r="H548" t="s">
        <v>63</v>
      </c>
      <c r="I548" t="s">
        <v>30</v>
      </c>
      <c r="J548" t="s">
        <v>64</v>
      </c>
      <c r="K548" t="s">
        <v>27</v>
      </c>
      <c r="L548" t="s">
        <v>215</v>
      </c>
      <c r="M548" t="s">
        <v>3484</v>
      </c>
      <c r="N548" t="s">
        <v>646</v>
      </c>
      <c r="O548" t="s">
        <v>83</v>
      </c>
      <c r="P548" t="s">
        <v>3485</v>
      </c>
      <c r="Q548" t="s">
        <v>68</v>
      </c>
      <c r="R548" s="23" t="s">
        <v>115</v>
      </c>
      <c r="S548" s="23">
        <v>46195</v>
      </c>
      <c r="T548">
        <v>27.25</v>
      </c>
      <c r="U548">
        <v>11610</v>
      </c>
      <c r="V548">
        <v>1379.88</v>
      </c>
      <c r="W548">
        <v>12989.880000000001</v>
      </c>
    </row>
    <row r="549" spans="1:23" hidden="1" x14ac:dyDescent="0.25">
      <c r="A549">
        <v>15741</v>
      </c>
      <c r="B549">
        <v>456946035</v>
      </c>
      <c r="C549" t="s">
        <v>3486</v>
      </c>
      <c r="D549" s="8" t="s">
        <v>3487</v>
      </c>
      <c r="E549" t="s">
        <v>644</v>
      </c>
      <c r="G549" t="s">
        <v>62</v>
      </c>
      <c r="H549" t="s">
        <v>63</v>
      </c>
      <c r="I549" t="s">
        <v>30</v>
      </c>
      <c r="J549" t="s">
        <v>64</v>
      </c>
      <c r="K549" t="s">
        <v>27</v>
      </c>
      <c r="L549" t="s">
        <v>65</v>
      </c>
      <c r="M549" t="s">
        <v>3488</v>
      </c>
      <c r="N549" t="s">
        <v>646</v>
      </c>
      <c r="O549" t="s">
        <v>83</v>
      </c>
      <c r="P549" t="s">
        <v>3489</v>
      </c>
      <c r="Q549" t="s">
        <v>205</v>
      </c>
      <c r="R549" s="23" t="s">
        <v>510</v>
      </c>
      <c r="S549" s="23">
        <v>46195</v>
      </c>
      <c r="T549">
        <v>10.28</v>
      </c>
      <c r="U549">
        <v>11161</v>
      </c>
      <c r="V549">
        <v>1283.94</v>
      </c>
      <c r="W549">
        <v>12444.94</v>
      </c>
    </row>
    <row r="550" spans="1:23" hidden="1" x14ac:dyDescent="0.25">
      <c r="A550">
        <v>15741</v>
      </c>
      <c r="B550">
        <v>456932122</v>
      </c>
      <c r="C550" t="s">
        <v>3490</v>
      </c>
      <c r="D550" s="8" t="s">
        <v>3491</v>
      </c>
      <c r="E550" t="s">
        <v>644</v>
      </c>
      <c r="G550" t="s">
        <v>62</v>
      </c>
      <c r="H550" t="s">
        <v>63</v>
      </c>
      <c r="I550" t="s">
        <v>30</v>
      </c>
      <c r="J550" t="s">
        <v>64</v>
      </c>
      <c r="K550" t="s">
        <v>27</v>
      </c>
      <c r="L550" t="s">
        <v>65</v>
      </c>
      <c r="M550" t="s">
        <v>3492</v>
      </c>
      <c r="N550" t="s">
        <v>646</v>
      </c>
      <c r="O550" t="s">
        <v>83</v>
      </c>
      <c r="P550" t="s">
        <v>3493</v>
      </c>
      <c r="Q550" t="s">
        <v>187</v>
      </c>
      <c r="R550" s="23" t="s">
        <v>3494</v>
      </c>
      <c r="S550" s="23">
        <v>46194</v>
      </c>
      <c r="T550">
        <v>9.2200000000000006</v>
      </c>
      <c r="U550">
        <v>5465</v>
      </c>
      <c r="V550">
        <v>0</v>
      </c>
      <c r="W550">
        <v>5465</v>
      </c>
    </row>
    <row r="551" spans="1:23" hidden="1" x14ac:dyDescent="0.25">
      <c r="A551">
        <v>15741</v>
      </c>
      <c r="B551">
        <v>456744404</v>
      </c>
      <c r="C551" t="s">
        <v>3495</v>
      </c>
      <c r="D551" s="8" t="s">
        <v>3496</v>
      </c>
      <c r="E551" t="s">
        <v>644</v>
      </c>
      <c r="G551" t="s">
        <v>62</v>
      </c>
      <c r="H551" t="s">
        <v>63</v>
      </c>
      <c r="I551" t="s">
        <v>30</v>
      </c>
      <c r="J551" t="s">
        <v>64</v>
      </c>
      <c r="K551" t="s">
        <v>27</v>
      </c>
      <c r="L551" t="s">
        <v>65</v>
      </c>
      <c r="M551" t="s">
        <v>3497</v>
      </c>
      <c r="N551" t="s">
        <v>646</v>
      </c>
      <c r="O551" t="s">
        <v>83</v>
      </c>
      <c r="P551" t="s">
        <v>3498</v>
      </c>
      <c r="Q551" t="s">
        <v>105</v>
      </c>
      <c r="R551" s="23" t="s">
        <v>3499</v>
      </c>
      <c r="S551" s="23">
        <v>46188</v>
      </c>
      <c r="T551">
        <v>7.1</v>
      </c>
      <c r="U551">
        <v>10173</v>
      </c>
      <c r="V551">
        <v>0</v>
      </c>
      <c r="W551">
        <v>10173</v>
      </c>
    </row>
    <row r="552" spans="1:23" hidden="1" x14ac:dyDescent="0.25">
      <c r="A552">
        <v>15741</v>
      </c>
      <c r="B552">
        <v>456883969</v>
      </c>
      <c r="C552" t="s">
        <v>3500</v>
      </c>
      <c r="D552" s="8" t="s">
        <v>3501</v>
      </c>
      <c r="E552" t="s">
        <v>644</v>
      </c>
      <c r="G552" t="s">
        <v>62</v>
      </c>
      <c r="H552" t="s">
        <v>63</v>
      </c>
      <c r="I552" t="s">
        <v>30</v>
      </c>
      <c r="J552" t="s">
        <v>64</v>
      </c>
      <c r="K552" t="s">
        <v>27</v>
      </c>
      <c r="L552" t="s">
        <v>65</v>
      </c>
      <c r="M552" t="s">
        <v>3502</v>
      </c>
      <c r="N552" t="s">
        <v>646</v>
      </c>
      <c r="O552" t="s">
        <v>83</v>
      </c>
      <c r="P552" t="s">
        <v>3503</v>
      </c>
      <c r="Q552" t="s">
        <v>51</v>
      </c>
      <c r="R552" s="23" t="s">
        <v>3504</v>
      </c>
      <c r="S552" s="23">
        <v>46192</v>
      </c>
      <c r="T552">
        <v>16.989999999999998</v>
      </c>
      <c r="U552">
        <v>6414</v>
      </c>
      <c r="V552">
        <v>779.58</v>
      </c>
      <c r="W552">
        <v>7193.58</v>
      </c>
    </row>
    <row r="553" spans="1:23" hidden="1" x14ac:dyDescent="0.25">
      <c r="A553">
        <v>15741</v>
      </c>
      <c r="B553">
        <v>456871824</v>
      </c>
      <c r="C553" t="s">
        <v>3505</v>
      </c>
      <c r="D553" s="8" t="s">
        <v>3506</v>
      </c>
      <c r="E553" t="s">
        <v>644</v>
      </c>
      <c r="G553" t="s">
        <v>62</v>
      </c>
      <c r="H553" t="s">
        <v>63</v>
      </c>
      <c r="I553" t="s">
        <v>30</v>
      </c>
      <c r="J553" t="s">
        <v>64</v>
      </c>
      <c r="K553" t="s">
        <v>27</v>
      </c>
      <c r="L553" t="s">
        <v>65</v>
      </c>
      <c r="M553" t="s">
        <v>3507</v>
      </c>
      <c r="N553" t="s">
        <v>646</v>
      </c>
      <c r="O553" t="s">
        <v>83</v>
      </c>
      <c r="P553" t="s">
        <v>3508</v>
      </c>
      <c r="Q553" t="s">
        <v>130</v>
      </c>
      <c r="R553" s="23" t="s">
        <v>3509</v>
      </c>
      <c r="S553" s="23">
        <v>46192</v>
      </c>
      <c r="T553">
        <v>43.62</v>
      </c>
      <c r="U553">
        <v>29723</v>
      </c>
      <c r="V553">
        <v>959.94</v>
      </c>
      <c r="W553">
        <v>30682.94</v>
      </c>
    </row>
    <row r="554" spans="1:23" hidden="1" x14ac:dyDescent="0.25">
      <c r="A554">
        <v>15741</v>
      </c>
      <c r="B554">
        <v>456871768</v>
      </c>
      <c r="C554" t="s">
        <v>3510</v>
      </c>
      <c r="D554" s="8" t="s">
        <v>3511</v>
      </c>
      <c r="E554" t="s">
        <v>644</v>
      </c>
      <c r="G554" t="s">
        <v>62</v>
      </c>
      <c r="H554" t="s">
        <v>63</v>
      </c>
      <c r="I554" t="s">
        <v>30</v>
      </c>
      <c r="J554" t="s">
        <v>64</v>
      </c>
      <c r="K554" t="s">
        <v>27</v>
      </c>
      <c r="L554" t="s">
        <v>65</v>
      </c>
      <c r="M554" t="s">
        <v>3512</v>
      </c>
      <c r="N554" t="s">
        <v>646</v>
      </c>
      <c r="O554" t="s">
        <v>83</v>
      </c>
      <c r="P554" t="s">
        <v>3513</v>
      </c>
      <c r="Q554" t="s">
        <v>312</v>
      </c>
      <c r="R554" s="23" t="s">
        <v>3514</v>
      </c>
      <c r="S554" s="23">
        <v>46192</v>
      </c>
      <c r="T554">
        <v>12.69</v>
      </c>
      <c r="U554">
        <v>11273</v>
      </c>
      <c r="V554">
        <v>599.94000000000005</v>
      </c>
      <c r="W554">
        <v>11872.94</v>
      </c>
    </row>
    <row r="555" spans="1:23" hidden="1" x14ac:dyDescent="0.25">
      <c r="A555">
        <v>15741</v>
      </c>
      <c r="B555">
        <v>456871702</v>
      </c>
      <c r="C555" t="s">
        <v>3515</v>
      </c>
      <c r="D555" s="8" t="s">
        <v>3516</v>
      </c>
      <c r="E555" t="s">
        <v>644</v>
      </c>
      <c r="G555" t="s">
        <v>62</v>
      </c>
      <c r="H555" t="s">
        <v>63</v>
      </c>
      <c r="I555" t="s">
        <v>30</v>
      </c>
      <c r="J555" t="s">
        <v>64</v>
      </c>
      <c r="K555" t="s">
        <v>27</v>
      </c>
      <c r="L555" t="s">
        <v>65</v>
      </c>
      <c r="M555" t="s">
        <v>3517</v>
      </c>
      <c r="N555" t="s">
        <v>646</v>
      </c>
      <c r="O555" t="s">
        <v>83</v>
      </c>
      <c r="P555" t="s">
        <v>3518</v>
      </c>
      <c r="Q555" t="s">
        <v>109</v>
      </c>
      <c r="R555" s="23" t="s">
        <v>569</v>
      </c>
      <c r="S555" s="23">
        <v>46192</v>
      </c>
      <c r="T555">
        <v>9.84</v>
      </c>
      <c r="U555">
        <v>10865</v>
      </c>
      <c r="V555">
        <v>0</v>
      </c>
      <c r="W555">
        <v>10865</v>
      </c>
    </row>
    <row r="556" spans="1:23" hidden="1" x14ac:dyDescent="0.25">
      <c r="A556">
        <v>15741</v>
      </c>
      <c r="B556">
        <v>456871617</v>
      </c>
      <c r="C556" t="s">
        <v>3519</v>
      </c>
      <c r="D556" s="8" t="s">
        <v>3520</v>
      </c>
      <c r="E556" t="s">
        <v>644</v>
      </c>
      <c r="G556" t="s">
        <v>62</v>
      </c>
      <c r="H556" t="s">
        <v>63</v>
      </c>
      <c r="I556" t="s">
        <v>30</v>
      </c>
      <c r="J556" t="s">
        <v>64</v>
      </c>
      <c r="K556" t="s">
        <v>27</v>
      </c>
      <c r="L556" t="s">
        <v>65</v>
      </c>
      <c r="M556" t="s">
        <v>3521</v>
      </c>
      <c r="N556" t="s">
        <v>646</v>
      </c>
      <c r="O556" t="s">
        <v>83</v>
      </c>
      <c r="P556" t="s">
        <v>3522</v>
      </c>
      <c r="Q556" t="s">
        <v>43</v>
      </c>
      <c r="R556" s="23" t="s">
        <v>3523</v>
      </c>
      <c r="S556" s="23">
        <v>46192</v>
      </c>
      <c r="T556">
        <v>11.86</v>
      </c>
      <c r="U556">
        <v>5943</v>
      </c>
      <c r="V556">
        <v>599.94000000000005</v>
      </c>
      <c r="W556">
        <v>6542.9400000000005</v>
      </c>
    </row>
    <row r="557" spans="1:23" hidden="1" x14ac:dyDescent="0.25">
      <c r="A557">
        <v>15741</v>
      </c>
      <c r="B557">
        <v>456842969</v>
      </c>
      <c r="C557" t="s">
        <v>3524</v>
      </c>
      <c r="D557" s="8" t="s">
        <v>3525</v>
      </c>
      <c r="E557" t="s">
        <v>644</v>
      </c>
      <c r="G557" t="s">
        <v>62</v>
      </c>
      <c r="H557" t="s">
        <v>63</v>
      </c>
      <c r="I557" t="s">
        <v>30</v>
      </c>
      <c r="J557" t="s">
        <v>64</v>
      </c>
      <c r="K557" t="s">
        <v>27</v>
      </c>
      <c r="L557" t="s">
        <v>65</v>
      </c>
      <c r="M557" t="s">
        <v>3526</v>
      </c>
      <c r="N557" t="s">
        <v>646</v>
      </c>
      <c r="O557" t="s">
        <v>83</v>
      </c>
      <c r="P557" t="s">
        <v>3527</v>
      </c>
      <c r="Q557" t="s">
        <v>71</v>
      </c>
      <c r="R557" s="23" t="s">
        <v>231</v>
      </c>
      <c r="S557" s="23">
        <v>46191</v>
      </c>
      <c r="T557">
        <v>47.22</v>
      </c>
      <c r="U557">
        <v>21055</v>
      </c>
      <c r="V557">
        <v>1199.94</v>
      </c>
      <c r="W557">
        <v>22254.94</v>
      </c>
    </row>
    <row r="558" spans="1:23" hidden="1" x14ac:dyDescent="0.25">
      <c r="A558">
        <v>15741</v>
      </c>
      <c r="B558">
        <v>456839815</v>
      </c>
      <c r="C558" t="s">
        <v>3528</v>
      </c>
      <c r="D558" s="8" t="s">
        <v>3529</v>
      </c>
      <c r="E558" t="s">
        <v>644</v>
      </c>
      <c r="G558" t="s">
        <v>62</v>
      </c>
      <c r="H558" t="s">
        <v>63</v>
      </c>
      <c r="I558" t="s">
        <v>30</v>
      </c>
      <c r="J558" t="s">
        <v>79</v>
      </c>
      <c r="K558" t="s">
        <v>27</v>
      </c>
      <c r="L558" t="s">
        <v>65</v>
      </c>
      <c r="M558" t="s">
        <v>3530</v>
      </c>
      <c r="N558" t="s">
        <v>646</v>
      </c>
      <c r="O558" t="s">
        <v>83</v>
      </c>
      <c r="P558" t="s">
        <v>3531</v>
      </c>
      <c r="Q558" t="s">
        <v>50</v>
      </c>
      <c r="R558" s="23" t="s">
        <v>445</v>
      </c>
      <c r="S558" s="23">
        <v>46191</v>
      </c>
      <c r="T558">
        <v>9.76</v>
      </c>
      <c r="U558">
        <v>5466</v>
      </c>
      <c r="V558">
        <v>0</v>
      </c>
      <c r="W558">
        <v>5466</v>
      </c>
    </row>
    <row r="559" spans="1:23" hidden="1" x14ac:dyDescent="0.25">
      <c r="A559">
        <v>15741</v>
      </c>
      <c r="B559">
        <v>456838569</v>
      </c>
      <c r="C559" t="s">
        <v>3532</v>
      </c>
      <c r="D559" s="8" t="s">
        <v>3533</v>
      </c>
      <c r="E559" t="s">
        <v>644</v>
      </c>
      <c r="G559" t="s">
        <v>62</v>
      </c>
      <c r="H559" t="s">
        <v>63</v>
      </c>
      <c r="I559" t="s">
        <v>30</v>
      </c>
      <c r="J559" t="s">
        <v>64</v>
      </c>
      <c r="K559" t="s">
        <v>27</v>
      </c>
      <c r="L559" t="s">
        <v>65</v>
      </c>
      <c r="M559" t="s">
        <v>3534</v>
      </c>
      <c r="N559" t="s">
        <v>646</v>
      </c>
      <c r="O559" t="s">
        <v>83</v>
      </c>
      <c r="P559" t="s">
        <v>3535</v>
      </c>
      <c r="Q559" t="s">
        <v>121</v>
      </c>
      <c r="R559" s="23" t="s">
        <v>433</v>
      </c>
      <c r="S559" s="23">
        <v>46191</v>
      </c>
      <c r="T559">
        <v>20.74</v>
      </c>
      <c r="U559">
        <v>16698</v>
      </c>
      <c r="V559">
        <v>1739.94</v>
      </c>
      <c r="W559">
        <v>18437.939999999999</v>
      </c>
    </row>
    <row r="560" spans="1:23" hidden="1" x14ac:dyDescent="0.25">
      <c r="A560">
        <v>15741</v>
      </c>
      <c r="B560">
        <v>456838748</v>
      </c>
      <c r="C560" t="s">
        <v>3536</v>
      </c>
      <c r="D560" s="8" t="s">
        <v>3537</v>
      </c>
      <c r="E560" t="s">
        <v>644</v>
      </c>
      <c r="G560" t="s">
        <v>62</v>
      </c>
      <c r="H560" t="s">
        <v>63</v>
      </c>
      <c r="I560" t="s">
        <v>30</v>
      </c>
      <c r="J560" t="s">
        <v>79</v>
      </c>
      <c r="K560" t="s">
        <v>27</v>
      </c>
      <c r="L560" t="s">
        <v>65</v>
      </c>
      <c r="M560" t="s">
        <v>3538</v>
      </c>
      <c r="N560" t="s">
        <v>646</v>
      </c>
      <c r="O560" t="s">
        <v>83</v>
      </c>
      <c r="P560" t="s">
        <v>3539</v>
      </c>
      <c r="Q560" t="s">
        <v>45</v>
      </c>
      <c r="R560" s="23" t="s">
        <v>3540</v>
      </c>
      <c r="S560" s="23">
        <v>46191</v>
      </c>
      <c r="T560">
        <v>11.75</v>
      </c>
      <c r="U560">
        <v>5943</v>
      </c>
      <c r="V560">
        <v>839.94</v>
      </c>
      <c r="W560">
        <v>6782.9400000000005</v>
      </c>
    </row>
    <row r="561" spans="1:23" hidden="1" x14ac:dyDescent="0.25">
      <c r="A561">
        <v>15741</v>
      </c>
      <c r="B561">
        <v>456804136</v>
      </c>
      <c r="C561" t="s">
        <v>3541</v>
      </c>
      <c r="D561" s="8" t="s">
        <v>3542</v>
      </c>
      <c r="E561" t="s">
        <v>644</v>
      </c>
      <c r="G561" t="s">
        <v>62</v>
      </c>
      <c r="H561" t="s">
        <v>63</v>
      </c>
      <c r="I561" t="s">
        <v>30</v>
      </c>
      <c r="J561" t="s">
        <v>64</v>
      </c>
      <c r="K561" t="s">
        <v>27</v>
      </c>
      <c r="L561" t="s">
        <v>65</v>
      </c>
      <c r="M561" t="s">
        <v>3543</v>
      </c>
      <c r="N561" t="s">
        <v>646</v>
      </c>
      <c r="O561" t="s">
        <v>83</v>
      </c>
      <c r="P561" t="s">
        <v>3544</v>
      </c>
      <c r="Q561" t="s">
        <v>136</v>
      </c>
      <c r="R561" s="23" t="s">
        <v>3545</v>
      </c>
      <c r="S561" s="23">
        <v>46190</v>
      </c>
      <c r="T561">
        <v>15.31</v>
      </c>
      <c r="U561">
        <v>19214</v>
      </c>
      <c r="V561">
        <v>899.94</v>
      </c>
      <c r="W561">
        <v>20113.939999999999</v>
      </c>
    </row>
    <row r="562" spans="1:23" hidden="1" x14ac:dyDescent="0.25">
      <c r="A562">
        <v>15741</v>
      </c>
      <c r="B562">
        <v>456803883</v>
      </c>
      <c r="C562" t="s">
        <v>3546</v>
      </c>
      <c r="D562" s="8" t="s">
        <v>3547</v>
      </c>
      <c r="E562" t="s">
        <v>644</v>
      </c>
      <c r="G562" t="s">
        <v>62</v>
      </c>
      <c r="H562" t="s">
        <v>63</v>
      </c>
      <c r="I562" t="s">
        <v>30</v>
      </c>
      <c r="J562" t="s">
        <v>64</v>
      </c>
      <c r="K562" t="s">
        <v>27</v>
      </c>
      <c r="L562" t="s">
        <v>65</v>
      </c>
      <c r="M562" t="s">
        <v>3548</v>
      </c>
      <c r="N562" t="s">
        <v>646</v>
      </c>
      <c r="O562" t="s">
        <v>83</v>
      </c>
      <c r="P562" t="s">
        <v>3549</v>
      </c>
      <c r="Q562" t="s">
        <v>50</v>
      </c>
      <c r="R562" s="23" t="s">
        <v>3550</v>
      </c>
      <c r="S562" s="23">
        <v>46190</v>
      </c>
      <c r="T562">
        <v>20.14</v>
      </c>
      <c r="U562">
        <v>8303</v>
      </c>
      <c r="V562">
        <v>1739.94</v>
      </c>
      <c r="W562">
        <v>10042.94</v>
      </c>
    </row>
    <row r="563" spans="1:23" hidden="1" x14ac:dyDescent="0.25">
      <c r="A563">
        <v>15741</v>
      </c>
      <c r="B563">
        <v>456803784</v>
      </c>
      <c r="C563" t="s">
        <v>3551</v>
      </c>
      <c r="D563" s="8" t="s">
        <v>3552</v>
      </c>
      <c r="E563" t="s">
        <v>644</v>
      </c>
      <c r="G563" t="s">
        <v>62</v>
      </c>
      <c r="H563" t="s">
        <v>63</v>
      </c>
      <c r="I563" t="s">
        <v>30</v>
      </c>
      <c r="J563" t="s">
        <v>64</v>
      </c>
      <c r="K563" t="s">
        <v>27</v>
      </c>
      <c r="L563" t="s">
        <v>65</v>
      </c>
      <c r="M563" t="s">
        <v>3553</v>
      </c>
      <c r="N563" t="s">
        <v>646</v>
      </c>
      <c r="O563" t="s">
        <v>83</v>
      </c>
      <c r="P563" t="s">
        <v>218</v>
      </c>
      <c r="Q563" t="s">
        <v>47</v>
      </c>
      <c r="R563" s="23" t="s">
        <v>3554</v>
      </c>
      <c r="S563" s="23">
        <v>46190</v>
      </c>
      <c r="T563">
        <v>15.36</v>
      </c>
      <c r="U563">
        <v>5943</v>
      </c>
      <c r="V563">
        <v>899.94</v>
      </c>
      <c r="W563">
        <v>6842.9400000000005</v>
      </c>
    </row>
    <row r="564" spans="1:23" hidden="1" x14ac:dyDescent="0.25">
      <c r="A564">
        <v>15741</v>
      </c>
      <c r="B564">
        <v>456803712</v>
      </c>
      <c r="C564" t="s">
        <v>3555</v>
      </c>
      <c r="D564" s="8" t="s">
        <v>3556</v>
      </c>
      <c r="E564" t="s">
        <v>644</v>
      </c>
      <c r="G564" t="s">
        <v>62</v>
      </c>
      <c r="H564" t="s">
        <v>63</v>
      </c>
      <c r="I564" t="s">
        <v>30</v>
      </c>
      <c r="J564" t="s">
        <v>64</v>
      </c>
      <c r="K564" t="s">
        <v>27</v>
      </c>
      <c r="L564" t="s">
        <v>65</v>
      </c>
      <c r="M564" t="s">
        <v>3557</v>
      </c>
      <c r="N564" t="s">
        <v>646</v>
      </c>
      <c r="O564" t="s">
        <v>83</v>
      </c>
      <c r="P564" t="s">
        <v>3558</v>
      </c>
      <c r="Q564" t="s">
        <v>116</v>
      </c>
      <c r="R564" s="23" t="s">
        <v>3559</v>
      </c>
      <c r="S564" s="23">
        <v>46190</v>
      </c>
      <c r="T564">
        <v>9.85</v>
      </c>
      <c r="U564">
        <v>10173</v>
      </c>
      <c r="V564">
        <v>599.94000000000005</v>
      </c>
      <c r="W564">
        <v>10772.94</v>
      </c>
    </row>
    <row r="565" spans="1:23" hidden="1" x14ac:dyDescent="0.25">
      <c r="A565">
        <v>15741</v>
      </c>
      <c r="B565">
        <v>456802212</v>
      </c>
      <c r="C565" t="s">
        <v>3560</v>
      </c>
      <c r="D565" s="8" t="s">
        <v>3561</v>
      </c>
      <c r="E565" t="s">
        <v>644</v>
      </c>
      <c r="G565" t="s">
        <v>62</v>
      </c>
      <c r="H565" t="s">
        <v>63</v>
      </c>
      <c r="I565" t="s">
        <v>30</v>
      </c>
      <c r="J565" t="s">
        <v>64</v>
      </c>
      <c r="K565" t="s">
        <v>27</v>
      </c>
      <c r="L565" t="s">
        <v>65</v>
      </c>
      <c r="M565" t="s">
        <v>3562</v>
      </c>
      <c r="N565" t="s">
        <v>646</v>
      </c>
      <c r="O565" t="s">
        <v>83</v>
      </c>
      <c r="P565" t="s">
        <v>3563</v>
      </c>
      <c r="Q565" t="s">
        <v>71</v>
      </c>
      <c r="R565" s="23" t="s">
        <v>3564</v>
      </c>
      <c r="S565" s="23">
        <v>46190</v>
      </c>
      <c r="T565">
        <v>14.95</v>
      </c>
      <c r="U565">
        <v>5943</v>
      </c>
      <c r="V565">
        <v>899.94</v>
      </c>
      <c r="W565">
        <v>6842.9400000000005</v>
      </c>
    </row>
    <row r="566" spans="1:23" hidden="1" x14ac:dyDescent="0.25">
      <c r="A566">
        <v>15741</v>
      </c>
      <c r="B566">
        <v>456774087</v>
      </c>
      <c r="C566" t="s">
        <v>3565</v>
      </c>
      <c r="D566" s="8" t="s">
        <v>3566</v>
      </c>
      <c r="E566" t="s">
        <v>644</v>
      </c>
      <c r="G566" t="s">
        <v>62</v>
      </c>
      <c r="H566" t="s">
        <v>63</v>
      </c>
      <c r="I566" t="s">
        <v>30</v>
      </c>
      <c r="J566" t="s">
        <v>64</v>
      </c>
      <c r="K566" t="s">
        <v>27</v>
      </c>
      <c r="L566" t="s">
        <v>65</v>
      </c>
      <c r="M566" t="s">
        <v>3567</v>
      </c>
      <c r="N566" t="s">
        <v>646</v>
      </c>
      <c r="O566" t="s">
        <v>83</v>
      </c>
      <c r="P566" t="s">
        <v>3568</v>
      </c>
      <c r="Q566" t="s">
        <v>45</v>
      </c>
      <c r="R566" s="23" t="s">
        <v>3569</v>
      </c>
      <c r="S566" s="23">
        <v>46189</v>
      </c>
      <c r="T566">
        <v>20.55</v>
      </c>
      <c r="U566">
        <v>8303</v>
      </c>
      <c r="V566">
        <v>1769.88</v>
      </c>
      <c r="W566">
        <v>10072.880000000001</v>
      </c>
    </row>
    <row r="567" spans="1:23" hidden="1" x14ac:dyDescent="0.25">
      <c r="A567">
        <v>15741</v>
      </c>
      <c r="B567">
        <v>456771840</v>
      </c>
      <c r="C567" t="s">
        <v>3570</v>
      </c>
      <c r="D567" s="8" t="s">
        <v>3571</v>
      </c>
      <c r="E567" t="s">
        <v>644</v>
      </c>
      <c r="G567" t="s">
        <v>62</v>
      </c>
      <c r="H567" t="s">
        <v>63</v>
      </c>
      <c r="I567" t="s">
        <v>30</v>
      </c>
      <c r="J567" t="s">
        <v>64</v>
      </c>
      <c r="K567" t="s">
        <v>27</v>
      </c>
      <c r="L567" t="s">
        <v>65</v>
      </c>
      <c r="M567" t="s">
        <v>3572</v>
      </c>
      <c r="N567" t="s">
        <v>646</v>
      </c>
      <c r="O567" t="s">
        <v>83</v>
      </c>
      <c r="P567" t="s">
        <v>3573</v>
      </c>
      <c r="Q567" t="s">
        <v>58</v>
      </c>
      <c r="R567" s="23" t="s">
        <v>467</v>
      </c>
      <c r="S567" s="23">
        <v>46189</v>
      </c>
      <c r="T567">
        <v>10.34</v>
      </c>
      <c r="U567">
        <v>10408</v>
      </c>
      <c r="V567">
        <v>779.94</v>
      </c>
      <c r="W567">
        <v>11187.94</v>
      </c>
    </row>
    <row r="568" spans="1:23" hidden="1" x14ac:dyDescent="0.25">
      <c r="A568">
        <v>15741</v>
      </c>
      <c r="B568">
        <v>456744760</v>
      </c>
      <c r="C568" t="s">
        <v>3574</v>
      </c>
      <c r="D568" s="8" t="s">
        <v>3575</v>
      </c>
      <c r="E568" t="s">
        <v>644</v>
      </c>
      <c r="G568" t="s">
        <v>62</v>
      </c>
      <c r="H568" t="s">
        <v>63</v>
      </c>
      <c r="I568" t="s">
        <v>30</v>
      </c>
      <c r="J568" t="s">
        <v>64</v>
      </c>
      <c r="K568" t="s">
        <v>27</v>
      </c>
      <c r="L568" t="s">
        <v>65</v>
      </c>
      <c r="M568" t="s">
        <v>3576</v>
      </c>
      <c r="N568" t="s">
        <v>646</v>
      </c>
      <c r="O568" t="s">
        <v>83</v>
      </c>
      <c r="P568" t="s">
        <v>3577</v>
      </c>
      <c r="Q568" t="s">
        <v>48</v>
      </c>
      <c r="R568" s="23" t="s">
        <v>3578</v>
      </c>
      <c r="S568" s="23">
        <v>46188</v>
      </c>
      <c r="T568">
        <v>13.13</v>
      </c>
      <c r="U568">
        <v>5943</v>
      </c>
      <c r="V568">
        <v>539.94000000000005</v>
      </c>
      <c r="W568">
        <v>6482.9400000000005</v>
      </c>
    </row>
    <row r="569" spans="1:23" hidden="1" x14ac:dyDescent="0.25">
      <c r="A569">
        <v>15741</v>
      </c>
      <c r="B569">
        <v>456760589</v>
      </c>
      <c r="C569" t="s">
        <v>3579</v>
      </c>
      <c r="D569" s="8" t="s">
        <v>3580</v>
      </c>
      <c r="E569" t="s">
        <v>644</v>
      </c>
      <c r="G569" t="s">
        <v>62</v>
      </c>
      <c r="H569" t="s">
        <v>63</v>
      </c>
      <c r="I569" t="s">
        <v>30</v>
      </c>
      <c r="J569" t="s">
        <v>64</v>
      </c>
      <c r="K569" t="s">
        <v>27</v>
      </c>
      <c r="L569" t="s">
        <v>65</v>
      </c>
      <c r="M569" t="s">
        <v>3581</v>
      </c>
      <c r="N569" t="s">
        <v>646</v>
      </c>
      <c r="O569" t="s">
        <v>83</v>
      </c>
      <c r="P569" t="s">
        <v>3582</v>
      </c>
      <c r="Q569" t="s">
        <v>118</v>
      </c>
      <c r="R569" s="23" t="s">
        <v>331</v>
      </c>
      <c r="S569" s="23">
        <v>46189</v>
      </c>
      <c r="T569">
        <v>12.38</v>
      </c>
      <c r="U569">
        <v>19243</v>
      </c>
      <c r="V569">
        <v>959.88</v>
      </c>
      <c r="W569">
        <v>20202.88</v>
      </c>
    </row>
    <row r="570" spans="1:23" hidden="1" x14ac:dyDescent="0.25">
      <c r="A570">
        <v>15741</v>
      </c>
      <c r="B570">
        <v>456760555</v>
      </c>
      <c r="C570" t="s">
        <v>3583</v>
      </c>
      <c r="D570" s="8" t="s">
        <v>3584</v>
      </c>
      <c r="E570" t="s">
        <v>644</v>
      </c>
      <c r="G570" t="s">
        <v>62</v>
      </c>
      <c r="H570" t="s">
        <v>63</v>
      </c>
      <c r="I570" t="s">
        <v>30</v>
      </c>
      <c r="J570" t="s">
        <v>64</v>
      </c>
      <c r="K570" t="s">
        <v>27</v>
      </c>
      <c r="L570" t="s">
        <v>65</v>
      </c>
      <c r="M570" t="s">
        <v>3585</v>
      </c>
      <c r="N570" t="s">
        <v>646</v>
      </c>
      <c r="O570" t="s">
        <v>83</v>
      </c>
      <c r="P570" t="s">
        <v>3586</v>
      </c>
      <c r="Q570" t="s">
        <v>378</v>
      </c>
      <c r="R570" s="23" t="s">
        <v>446</v>
      </c>
      <c r="S570" s="23">
        <v>46189</v>
      </c>
      <c r="T570">
        <v>10.5</v>
      </c>
      <c r="U570">
        <v>11161</v>
      </c>
      <c r="V570">
        <v>839.94</v>
      </c>
      <c r="W570">
        <v>12000.94</v>
      </c>
    </row>
    <row r="571" spans="1:23" hidden="1" x14ac:dyDescent="0.25">
      <c r="A571">
        <v>15741</v>
      </c>
      <c r="B571">
        <v>456760507</v>
      </c>
      <c r="C571" t="s">
        <v>3587</v>
      </c>
      <c r="D571" s="8" t="s">
        <v>3588</v>
      </c>
      <c r="E571" t="s">
        <v>644</v>
      </c>
      <c r="G571" t="s">
        <v>62</v>
      </c>
      <c r="H571" t="s">
        <v>63</v>
      </c>
      <c r="I571" t="s">
        <v>30</v>
      </c>
      <c r="J571" t="s">
        <v>64</v>
      </c>
      <c r="K571" t="s">
        <v>27</v>
      </c>
      <c r="L571" t="s">
        <v>65</v>
      </c>
      <c r="M571" t="s">
        <v>3589</v>
      </c>
      <c r="N571" t="s">
        <v>646</v>
      </c>
      <c r="O571" t="s">
        <v>83</v>
      </c>
      <c r="P571" t="s">
        <v>3590</v>
      </c>
      <c r="Q571" t="s">
        <v>102</v>
      </c>
      <c r="R571" s="23" t="s">
        <v>597</v>
      </c>
      <c r="S571" s="23">
        <v>46189</v>
      </c>
      <c r="T571">
        <v>15.62</v>
      </c>
      <c r="U571">
        <v>5943</v>
      </c>
      <c r="V571">
        <v>899.94</v>
      </c>
      <c r="W571">
        <v>6842.9400000000005</v>
      </c>
    </row>
    <row r="572" spans="1:23" hidden="1" x14ac:dyDescent="0.25">
      <c r="A572">
        <v>15741</v>
      </c>
      <c r="B572">
        <v>456760454</v>
      </c>
      <c r="C572" t="s">
        <v>3591</v>
      </c>
      <c r="D572" s="8" t="s">
        <v>3592</v>
      </c>
      <c r="E572" t="s">
        <v>644</v>
      </c>
      <c r="G572" t="s">
        <v>62</v>
      </c>
      <c r="H572" t="s">
        <v>63</v>
      </c>
      <c r="I572" t="s">
        <v>30</v>
      </c>
      <c r="J572" t="s">
        <v>64</v>
      </c>
      <c r="K572" t="s">
        <v>27</v>
      </c>
      <c r="L572" t="s">
        <v>65</v>
      </c>
      <c r="M572" t="s">
        <v>3593</v>
      </c>
      <c r="N572" t="s">
        <v>646</v>
      </c>
      <c r="O572" t="s">
        <v>83</v>
      </c>
      <c r="P572" t="s">
        <v>3594</v>
      </c>
      <c r="Q572" t="s">
        <v>45</v>
      </c>
      <c r="R572" s="23" t="s">
        <v>462</v>
      </c>
      <c r="S572" s="23">
        <v>46189</v>
      </c>
      <c r="T572">
        <v>48.57</v>
      </c>
      <c r="U572">
        <v>21527</v>
      </c>
      <c r="V572">
        <v>1139.94</v>
      </c>
      <c r="W572">
        <v>22666.94</v>
      </c>
    </row>
    <row r="573" spans="1:23" hidden="1" x14ac:dyDescent="0.25">
      <c r="A573">
        <v>15741</v>
      </c>
      <c r="B573">
        <v>456760411</v>
      </c>
      <c r="C573" t="s">
        <v>3595</v>
      </c>
      <c r="D573" s="8" t="s">
        <v>3596</v>
      </c>
      <c r="E573" t="s">
        <v>644</v>
      </c>
      <c r="G573" t="s">
        <v>62</v>
      </c>
      <c r="H573" t="s">
        <v>63</v>
      </c>
      <c r="I573" t="s">
        <v>30</v>
      </c>
      <c r="J573" t="s">
        <v>64</v>
      </c>
      <c r="K573" t="s">
        <v>27</v>
      </c>
      <c r="L573" t="s">
        <v>65</v>
      </c>
      <c r="M573" t="s">
        <v>3597</v>
      </c>
      <c r="N573" t="s">
        <v>646</v>
      </c>
      <c r="O573" t="s">
        <v>83</v>
      </c>
      <c r="P573" t="s">
        <v>3598</v>
      </c>
      <c r="Q573" t="s">
        <v>49</v>
      </c>
      <c r="R573" s="23" t="s">
        <v>3599</v>
      </c>
      <c r="S573" s="23">
        <v>46189</v>
      </c>
      <c r="T573">
        <v>20.47</v>
      </c>
      <c r="U573">
        <v>8303</v>
      </c>
      <c r="V573">
        <v>1739.94</v>
      </c>
      <c r="W573">
        <v>10042.94</v>
      </c>
    </row>
    <row r="574" spans="1:23" hidden="1" x14ac:dyDescent="0.25">
      <c r="A574">
        <v>15741</v>
      </c>
      <c r="B574">
        <v>456760380</v>
      </c>
      <c r="C574" t="s">
        <v>3600</v>
      </c>
      <c r="D574" s="8" t="s">
        <v>3601</v>
      </c>
      <c r="E574" t="s">
        <v>644</v>
      </c>
      <c r="G574" t="s">
        <v>62</v>
      </c>
      <c r="H574" t="s">
        <v>63</v>
      </c>
      <c r="I574" t="s">
        <v>30</v>
      </c>
      <c r="J574" t="s">
        <v>64</v>
      </c>
      <c r="K574" t="s">
        <v>27</v>
      </c>
      <c r="L574" t="s">
        <v>65</v>
      </c>
      <c r="M574" t="s">
        <v>3602</v>
      </c>
      <c r="N574" t="s">
        <v>646</v>
      </c>
      <c r="O574" t="s">
        <v>83</v>
      </c>
      <c r="P574" t="s">
        <v>3603</v>
      </c>
      <c r="Q574" t="s">
        <v>94</v>
      </c>
      <c r="R574" s="23" t="s">
        <v>366</v>
      </c>
      <c r="S574" s="23">
        <v>46189</v>
      </c>
      <c r="T574">
        <v>13.68</v>
      </c>
      <c r="U574">
        <v>13253</v>
      </c>
      <c r="V574">
        <v>899.94</v>
      </c>
      <c r="W574">
        <v>14152.94</v>
      </c>
    </row>
    <row r="575" spans="1:23" hidden="1" x14ac:dyDescent="0.25">
      <c r="A575">
        <v>15741</v>
      </c>
      <c r="B575">
        <v>456760360</v>
      </c>
      <c r="C575" t="s">
        <v>3604</v>
      </c>
      <c r="D575" s="8" t="s">
        <v>3605</v>
      </c>
      <c r="E575" t="s">
        <v>644</v>
      </c>
      <c r="G575" t="s">
        <v>62</v>
      </c>
      <c r="H575" t="s">
        <v>63</v>
      </c>
      <c r="I575" t="s">
        <v>30</v>
      </c>
      <c r="J575" t="s">
        <v>64</v>
      </c>
      <c r="K575" t="s">
        <v>27</v>
      </c>
      <c r="L575" t="s">
        <v>65</v>
      </c>
      <c r="M575" t="s">
        <v>3606</v>
      </c>
      <c r="N575" t="s">
        <v>646</v>
      </c>
      <c r="O575" t="s">
        <v>83</v>
      </c>
      <c r="P575" t="s">
        <v>3607</v>
      </c>
      <c r="Q575" t="s">
        <v>111</v>
      </c>
      <c r="R575" s="23" t="s">
        <v>466</v>
      </c>
      <c r="S575" s="23">
        <v>46189</v>
      </c>
      <c r="T575">
        <v>56.68</v>
      </c>
      <c r="U575">
        <v>36431</v>
      </c>
      <c r="V575">
        <v>2399.94</v>
      </c>
      <c r="W575">
        <v>38830.94</v>
      </c>
    </row>
    <row r="576" spans="1:23" hidden="1" x14ac:dyDescent="0.25">
      <c r="A576">
        <v>15741</v>
      </c>
      <c r="B576">
        <v>456760290</v>
      </c>
      <c r="C576" t="s">
        <v>3608</v>
      </c>
      <c r="D576" s="8" t="s">
        <v>3609</v>
      </c>
      <c r="E576" t="s">
        <v>644</v>
      </c>
      <c r="G576" t="s">
        <v>62</v>
      </c>
      <c r="H576" t="s">
        <v>63</v>
      </c>
      <c r="I576" t="s">
        <v>30</v>
      </c>
      <c r="J576" t="s">
        <v>64</v>
      </c>
      <c r="K576" t="s">
        <v>27</v>
      </c>
      <c r="L576" t="s">
        <v>65</v>
      </c>
      <c r="M576" t="s">
        <v>3610</v>
      </c>
      <c r="N576" t="s">
        <v>646</v>
      </c>
      <c r="O576" t="s">
        <v>83</v>
      </c>
      <c r="P576" t="s">
        <v>3611</v>
      </c>
      <c r="Q576" t="s">
        <v>68</v>
      </c>
      <c r="R576" s="23" t="s">
        <v>465</v>
      </c>
      <c r="S576" s="23">
        <v>46189</v>
      </c>
      <c r="T576">
        <v>14.52</v>
      </c>
      <c r="U576">
        <v>5943</v>
      </c>
      <c r="V576">
        <v>899.94</v>
      </c>
      <c r="W576">
        <v>6842.9400000000005</v>
      </c>
    </row>
    <row r="577" spans="1:23" hidden="1" x14ac:dyDescent="0.25">
      <c r="A577">
        <v>15741</v>
      </c>
      <c r="B577">
        <v>456760232</v>
      </c>
      <c r="C577" t="s">
        <v>3612</v>
      </c>
      <c r="D577" s="8" t="s">
        <v>3613</v>
      </c>
      <c r="E577" t="s">
        <v>644</v>
      </c>
      <c r="G577" t="s">
        <v>62</v>
      </c>
      <c r="H577" t="s">
        <v>63</v>
      </c>
      <c r="I577" t="s">
        <v>30</v>
      </c>
      <c r="J577" t="s">
        <v>64</v>
      </c>
      <c r="K577" t="s">
        <v>27</v>
      </c>
      <c r="L577" t="s">
        <v>65</v>
      </c>
      <c r="M577" t="s">
        <v>3614</v>
      </c>
      <c r="N577" t="s">
        <v>646</v>
      </c>
      <c r="O577" t="s">
        <v>83</v>
      </c>
      <c r="P577" t="s">
        <v>3615</v>
      </c>
      <c r="Q577" t="s">
        <v>120</v>
      </c>
      <c r="R577" s="23" t="s">
        <v>615</v>
      </c>
      <c r="S577" s="23">
        <v>46189</v>
      </c>
      <c r="T577">
        <v>10.24</v>
      </c>
      <c r="U577">
        <v>13529</v>
      </c>
      <c r="V577">
        <v>839.94</v>
      </c>
      <c r="W577">
        <v>14368.94</v>
      </c>
    </row>
    <row r="578" spans="1:23" hidden="1" x14ac:dyDescent="0.25">
      <c r="A578">
        <v>15741</v>
      </c>
      <c r="B578">
        <v>456760118</v>
      </c>
      <c r="C578" t="s">
        <v>3616</v>
      </c>
      <c r="D578" s="8" t="s">
        <v>3617</v>
      </c>
      <c r="E578" t="s">
        <v>644</v>
      </c>
      <c r="G578" t="s">
        <v>62</v>
      </c>
      <c r="H578" t="s">
        <v>63</v>
      </c>
      <c r="I578" t="s">
        <v>30</v>
      </c>
      <c r="J578" t="s">
        <v>64</v>
      </c>
      <c r="K578" t="s">
        <v>27</v>
      </c>
      <c r="L578" t="s">
        <v>65</v>
      </c>
      <c r="M578" t="s">
        <v>3618</v>
      </c>
      <c r="N578" t="s">
        <v>646</v>
      </c>
      <c r="O578" t="s">
        <v>83</v>
      </c>
      <c r="P578" t="s">
        <v>3619</v>
      </c>
      <c r="Q578" t="s">
        <v>105</v>
      </c>
      <c r="R578" s="23" t="s">
        <v>464</v>
      </c>
      <c r="S578" s="23">
        <v>46189</v>
      </c>
      <c r="T578">
        <v>10.24</v>
      </c>
      <c r="U578">
        <v>12046</v>
      </c>
      <c r="V578">
        <v>779.94</v>
      </c>
      <c r="W578">
        <v>12825.94</v>
      </c>
    </row>
    <row r="579" spans="1:23" hidden="1" x14ac:dyDescent="0.25">
      <c r="A579">
        <v>15741</v>
      </c>
      <c r="B579">
        <v>456745498</v>
      </c>
      <c r="C579" t="s">
        <v>3620</v>
      </c>
      <c r="D579" s="8" t="s">
        <v>3621</v>
      </c>
      <c r="E579" t="s">
        <v>644</v>
      </c>
      <c r="G579" t="s">
        <v>62</v>
      </c>
      <c r="H579" t="s">
        <v>63</v>
      </c>
      <c r="I579" t="s">
        <v>30</v>
      </c>
      <c r="J579" t="s">
        <v>64</v>
      </c>
      <c r="K579" t="s">
        <v>27</v>
      </c>
      <c r="L579" t="s">
        <v>65</v>
      </c>
      <c r="M579" t="s">
        <v>3622</v>
      </c>
      <c r="N579" t="s">
        <v>646</v>
      </c>
      <c r="O579" t="s">
        <v>83</v>
      </c>
      <c r="P579" t="s">
        <v>3623</v>
      </c>
      <c r="Q579" t="s">
        <v>87</v>
      </c>
      <c r="R579" s="23" t="s">
        <v>3624</v>
      </c>
      <c r="S579" s="23">
        <v>46188</v>
      </c>
      <c r="T579">
        <v>6.27</v>
      </c>
      <c r="U579">
        <v>5465</v>
      </c>
      <c r="V579">
        <v>0</v>
      </c>
      <c r="W579">
        <v>5465</v>
      </c>
    </row>
    <row r="580" spans="1:23" hidden="1" x14ac:dyDescent="0.25">
      <c r="A580">
        <v>15741</v>
      </c>
      <c r="B580">
        <v>456718404</v>
      </c>
      <c r="C580" t="s">
        <v>3625</v>
      </c>
      <c r="D580" s="8" t="s">
        <v>3626</v>
      </c>
      <c r="E580" t="s">
        <v>644</v>
      </c>
      <c r="G580" t="s">
        <v>62</v>
      </c>
      <c r="H580" t="s">
        <v>63</v>
      </c>
      <c r="I580" t="s">
        <v>30</v>
      </c>
      <c r="J580" t="s">
        <v>64</v>
      </c>
      <c r="K580" t="s">
        <v>27</v>
      </c>
      <c r="L580" t="s">
        <v>65</v>
      </c>
      <c r="M580" t="s">
        <v>3627</v>
      </c>
      <c r="N580" t="s">
        <v>646</v>
      </c>
      <c r="O580" t="s">
        <v>83</v>
      </c>
      <c r="P580" t="s">
        <v>3628</v>
      </c>
      <c r="Q580" t="s">
        <v>50</v>
      </c>
      <c r="R580" s="23" t="s">
        <v>468</v>
      </c>
      <c r="S580" s="23">
        <v>46188</v>
      </c>
      <c r="T580">
        <v>10.69</v>
      </c>
      <c r="U580">
        <v>5943</v>
      </c>
      <c r="V580">
        <v>779.94</v>
      </c>
      <c r="W580">
        <v>6722.9400000000005</v>
      </c>
    </row>
    <row r="581" spans="1:23" hidden="1" x14ac:dyDescent="0.25">
      <c r="A581">
        <v>15741</v>
      </c>
      <c r="B581">
        <v>456718402</v>
      </c>
      <c r="C581" t="s">
        <v>3629</v>
      </c>
      <c r="D581" s="8" t="s">
        <v>3630</v>
      </c>
      <c r="E581" t="s">
        <v>644</v>
      </c>
      <c r="G581" t="s">
        <v>62</v>
      </c>
      <c r="H581" t="s">
        <v>63</v>
      </c>
      <c r="I581" t="s">
        <v>30</v>
      </c>
      <c r="J581" t="s">
        <v>64</v>
      </c>
      <c r="K581" t="s">
        <v>27</v>
      </c>
      <c r="L581" t="s">
        <v>65</v>
      </c>
      <c r="M581" t="s">
        <v>3631</v>
      </c>
      <c r="N581" t="s">
        <v>646</v>
      </c>
      <c r="O581" t="s">
        <v>83</v>
      </c>
      <c r="P581" t="s">
        <v>3632</v>
      </c>
      <c r="Q581" t="s">
        <v>46</v>
      </c>
      <c r="R581" s="23" t="s">
        <v>468</v>
      </c>
      <c r="S581" s="23">
        <v>46188</v>
      </c>
      <c r="T581">
        <v>11.23</v>
      </c>
      <c r="U581">
        <v>5943</v>
      </c>
      <c r="V581">
        <v>599.94000000000005</v>
      </c>
      <c r="W581">
        <v>6542.9400000000005</v>
      </c>
    </row>
    <row r="582" spans="1:23" hidden="1" x14ac:dyDescent="0.25">
      <c r="A582">
        <v>15741</v>
      </c>
      <c r="B582">
        <v>456718398</v>
      </c>
      <c r="C582" t="s">
        <v>3633</v>
      </c>
      <c r="D582" s="8" t="s">
        <v>3634</v>
      </c>
      <c r="E582" t="s">
        <v>644</v>
      </c>
      <c r="G582" t="s">
        <v>62</v>
      </c>
      <c r="H582" t="s">
        <v>63</v>
      </c>
      <c r="I582" t="s">
        <v>30</v>
      </c>
      <c r="J582" t="s">
        <v>64</v>
      </c>
      <c r="K582" t="s">
        <v>27</v>
      </c>
      <c r="L582" t="s">
        <v>65</v>
      </c>
      <c r="M582" t="s">
        <v>3635</v>
      </c>
      <c r="N582" t="s">
        <v>646</v>
      </c>
      <c r="O582" t="s">
        <v>83</v>
      </c>
      <c r="P582" t="s">
        <v>3636</v>
      </c>
      <c r="Q582" t="s">
        <v>50</v>
      </c>
      <c r="R582" s="23" t="s">
        <v>468</v>
      </c>
      <c r="S582" s="23">
        <v>46188</v>
      </c>
      <c r="T582">
        <v>14.22</v>
      </c>
      <c r="U582">
        <v>5943</v>
      </c>
      <c r="V582">
        <v>899.94</v>
      </c>
      <c r="W582">
        <v>6842.9400000000005</v>
      </c>
    </row>
    <row r="583" spans="1:23" hidden="1" x14ac:dyDescent="0.25">
      <c r="A583">
        <v>15741</v>
      </c>
      <c r="B583">
        <v>456718397</v>
      </c>
      <c r="C583" t="s">
        <v>3637</v>
      </c>
      <c r="D583" s="8" t="s">
        <v>3638</v>
      </c>
      <c r="E583" t="s">
        <v>644</v>
      </c>
      <c r="G583" t="s">
        <v>62</v>
      </c>
      <c r="H583" t="s">
        <v>63</v>
      </c>
      <c r="I583" t="s">
        <v>30</v>
      </c>
      <c r="J583" t="s">
        <v>64</v>
      </c>
      <c r="K583" t="s">
        <v>27</v>
      </c>
      <c r="L583" t="s">
        <v>65</v>
      </c>
      <c r="M583" t="s">
        <v>476</v>
      </c>
      <c r="N583" t="s">
        <v>646</v>
      </c>
      <c r="O583" t="s">
        <v>83</v>
      </c>
      <c r="P583" t="s">
        <v>3639</v>
      </c>
      <c r="Q583" t="s">
        <v>45</v>
      </c>
      <c r="R583" s="23" t="s">
        <v>468</v>
      </c>
      <c r="S583" s="23">
        <v>46188</v>
      </c>
      <c r="T583">
        <v>10.7</v>
      </c>
      <c r="U583">
        <v>5943</v>
      </c>
      <c r="V583">
        <v>839.94</v>
      </c>
      <c r="W583">
        <v>6782.9400000000005</v>
      </c>
    </row>
    <row r="584" spans="1:23" hidden="1" x14ac:dyDescent="0.25">
      <c r="A584">
        <v>15741</v>
      </c>
      <c r="B584">
        <v>456718395</v>
      </c>
      <c r="C584" t="s">
        <v>3640</v>
      </c>
      <c r="D584" s="8" t="s">
        <v>3641</v>
      </c>
      <c r="E584" t="s">
        <v>644</v>
      </c>
      <c r="G584" t="s">
        <v>62</v>
      </c>
      <c r="H584" t="s">
        <v>63</v>
      </c>
      <c r="I584" t="s">
        <v>30</v>
      </c>
      <c r="J584" t="s">
        <v>64</v>
      </c>
      <c r="K584" t="s">
        <v>27</v>
      </c>
      <c r="L584" t="s">
        <v>65</v>
      </c>
      <c r="M584" t="s">
        <v>3642</v>
      </c>
      <c r="N584" t="s">
        <v>646</v>
      </c>
      <c r="O584" t="s">
        <v>83</v>
      </c>
      <c r="P584" t="s">
        <v>3643</v>
      </c>
      <c r="Q584" t="s">
        <v>128</v>
      </c>
      <c r="R584" s="23" t="s">
        <v>468</v>
      </c>
      <c r="S584" s="23">
        <v>46188</v>
      </c>
      <c r="T584">
        <v>20.69</v>
      </c>
      <c r="U584">
        <v>16297</v>
      </c>
      <c r="V584">
        <v>1739.94</v>
      </c>
      <c r="W584">
        <v>18036.939999999999</v>
      </c>
    </row>
    <row r="585" spans="1:23" hidden="1" x14ac:dyDescent="0.25">
      <c r="A585">
        <v>15741</v>
      </c>
      <c r="B585">
        <v>456718401</v>
      </c>
      <c r="C585" t="s">
        <v>3644</v>
      </c>
      <c r="D585" s="8" t="s">
        <v>3645</v>
      </c>
      <c r="E585" t="s">
        <v>644</v>
      </c>
      <c r="G585" t="s">
        <v>62</v>
      </c>
      <c r="H585" t="s">
        <v>63</v>
      </c>
      <c r="I585" t="s">
        <v>30</v>
      </c>
      <c r="J585" t="s">
        <v>64</v>
      </c>
      <c r="K585" t="s">
        <v>27</v>
      </c>
      <c r="L585" t="s">
        <v>65</v>
      </c>
      <c r="M585" t="s">
        <v>3646</v>
      </c>
      <c r="N585" t="s">
        <v>646</v>
      </c>
      <c r="O585" t="s">
        <v>83</v>
      </c>
      <c r="P585" t="s">
        <v>3647</v>
      </c>
      <c r="Q585" t="s">
        <v>388</v>
      </c>
      <c r="R585" s="23" t="s">
        <v>468</v>
      </c>
      <c r="S585" s="23">
        <v>46188</v>
      </c>
      <c r="T585">
        <v>10.66</v>
      </c>
      <c r="U585">
        <v>5943</v>
      </c>
      <c r="V585">
        <v>839.94</v>
      </c>
      <c r="W585">
        <v>6782.9400000000005</v>
      </c>
    </row>
    <row r="586" spans="1:23" hidden="1" x14ac:dyDescent="0.25">
      <c r="A586">
        <v>15741</v>
      </c>
      <c r="B586">
        <v>456718393</v>
      </c>
      <c r="C586" t="s">
        <v>3648</v>
      </c>
      <c r="D586" s="8" t="s">
        <v>3649</v>
      </c>
      <c r="E586" t="s">
        <v>644</v>
      </c>
      <c r="G586" t="s">
        <v>62</v>
      </c>
      <c r="H586" t="s">
        <v>63</v>
      </c>
      <c r="I586" t="s">
        <v>30</v>
      </c>
      <c r="J586" t="s">
        <v>64</v>
      </c>
      <c r="K586" t="s">
        <v>27</v>
      </c>
      <c r="L586" t="s">
        <v>215</v>
      </c>
      <c r="M586" t="s">
        <v>3650</v>
      </c>
      <c r="N586" t="s">
        <v>646</v>
      </c>
      <c r="O586" t="s">
        <v>83</v>
      </c>
      <c r="P586" t="s">
        <v>3651</v>
      </c>
      <c r="Q586" t="s">
        <v>49</v>
      </c>
      <c r="R586" s="23" t="s">
        <v>468</v>
      </c>
      <c r="S586" s="23">
        <v>46188</v>
      </c>
      <c r="T586">
        <v>70.430000000000007</v>
      </c>
      <c r="U586">
        <v>30586</v>
      </c>
      <c r="V586">
        <v>2639.7</v>
      </c>
      <c r="W586">
        <v>33225.699999999997</v>
      </c>
    </row>
    <row r="587" spans="1:23" hidden="1" x14ac:dyDescent="0.25">
      <c r="A587">
        <v>15741</v>
      </c>
      <c r="B587">
        <v>456718390</v>
      </c>
      <c r="C587" t="s">
        <v>3652</v>
      </c>
      <c r="D587" s="8" t="s">
        <v>3653</v>
      </c>
      <c r="E587" t="s">
        <v>644</v>
      </c>
      <c r="G587" t="s">
        <v>62</v>
      </c>
      <c r="H587" t="s">
        <v>63</v>
      </c>
      <c r="I587" t="s">
        <v>30</v>
      </c>
      <c r="J587" t="s">
        <v>64</v>
      </c>
      <c r="K587" t="s">
        <v>27</v>
      </c>
      <c r="L587" t="s">
        <v>215</v>
      </c>
      <c r="M587" t="s">
        <v>3654</v>
      </c>
      <c r="N587" t="s">
        <v>646</v>
      </c>
      <c r="O587" t="s">
        <v>83</v>
      </c>
      <c r="P587" t="s">
        <v>3655</v>
      </c>
      <c r="Q587" t="s">
        <v>43</v>
      </c>
      <c r="R587" s="23" t="s">
        <v>468</v>
      </c>
      <c r="S587" s="23">
        <v>46188</v>
      </c>
      <c r="T587">
        <v>28.93</v>
      </c>
      <c r="U587">
        <v>12082</v>
      </c>
      <c r="V587">
        <v>1799.88</v>
      </c>
      <c r="W587">
        <v>13881.880000000001</v>
      </c>
    </row>
    <row r="588" spans="1:23" hidden="1" x14ac:dyDescent="0.25">
      <c r="A588">
        <v>15741</v>
      </c>
      <c r="B588">
        <v>456718391</v>
      </c>
      <c r="C588" t="s">
        <v>3656</v>
      </c>
      <c r="D588" s="8" t="s">
        <v>3657</v>
      </c>
      <c r="E588" t="s">
        <v>644</v>
      </c>
      <c r="G588" t="s">
        <v>62</v>
      </c>
      <c r="H588" t="s">
        <v>63</v>
      </c>
      <c r="I588" t="s">
        <v>30</v>
      </c>
      <c r="J588" t="s">
        <v>64</v>
      </c>
      <c r="K588" t="s">
        <v>27</v>
      </c>
      <c r="L588" t="s">
        <v>65</v>
      </c>
      <c r="M588" t="s">
        <v>3658</v>
      </c>
      <c r="N588" t="s">
        <v>646</v>
      </c>
      <c r="O588" t="s">
        <v>83</v>
      </c>
      <c r="P588" t="s">
        <v>3659</v>
      </c>
      <c r="Q588" t="s">
        <v>51</v>
      </c>
      <c r="R588" s="23" t="s">
        <v>468</v>
      </c>
      <c r="S588" s="23">
        <v>46188</v>
      </c>
      <c r="T588">
        <v>6.21</v>
      </c>
      <c r="U588">
        <v>5465</v>
      </c>
      <c r="V588">
        <v>0</v>
      </c>
      <c r="W588">
        <v>5465</v>
      </c>
    </row>
    <row r="589" spans="1:23" hidden="1" x14ac:dyDescent="0.25">
      <c r="A589">
        <v>15741</v>
      </c>
      <c r="B589">
        <v>456718389</v>
      </c>
      <c r="C589" t="s">
        <v>3660</v>
      </c>
      <c r="D589" s="8" t="s">
        <v>3661</v>
      </c>
      <c r="E589" t="s">
        <v>644</v>
      </c>
      <c r="G589" t="s">
        <v>62</v>
      </c>
      <c r="H589" t="s">
        <v>63</v>
      </c>
      <c r="I589" t="s">
        <v>30</v>
      </c>
      <c r="J589" t="s">
        <v>64</v>
      </c>
      <c r="K589" t="s">
        <v>27</v>
      </c>
      <c r="L589" t="s">
        <v>65</v>
      </c>
      <c r="M589" t="s">
        <v>3662</v>
      </c>
      <c r="N589" t="s">
        <v>646</v>
      </c>
      <c r="O589" t="s">
        <v>83</v>
      </c>
      <c r="P589" t="s">
        <v>3663</v>
      </c>
      <c r="Q589" t="s">
        <v>107</v>
      </c>
      <c r="R589" s="23" t="s">
        <v>3664</v>
      </c>
      <c r="S589" s="23">
        <v>46188</v>
      </c>
      <c r="T589">
        <v>10.52</v>
      </c>
      <c r="U589">
        <v>11161</v>
      </c>
      <c r="V589">
        <v>839.94</v>
      </c>
      <c r="W589">
        <v>12000.94</v>
      </c>
    </row>
    <row r="590" spans="1:23" hidden="1" x14ac:dyDescent="0.25">
      <c r="A590">
        <v>15741</v>
      </c>
      <c r="B590">
        <v>456718386</v>
      </c>
      <c r="C590" t="s">
        <v>3665</v>
      </c>
      <c r="D590" s="8" t="s">
        <v>3666</v>
      </c>
      <c r="E590" t="s">
        <v>644</v>
      </c>
      <c r="G590" t="s">
        <v>62</v>
      </c>
      <c r="H590" t="s">
        <v>63</v>
      </c>
      <c r="I590" t="s">
        <v>30</v>
      </c>
      <c r="J590" t="s">
        <v>64</v>
      </c>
      <c r="K590" t="s">
        <v>27</v>
      </c>
      <c r="L590" t="s">
        <v>65</v>
      </c>
      <c r="M590" t="s">
        <v>3667</v>
      </c>
      <c r="N590" t="s">
        <v>646</v>
      </c>
      <c r="O590" t="s">
        <v>83</v>
      </c>
      <c r="P590" t="s">
        <v>3668</v>
      </c>
      <c r="Q590" t="s">
        <v>118</v>
      </c>
      <c r="R590" s="23" t="s">
        <v>3664</v>
      </c>
      <c r="S590" s="23">
        <v>46188</v>
      </c>
      <c r="T590">
        <v>20.86</v>
      </c>
      <c r="U590">
        <v>23996</v>
      </c>
      <c r="V590">
        <v>1739.94</v>
      </c>
      <c r="W590">
        <v>25735.94</v>
      </c>
    </row>
    <row r="591" spans="1:23" hidden="1" x14ac:dyDescent="0.25">
      <c r="A591">
        <v>15741</v>
      </c>
      <c r="B591">
        <v>456718384</v>
      </c>
      <c r="C591" t="s">
        <v>3669</v>
      </c>
      <c r="D591" s="8" t="s">
        <v>3670</v>
      </c>
      <c r="E591" t="s">
        <v>644</v>
      </c>
      <c r="G591" t="s">
        <v>62</v>
      </c>
      <c r="H591" t="s">
        <v>63</v>
      </c>
      <c r="I591" t="s">
        <v>30</v>
      </c>
      <c r="J591" t="s">
        <v>64</v>
      </c>
      <c r="K591" t="s">
        <v>27</v>
      </c>
      <c r="L591" t="s">
        <v>65</v>
      </c>
      <c r="M591" t="s">
        <v>3671</v>
      </c>
      <c r="N591" t="s">
        <v>646</v>
      </c>
      <c r="O591" t="s">
        <v>83</v>
      </c>
      <c r="P591" t="s">
        <v>3672</v>
      </c>
      <c r="Q591" t="s">
        <v>57</v>
      </c>
      <c r="R591" s="23" t="s">
        <v>3664</v>
      </c>
      <c r="S591" s="23">
        <v>46188</v>
      </c>
      <c r="T591">
        <v>14.79</v>
      </c>
      <c r="U591">
        <v>10408</v>
      </c>
      <c r="V591">
        <v>2099.94</v>
      </c>
      <c r="W591">
        <v>12507.94</v>
      </c>
    </row>
    <row r="592" spans="1:23" hidden="1" x14ac:dyDescent="0.25">
      <c r="A592">
        <v>15741</v>
      </c>
      <c r="B592">
        <v>456718379</v>
      </c>
      <c r="C592" t="s">
        <v>3673</v>
      </c>
      <c r="D592" s="8" t="s">
        <v>3674</v>
      </c>
      <c r="E592" t="s">
        <v>644</v>
      </c>
      <c r="G592" t="s">
        <v>62</v>
      </c>
      <c r="H592" t="s">
        <v>63</v>
      </c>
      <c r="I592" t="s">
        <v>30</v>
      </c>
      <c r="J592" t="s">
        <v>64</v>
      </c>
      <c r="K592" t="s">
        <v>27</v>
      </c>
      <c r="L592" t="s">
        <v>215</v>
      </c>
      <c r="M592" t="s">
        <v>3675</v>
      </c>
      <c r="N592" t="s">
        <v>646</v>
      </c>
      <c r="O592" t="s">
        <v>83</v>
      </c>
      <c r="P592" t="s">
        <v>3676</v>
      </c>
      <c r="Q592" t="s">
        <v>46</v>
      </c>
      <c r="R592" s="23" t="s">
        <v>3664</v>
      </c>
      <c r="S592" s="23">
        <v>46188</v>
      </c>
      <c r="T592">
        <v>54.67</v>
      </c>
      <c r="U592">
        <v>24045</v>
      </c>
      <c r="V592">
        <v>2279.7600000000002</v>
      </c>
      <c r="W592">
        <v>26324.760000000002</v>
      </c>
    </row>
    <row r="593" spans="1:23" hidden="1" x14ac:dyDescent="0.25">
      <c r="A593">
        <v>15741</v>
      </c>
      <c r="B593">
        <v>456718381</v>
      </c>
      <c r="C593" t="s">
        <v>3677</v>
      </c>
      <c r="D593" s="8" t="s">
        <v>3678</v>
      </c>
      <c r="E593" t="s">
        <v>644</v>
      </c>
      <c r="G593" t="s">
        <v>62</v>
      </c>
      <c r="H593" t="s">
        <v>63</v>
      </c>
      <c r="I593" t="s">
        <v>30</v>
      </c>
      <c r="J593" t="s">
        <v>64</v>
      </c>
      <c r="K593" t="s">
        <v>27</v>
      </c>
      <c r="L593" t="s">
        <v>65</v>
      </c>
      <c r="M593" t="s">
        <v>3679</v>
      </c>
      <c r="N593" t="s">
        <v>646</v>
      </c>
      <c r="O593" t="s">
        <v>83</v>
      </c>
      <c r="P593" t="s">
        <v>3680</v>
      </c>
      <c r="Q593" t="s">
        <v>68</v>
      </c>
      <c r="R593" s="23" t="s">
        <v>3664</v>
      </c>
      <c r="S593" s="23">
        <v>46188</v>
      </c>
      <c r="T593">
        <v>6.19</v>
      </c>
      <c r="U593">
        <v>5465</v>
      </c>
      <c r="V593">
        <v>0</v>
      </c>
      <c r="W593">
        <v>5465</v>
      </c>
    </row>
    <row r="594" spans="1:23" hidden="1" x14ac:dyDescent="0.25">
      <c r="A594">
        <v>15741</v>
      </c>
      <c r="B594">
        <v>456649455</v>
      </c>
      <c r="C594" t="s">
        <v>3681</v>
      </c>
      <c r="D594" s="8" t="s">
        <v>3682</v>
      </c>
      <c r="E594" t="s">
        <v>644</v>
      </c>
      <c r="G594" t="s">
        <v>62</v>
      </c>
      <c r="H594" t="s">
        <v>63</v>
      </c>
      <c r="I594" t="s">
        <v>30</v>
      </c>
      <c r="J594" t="s">
        <v>64</v>
      </c>
      <c r="K594" t="s">
        <v>27</v>
      </c>
      <c r="L594" t="s">
        <v>65</v>
      </c>
      <c r="M594" t="s">
        <v>3683</v>
      </c>
      <c r="N594" t="s">
        <v>646</v>
      </c>
      <c r="O594" t="s">
        <v>83</v>
      </c>
      <c r="P594" t="s">
        <v>3684</v>
      </c>
      <c r="Q594" t="s">
        <v>50</v>
      </c>
      <c r="R594" s="23" t="s">
        <v>3685</v>
      </c>
      <c r="S594" s="23">
        <v>46185</v>
      </c>
      <c r="T594">
        <v>0.32</v>
      </c>
      <c r="U594">
        <v>3927</v>
      </c>
      <c r="V594">
        <v>0</v>
      </c>
      <c r="W594">
        <v>3927</v>
      </c>
    </row>
    <row r="595" spans="1:23" hidden="1" x14ac:dyDescent="0.25">
      <c r="A595">
        <v>15741</v>
      </c>
      <c r="B595">
        <v>456655421</v>
      </c>
      <c r="C595" t="s">
        <v>3686</v>
      </c>
      <c r="D595" s="8" t="s">
        <v>3687</v>
      </c>
      <c r="E595" t="s">
        <v>644</v>
      </c>
      <c r="G595" t="s">
        <v>62</v>
      </c>
      <c r="H595" t="s">
        <v>63</v>
      </c>
      <c r="I595" t="s">
        <v>30</v>
      </c>
      <c r="J595" t="s">
        <v>64</v>
      </c>
      <c r="K595" t="s">
        <v>27</v>
      </c>
      <c r="L595" t="s">
        <v>65</v>
      </c>
      <c r="M595" t="s">
        <v>3688</v>
      </c>
      <c r="N595" t="s">
        <v>646</v>
      </c>
      <c r="O595" t="s">
        <v>83</v>
      </c>
      <c r="P595" t="s">
        <v>3689</v>
      </c>
      <c r="Q595" t="s">
        <v>105</v>
      </c>
      <c r="R595" s="23" t="s">
        <v>539</v>
      </c>
      <c r="S595" s="23">
        <v>46185</v>
      </c>
      <c r="T595">
        <v>13.76</v>
      </c>
      <c r="U595">
        <v>12046</v>
      </c>
      <c r="V595">
        <v>0</v>
      </c>
      <c r="W595">
        <v>12046</v>
      </c>
    </row>
    <row r="596" spans="1:23" hidden="1" x14ac:dyDescent="0.25">
      <c r="A596">
        <v>15741</v>
      </c>
      <c r="B596">
        <v>456652427</v>
      </c>
      <c r="C596" t="s">
        <v>3690</v>
      </c>
      <c r="D596" s="8" t="s">
        <v>3691</v>
      </c>
      <c r="E596" t="s">
        <v>644</v>
      </c>
      <c r="G596" t="s">
        <v>62</v>
      </c>
      <c r="H596" t="s">
        <v>63</v>
      </c>
      <c r="I596" t="s">
        <v>30</v>
      </c>
      <c r="J596" t="s">
        <v>64</v>
      </c>
      <c r="K596" t="s">
        <v>27</v>
      </c>
      <c r="L596" t="s">
        <v>65</v>
      </c>
      <c r="M596" t="s">
        <v>3692</v>
      </c>
      <c r="N596" t="s">
        <v>646</v>
      </c>
      <c r="O596" t="s">
        <v>83</v>
      </c>
      <c r="P596" t="s">
        <v>3693</v>
      </c>
      <c r="Q596" t="s">
        <v>50</v>
      </c>
      <c r="R596" s="23" t="s">
        <v>391</v>
      </c>
      <c r="S596" s="23">
        <v>46185</v>
      </c>
      <c r="T596">
        <v>20.309999999999999</v>
      </c>
      <c r="U596">
        <v>8303</v>
      </c>
      <c r="V596">
        <v>1769.88</v>
      </c>
      <c r="W596">
        <v>10072.880000000001</v>
      </c>
    </row>
    <row r="597" spans="1:23" hidden="1" x14ac:dyDescent="0.25">
      <c r="A597">
        <v>15741</v>
      </c>
      <c r="B597">
        <v>456643789</v>
      </c>
      <c r="C597" t="s">
        <v>3694</v>
      </c>
      <c r="D597" s="8" t="s">
        <v>3695</v>
      </c>
      <c r="E597" t="s">
        <v>644</v>
      </c>
      <c r="G597" t="s">
        <v>62</v>
      </c>
      <c r="H597" t="s">
        <v>63</v>
      </c>
      <c r="I597" t="s">
        <v>30</v>
      </c>
      <c r="J597" t="s">
        <v>64</v>
      </c>
      <c r="K597" t="s">
        <v>27</v>
      </c>
      <c r="L597" t="s">
        <v>65</v>
      </c>
      <c r="M597" t="s">
        <v>3696</v>
      </c>
      <c r="N597" t="s">
        <v>646</v>
      </c>
      <c r="O597" t="s">
        <v>83</v>
      </c>
      <c r="P597" t="s">
        <v>3697</v>
      </c>
      <c r="Q597" t="s">
        <v>43</v>
      </c>
      <c r="R597" s="23" t="s">
        <v>584</v>
      </c>
      <c r="S597" s="23">
        <v>46185</v>
      </c>
      <c r="T597">
        <v>20.27</v>
      </c>
      <c r="U597">
        <v>8303</v>
      </c>
      <c r="V597">
        <v>1739.94</v>
      </c>
      <c r="W597">
        <v>10042.94</v>
      </c>
    </row>
    <row r="598" spans="1:23" hidden="1" x14ac:dyDescent="0.25">
      <c r="A598">
        <v>15741</v>
      </c>
      <c r="B598">
        <v>456643707</v>
      </c>
      <c r="C598" t="s">
        <v>3698</v>
      </c>
      <c r="D598" s="8" t="s">
        <v>3699</v>
      </c>
      <c r="E598" t="s">
        <v>644</v>
      </c>
      <c r="G598" t="s">
        <v>62</v>
      </c>
      <c r="H598" t="s">
        <v>63</v>
      </c>
      <c r="I598" t="s">
        <v>30</v>
      </c>
      <c r="J598" t="s">
        <v>64</v>
      </c>
      <c r="K598" t="s">
        <v>27</v>
      </c>
      <c r="L598" t="s">
        <v>65</v>
      </c>
      <c r="M598" t="s">
        <v>3700</v>
      </c>
      <c r="N598" t="s">
        <v>646</v>
      </c>
      <c r="O598" t="s">
        <v>83</v>
      </c>
      <c r="P598" t="s">
        <v>3701</v>
      </c>
      <c r="Q598" t="s">
        <v>43</v>
      </c>
      <c r="R598" s="23" t="s">
        <v>396</v>
      </c>
      <c r="S598" s="23">
        <v>46185</v>
      </c>
      <c r="T598">
        <v>10.06</v>
      </c>
      <c r="U598">
        <v>5943</v>
      </c>
      <c r="V598">
        <v>779.94</v>
      </c>
      <c r="W598">
        <v>6722.9400000000005</v>
      </c>
    </row>
    <row r="599" spans="1:23" hidden="1" x14ac:dyDescent="0.25">
      <c r="A599">
        <v>15741</v>
      </c>
      <c r="B599">
        <v>456643618</v>
      </c>
      <c r="C599" t="s">
        <v>3702</v>
      </c>
      <c r="D599" s="8" t="s">
        <v>3703</v>
      </c>
      <c r="E599" t="s">
        <v>644</v>
      </c>
      <c r="G599" t="s">
        <v>62</v>
      </c>
      <c r="H599" t="s">
        <v>63</v>
      </c>
      <c r="I599" t="s">
        <v>30</v>
      </c>
      <c r="J599" t="s">
        <v>64</v>
      </c>
      <c r="K599" t="s">
        <v>27</v>
      </c>
      <c r="L599" t="s">
        <v>65</v>
      </c>
      <c r="M599" t="s">
        <v>3704</v>
      </c>
      <c r="N599" t="s">
        <v>646</v>
      </c>
      <c r="O599" t="s">
        <v>83</v>
      </c>
      <c r="P599" t="s">
        <v>3705</v>
      </c>
      <c r="Q599" t="s">
        <v>105</v>
      </c>
      <c r="R599" s="23" t="s">
        <v>380</v>
      </c>
      <c r="S599" s="23">
        <v>46185</v>
      </c>
      <c r="T599">
        <v>10.17</v>
      </c>
      <c r="U599">
        <v>12046</v>
      </c>
      <c r="V599">
        <v>839.94</v>
      </c>
      <c r="W599">
        <v>12885.94</v>
      </c>
    </row>
    <row r="600" spans="1:23" hidden="1" x14ac:dyDescent="0.25">
      <c r="A600">
        <v>15741</v>
      </c>
      <c r="B600">
        <v>456643589</v>
      </c>
      <c r="C600" t="s">
        <v>3706</v>
      </c>
      <c r="D600" s="8" t="s">
        <v>3707</v>
      </c>
      <c r="E600" t="s">
        <v>644</v>
      </c>
      <c r="G600" t="s">
        <v>62</v>
      </c>
      <c r="H600" t="s">
        <v>63</v>
      </c>
      <c r="I600" t="s">
        <v>30</v>
      </c>
      <c r="J600" t="s">
        <v>64</v>
      </c>
      <c r="K600" t="s">
        <v>27</v>
      </c>
      <c r="L600" t="s">
        <v>65</v>
      </c>
      <c r="M600" t="s">
        <v>3708</v>
      </c>
      <c r="N600" t="s">
        <v>646</v>
      </c>
      <c r="O600" t="s">
        <v>83</v>
      </c>
      <c r="P600" t="s">
        <v>3709</v>
      </c>
      <c r="Q600" t="s">
        <v>46</v>
      </c>
      <c r="R600" s="23" t="s">
        <v>3710</v>
      </c>
      <c r="S600" s="23">
        <v>46185</v>
      </c>
      <c r="T600">
        <v>20.420000000000002</v>
      </c>
      <c r="U600">
        <v>8303</v>
      </c>
      <c r="V600">
        <v>1739.94</v>
      </c>
      <c r="W600">
        <v>10042.94</v>
      </c>
    </row>
    <row r="601" spans="1:23" hidden="1" x14ac:dyDescent="0.25">
      <c r="A601">
        <v>15741</v>
      </c>
      <c r="B601">
        <v>456643448</v>
      </c>
      <c r="C601" t="s">
        <v>3711</v>
      </c>
      <c r="D601" s="8" t="s">
        <v>3712</v>
      </c>
      <c r="E601" t="s">
        <v>644</v>
      </c>
      <c r="G601" t="s">
        <v>62</v>
      </c>
      <c r="H601" t="s">
        <v>63</v>
      </c>
      <c r="I601" t="s">
        <v>30</v>
      </c>
      <c r="J601" t="s">
        <v>64</v>
      </c>
      <c r="K601" t="s">
        <v>27</v>
      </c>
      <c r="L601" t="s">
        <v>65</v>
      </c>
      <c r="M601" t="s">
        <v>3713</v>
      </c>
      <c r="N601" t="s">
        <v>646</v>
      </c>
      <c r="O601" t="s">
        <v>83</v>
      </c>
      <c r="P601" t="s">
        <v>3714</v>
      </c>
      <c r="Q601" t="s">
        <v>44</v>
      </c>
      <c r="R601" s="23" t="s">
        <v>3715</v>
      </c>
      <c r="S601" s="23">
        <v>46185</v>
      </c>
      <c r="T601">
        <v>20.23</v>
      </c>
      <c r="U601">
        <v>8303</v>
      </c>
      <c r="V601">
        <v>1739.94</v>
      </c>
      <c r="W601">
        <v>10042.94</v>
      </c>
    </row>
    <row r="602" spans="1:23" hidden="1" x14ac:dyDescent="0.25">
      <c r="A602">
        <v>15741</v>
      </c>
      <c r="B602">
        <v>456643124</v>
      </c>
      <c r="C602" t="s">
        <v>3716</v>
      </c>
      <c r="D602" s="8" t="s">
        <v>3717</v>
      </c>
      <c r="E602" t="s">
        <v>644</v>
      </c>
      <c r="G602" t="s">
        <v>62</v>
      </c>
      <c r="H602" t="s">
        <v>63</v>
      </c>
      <c r="I602" t="s">
        <v>30</v>
      </c>
      <c r="J602" t="s">
        <v>64</v>
      </c>
      <c r="K602" t="s">
        <v>27</v>
      </c>
      <c r="L602" t="s">
        <v>65</v>
      </c>
      <c r="M602" t="s">
        <v>3718</v>
      </c>
      <c r="N602" t="s">
        <v>646</v>
      </c>
      <c r="O602" t="s">
        <v>83</v>
      </c>
      <c r="P602" t="s">
        <v>3719</v>
      </c>
      <c r="Q602" t="s">
        <v>102</v>
      </c>
      <c r="R602" s="23" t="s">
        <v>3720</v>
      </c>
      <c r="S602" s="23">
        <v>46185</v>
      </c>
      <c r="T602">
        <v>13.81</v>
      </c>
      <c r="U602">
        <v>5943</v>
      </c>
      <c r="V602">
        <v>899.94</v>
      </c>
      <c r="W602">
        <v>6842.9400000000005</v>
      </c>
    </row>
    <row r="603" spans="1:23" hidden="1" x14ac:dyDescent="0.25">
      <c r="A603">
        <v>15741</v>
      </c>
      <c r="B603">
        <v>456643034</v>
      </c>
      <c r="C603" t="s">
        <v>3721</v>
      </c>
      <c r="D603" s="8" t="s">
        <v>3722</v>
      </c>
      <c r="E603" t="s">
        <v>644</v>
      </c>
      <c r="G603" t="s">
        <v>62</v>
      </c>
      <c r="H603" t="s">
        <v>63</v>
      </c>
      <c r="I603" t="s">
        <v>30</v>
      </c>
      <c r="J603" t="s">
        <v>64</v>
      </c>
      <c r="K603" t="s">
        <v>37</v>
      </c>
      <c r="L603" t="s">
        <v>215</v>
      </c>
      <c r="M603" t="s">
        <v>3723</v>
      </c>
      <c r="N603" t="s">
        <v>646</v>
      </c>
      <c r="O603" t="s">
        <v>83</v>
      </c>
      <c r="P603" t="s">
        <v>3724</v>
      </c>
      <c r="Q603" t="s">
        <v>233</v>
      </c>
      <c r="R603" s="23" t="s">
        <v>3725</v>
      </c>
      <c r="S603" s="23">
        <v>46185</v>
      </c>
      <c r="T603">
        <v>10.130000000000001</v>
      </c>
      <c r="U603">
        <v>19214</v>
      </c>
      <c r="V603">
        <v>839.94</v>
      </c>
      <c r="W603">
        <v>20053.939999999999</v>
      </c>
    </row>
    <row r="604" spans="1:23" hidden="1" x14ac:dyDescent="0.25">
      <c r="A604">
        <v>15741</v>
      </c>
      <c r="B604">
        <v>456625482</v>
      </c>
      <c r="C604" t="s">
        <v>3726</v>
      </c>
      <c r="D604" s="8" t="s">
        <v>3727</v>
      </c>
      <c r="E604" t="s">
        <v>644</v>
      </c>
      <c r="G604" t="s">
        <v>62</v>
      </c>
      <c r="H604" t="s">
        <v>63</v>
      </c>
      <c r="I604" t="s">
        <v>30</v>
      </c>
      <c r="J604" t="s">
        <v>64</v>
      </c>
      <c r="K604" t="s">
        <v>27</v>
      </c>
      <c r="L604" t="s">
        <v>65</v>
      </c>
      <c r="M604" t="s">
        <v>3728</v>
      </c>
      <c r="N604" t="s">
        <v>646</v>
      </c>
      <c r="O604" t="s">
        <v>83</v>
      </c>
      <c r="P604" t="s">
        <v>3729</v>
      </c>
      <c r="Q604" t="s">
        <v>93</v>
      </c>
      <c r="R604" s="23" t="s">
        <v>3730</v>
      </c>
      <c r="S604" s="23">
        <v>46184</v>
      </c>
      <c r="T604">
        <v>10.130000000000001</v>
      </c>
      <c r="U604">
        <v>10408</v>
      </c>
      <c r="V604">
        <v>1079.94</v>
      </c>
      <c r="W604">
        <v>11487.94</v>
      </c>
    </row>
    <row r="605" spans="1:23" hidden="1" x14ac:dyDescent="0.25">
      <c r="A605">
        <v>15741</v>
      </c>
      <c r="B605">
        <v>456625459</v>
      </c>
      <c r="C605" t="s">
        <v>3731</v>
      </c>
      <c r="D605" s="8" t="s">
        <v>3732</v>
      </c>
      <c r="E605" t="s">
        <v>644</v>
      </c>
      <c r="G605" t="s">
        <v>62</v>
      </c>
      <c r="H605" t="s">
        <v>63</v>
      </c>
      <c r="I605" t="s">
        <v>30</v>
      </c>
      <c r="J605" t="s">
        <v>64</v>
      </c>
      <c r="K605" t="s">
        <v>27</v>
      </c>
      <c r="L605" t="s">
        <v>65</v>
      </c>
      <c r="M605" t="s">
        <v>3733</v>
      </c>
      <c r="N605" t="s">
        <v>646</v>
      </c>
      <c r="O605" t="s">
        <v>83</v>
      </c>
      <c r="P605" t="s">
        <v>3734</v>
      </c>
      <c r="Q605" t="s">
        <v>83</v>
      </c>
      <c r="R605" s="23" t="s">
        <v>3735</v>
      </c>
      <c r="S605" s="23">
        <v>46184</v>
      </c>
      <c r="T605">
        <v>10.050000000000001</v>
      </c>
      <c r="U605">
        <v>5943</v>
      </c>
      <c r="V605">
        <v>1079.94</v>
      </c>
      <c r="W605">
        <v>7022.9400000000005</v>
      </c>
    </row>
    <row r="606" spans="1:23" hidden="1" x14ac:dyDescent="0.25">
      <c r="A606">
        <v>15741</v>
      </c>
      <c r="B606">
        <v>456625431</v>
      </c>
      <c r="C606" t="s">
        <v>3736</v>
      </c>
      <c r="D606" s="8" t="s">
        <v>3737</v>
      </c>
      <c r="E606" t="s">
        <v>644</v>
      </c>
      <c r="G606" t="s">
        <v>62</v>
      </c>
      <c r="H606" t="s">
        <v>63</v>
      </c>
      <c r="I606" t="s">
        <v>30</v>
      </c>
      <c r="J606" t="s">
        <v>64</v>
      </c>
      <c r="K606" t="s">
        <v>27</v>
      </c>
      <c r="L606" t="s">
        <v>65</v>
      </c>
      <c r="M606" t="s">
        <v>3738</v>
      </c>
      <c r="N606" t="s">
        <v>646</v>
      </c>
      <c r="O606" t="s">
        <v>83</v>
      </c>
      <c r="P606" t="s">
        <v>3739</v>
      </c>
      <c r="Q606" t="s">
        <v>58</v>
      </c>
      <c r="R606" s="23" t="s">
        <v>3740</v>
      </c>
      <c r="S606" s="23">
        <v>46184</v>
      </c>
      <c r="T606">
        <v>13.56</v>
      </c>
      <c r="U606">
        <v>10408</v>
      </c>
      <c r="V606">
        <v>1199.94</v>
      </c>
      <c r="W606">
        <v>11607.94</v>
      </c>
    </row>
    <row r="607" spans="1:23" hidden="1" x14ac:dyDescent="0.25">
      <c r="A607">
        <v>15741</v>
      </c>
      <c r="B607">
        <v>456625391</v>
      </c>
      <c r="C607" t="s">
        <v>3741</v>
      </c>
      <c r="D607" s="8" t="s">
        <v>3742</v>
      </c>
      <c r="E607" t="s">
        <v>644</v>
      </c>
      <c r="G607" t="s">
        <v>62</v>
      </c>
      <c r="H607" t="s">
        <v>63</v>
      </c>
      <c r="I607" t="s">
        <v>30</v>
      </c>
      <c r="J607" t="s">
        <v>64</v>
      </c>
      <c r="K607" t="s">
        <v>27</v>
      </c>
      <c r="L607" t="s">
        <v>65</v>
      </c>
      <c r="M607" t="s">
        <v>3743</v>
      </c>
      <c r="N607" t="s">
        <v>646</v>
      </c>
      <c r="O607" t="s">
        <v>83</v>
      </c>
      <c r="P607" t="s">
        <v>3744</v>
      </c>
      <c r="Q607" t="s">
        <v>93</v>
      </c>
      <c r="R607" s="23" t="s">
        <v>3740</v>
      </c>
      <c r="S607" s="23">
        <v>46184</v>
      </c>
      <c r="T607">
        <v>13.64</v>
      </c>
      <c r="U607">
        <v>10408</v>
      </c>
      <c r="V607">
        <v>1199.94</v>
      </c>
      <c r="W607">
        <v>11607.94</v>
      </c>
    </row>
    <row r="608" spans="1:23" hidden="1" x14ac:dyDescent="0.25">
      <c r="A608">
        <v>15741</v>
      </c>
      <c r="B608">
        <v>456625365</v>
      </c>
      <c r="C608" t="s">
        <v>3745</v>
      </c>
      <c r="D608" s="8" t="s">
        <v>3746</v>
      </c>
      <c r="E608" t="s">
        <v>644</v>
      </c>
      <c r="G608" t="s">
        <v>62</v>
      </c>
      <c r="H608" t="s">
        <v>63</v>
      </c>
      <c r="I608" t="s">
        <v>30</v>
      </c>
      <c r="J608" t="s">
        <v>64</v>
      </c>
      <c r="K608" t="s">
        <v>27</v>
      </c>
      <c r="L608" t="s">
        <v>65</v>
      </c>
      <c r="M608" t="s">
        <v>3747</v>
      </c>
      <c r="N608" t="s">
        <v>646</v>
      </c>
      <c r="O608" t="s">
        <v>83</v>
      </c>
      <c r="P608" t="s">
        <v>3748</v>
      </c>
      <c r="Q608" t="s">
        <v>48</v>
      </c>
      <c r="R608" s="23" t="s">
        <v>3749</v>
      </c>
      <c r="S608" s="23">
        <v>46184</v>
      </c>
      <c r="T608">
        <v>10.14</v>
      </c>
      <c r="U608">
        <v>5943</v>
      </c>
      <c r="V608">
        <v>1079.94</v>
      </c>
      <c r="W608">
        <v>7022.9400000000005</v>
      </c>
    </row>
    <row r="609" spans="1:23" hidden="1" x14ac:dyDescent="0.25">
      <c r="A609">
        <v>15741</v>
      </c>
      <c r="B609">
        <v>456625340</v>
      </c>
      <c r="C609" t="s">
        <v>3750</v>
      </c>
      <c r="D609" s="8" t="s">
        <v>3751</v>
      </c>
      <c r="E609" t="s">
        <v>644</v>
      </c>
      <c r="G609" t="s">
        <v>62</v>
      </c>
      <c r="H609" t="s">
        <v>63</v>
      </c>
      <c r="I609" t="s">
        <v>30</v>
      </c>
      <c r="J609" t="s">
        <v>64</v>
      </c>
      <c r="K609" t="s">
        <v>27</v>
      </c>
      <c r="L609" t="s">
        <v>65</v>
      </c>
      <c r="M609" t="s">
        <v>2741</v>
      </c>
      <c r="N609" t="s">
        <v>646</v>
      </c>
      <c r="O609" t="s">
        <v>83</v>
      </c>
      <c r="P609" t="s">
        <v>3752</v>
      </c>
      <c r="Q609" t="s">
        <v>43</v>
      </c>
      <c r="R609" s="23" t="s">
        <v>3753</v>
      </c>
      <c r="S609" s="23">
        <v>46184</v>
      </c>
      <c r="T609">
        <v>13.94</v>
      </c>
      <c r="U609">
        <v>5943</v>
      </c>
      <c r="V609">
        <v>1199.94</v>
      </c>
      <c r="W609">
        <v>7142.9400000000005</v>
      </c>
    </row>
    <row r="610" spans="1:23" hidden="1" x14ac:dyDescent="0.25">
      <c r="A610">
        <v>15741</v>
      </c>
      <c r="B610">
        <v>456625287</v>
      </c>
      <c r="C610" t="s">
        <v>3754</v>
      </c>
      <c r="D610" s="8" t="s">
        <v>3755</v>
      </c>
      <c r="E610" t="s">
        <v>644</v>
      </c>
      <c r="G610" t="s">
        <v>62</v>
      </c>
      <c r="H610" t="s">
        <v>63</v>
      </c>
      <c r="I610" t="s">
        <v>30</v>
      </c>
      <c r="J610" t="s">
        <v>64</v>
      </c>
      <c r="K610" t="s">
        <v>27</v>
      </c>
      <c r="L610" t="s">
        <v>65</v>
      </c>
      <c r="M610" t="s">
        <v>3756</v>
      </c>
      <c r="N610" t="s">
        <v>646</v>
      </c>
      <c r="O610" t="s">
        <v>83</v>
      </c>
      <c r="P610" t="s">
        <v>3757</v>
      </c>
      <c r="Q610" t="s">
        <v>47</v>
      </c>
      <c r="R610" s="23" t="s">
        <v>3758</v>
      </c>
      <c r="S610" s="23">
        <v>46184</v>
      </c>
      <c r="T610">
        <v>13.55</v>
      </c>
      <c r="U610">
        <v>5943</v>
      </c>
      <c r="V610">
        <v>1199.94</v>
      </c>
      <c r="W610">
        <v>7142.9400000000005</v>
      </c>
    </row>
    <row r="611" spans="1:23" hidden="1" x14ac:dyDescent="0.25">
      <c r="A611">
        <v>15741</v>
      </c>
      <c r="B611">
        <v>456625268</v>
      </c>
      <c r="C611" t="s">
        <v>3759</v>
      </c>
      <c r="D611" s="8" t="s">
        <v>3760</v>
      </c>
      <c r="E611" t="s">
        <v>644</v>
      </c>
      <c r="G611" t="s">
        <v>62</v>
      </c>
      <c r="H611" t="s">
        <v>63</v>
      </c>
      <c r="I611" t="s">
        <v>30</v>
      </c>
      <c r="J611" t="s">
        <v>64</v>
      </c>
      <c r="K611" t="s">
        <v>27</v>
      </c>
      <c r="L611" t="s">
        <v>65</v>
      </c>
      <c r="M611" t="s">
        <v>3761</v>
      </c>
      <c r="N611" t="s">
        <v>646</v>
      </c>
      <c r="O611" t="s">
        <v>83</v>
      </c>
      <c r="P611" t="s">
        <v>3762</v>
      </c>
      <c r="Q611" t="s">
        <v>47</v>
      </c>
      <c r="R611" s="23" t="s">
        <v>3758</v>
      </c>
      <c r="S611" s="23">
        <v>46184</v>
      </c>
      <c r="T611">
        <v>13.71</v>
      </c>
      <c r="U611">
        <v>5943</v>
      </c>
      <c r="V611">
        <v>1199.94</v>
      </c>
      <c r="W611">
        <v>7142.9400000000005</v>
      </c>
    </row>
    <row r="612" spans="1:23" hidden="1" x14ac:dyDescent="0.25">
      <c r="A612">
        <v>15741</v>
      </c>
      <c r="B612">
        <v>456625261</v>
      </c>
      <c r="C612" t="s">
        <v>3763</v>
      </c>
      <c r="D612" s="8" t="s">
        <v>3764</v>
      </c>
      <c r="E612" t="s">
        <v>644</v>
      </c>
      <c r="G612" t="s">
        <v>62</v>
      </c>
      <c r="H612" t="s">
        <v>63</v>
      </c>
      <c r="I612" t="s">
        <v>30</v>
      </c>
      <c r="J612" t="s">
        <v>64</v>
      </c>
      <c r="K612" t="s">
        <v>27</v>
      </c>
      <c r="L612" t="s">
        <v>65</v>
      </c>
      <c r="M612" t="s">
        <v>3765</v>
      </c>
      <c r="N612" t="s">
        <v>646</v>
      </c>
      <c r="O612" t="s">
        <v>83</v>
      </c>
      <c r="P612" t="s">
        <v>3766</v>
      </c>
      <c r="Q612" t="s">
        <v>98</v>
      </c>
      <c r="R612" s="23" t="s">
        <v>3767</v>
      </c>
      <c r="S612" s="23">
        <v>46184</v>
      </c>
      <c r="T612">
        <v>13.78</v>
      </c>
      <c r="U612">
        <v>12046</v>
      </c>
      <c r="V612">
        <v>1199.94</v>
      </c>
      <c r="W612">
        <v>13245.94</v>
      </c>
    </row>
    <row r="613" spans="1:23" hidden="1" x14ac:dyDescent="0.25">
      <c r="A613">
        <v>15741</v>
      </c>
      <c r="B613">
        <v>456625186</v>
      </c>
      <c r="C613" t="s">
        <v>3768</v>
      </c>
      <c r="D613" s="8" t="s">
        <v>3769</v>
      </c>
      <c r="E613" t="s">
        <v>644</v>
      </c>
      <c r="G613" t="s">
        <v>62</v>
      </c>
      <c r="H613" t="s">
        <v>63</v>
      </c>
      <c r="I613" t="s">
        <v>30</v>
      </c>
      <c r="J613" t="s">
        <v>64</v>
      </c>
      <c r="K613" t="s">
        <v>27</v>
      </c>
      <c r="L613" t="s">
        <v>65</v>
      </c>
      <c r="M613" t="s">
        <v>3770</v>
      </c>
      <c r="N613" t="s">
        <v>646</v>
      </c>
      <c r="O613" t="s">
        <v>83</v>
      </c>
      <c r="P613" t="s">
        <v>3771</v>
      </c>
      <c r="Q613" t="s">
        <v>81</v>
      </c>
      <c r="R613" s="23" t="s">
        <v>3772</v>
      </c>
      <c r="S613" s="23">
        <v>46184</v>
      </c>
      <c r="T613">
        <v>10.31</v>
      </c>
      <c r="U613">
        <v>5943</v>
      </c>
      <c r="V613">
        <v>779.94</v>
      </c>
      <c r="W613">
        <v>6722.9400000000005</v>
      </c>
    </row>
    <row r="614" spans="1:23" hidden="1" x14ac:dyDescent="0.25">
      <c r="A614">
        <v>15741</v>
      </c>
      <c r="B614">
        <v>456604096</v>
      </c>
      <c r="C614" t="s">
        <v>3773</v>
      </c>
      <c r="D614" s="8" t="s">
        <v>3774</v>
      </c>
      <c r="E614" t="s">
        <v>644</v>
      </c>
      <c r="G614" t="s">
        <v>62</v>
      </c>
      <c r="H614" t="s">
        <v>63</v>
      </c>
      <c r="I614" t="s">
        <v>30</v>
      </c>
      <c r="J614" t="s">
        <v>64</v>
      </c>
      <c r="K614" t="s">
        <v>27</v>
      </c>
      <c r="L614" t="s">
        <v>65</v>
      </c>
      <c r="M614" t="s">
        <v>3775</v>
      </c>
      <c r="N614" t="s">
        <v>646</v>
      </c>
      <c r="O614" t="s">
        <v>83</v>
      </c>
      <c r="P614" t="s">
        <v>3776</v>
      </c>
      <c r="Q614" t="s">
        <v>49</v>
      </c>
      <c r="R614" s="23" t="s">
        <v>3777</v>
      </c>
      <c r="S614" s="23">
        <v>46184</v>
      </c>
      <c r="T614">
        <v>14.49</v>
      </c>
      <c r="U614">
        <v>5943</v>
      </c>
      <c r="V614">
        <v>839.94</v>
      </c>
      <c r="W614">
        <v>6782.9400000000005</v>
      </c>
    </row>
    <row r="615" spans="1:23" hidden="1" x14ac:dyDescent="0.25">
      <c r="A615">
        <v>15741</v>
      </c>
      <c r="B615">
        <v>456604039</v>
      </c>
      <c r="C615" t="s">
        <v>3778</v>
      </c>
      <c r="D615" s="8" t="s">
        <v>3779</v>
      </c>
      <c r="E615" t="s">
        <v>644</v>
      </c>
      <c r="G615" t="s">
        <v>62</v>
      </c>
      <c r="H615" t="s">
        <v>63</v>
      </c>
      <c r="I615" t="s">
        <v>30</v>
      </c>
      <c r="J615" t="s">
        <v>64</v>
      </c>
      <c r="K615" t="s">
        <v>27</v>
      </c>
      <c r="L615" t="s">
        <v>65</v>
      </c>
      <c r="M615" t="s">
        <v>3780</v>
      </c>
      <c r="N615" t="s">
        <v>646</v>
      </c>
      <c r="O615" t="s">
        <v>83</v>
      </c>
      <c r="P615" t="s">
        <v>3781</v>
      </c>
      <c r="Q615" t="s">
        <v>50</v>
      </c>
      <c r="R615" s="23" t="s">
        <v>347</v>
      </c>
      <c r="S615" s="23">
        <v>46184</v>
      </c>
      <c r="T615">
        <v>12.54</v>
      </c>
      <c r="U615">
        <v>5943</v>
      </c>
      <c r="V615">
        <v>779.94</v>
      </c>
      <c r="W615">
        <v>6722.9400000000005</v>
      </c>
    </row>
    <row r="616" spans="1:23" hidden="1" x14ac:dyDescent="0.25">
      <c r="A616">
        <v>15741</v>
      </c>
      <c r="B616">
        <v>456603368</v>
      </c>
      <c r="C616" t="s">
        <v>3782</v>
      </c>
      <c r="D616" s="8" t="s">
        <v>3783</v>
      </c>
      <c r="E616" t="s">
        <v>644</v>
      </c>
      <c r="G616" t="s">
        <v>62</v>
      </c>
      <c r="H616" t="s">
        <v>63</v>
      </c>
      <c r="I616" t="s">
        <v>30</v>
      </c>
      <c r="J616" t="s">
        <v>64</v>
      </c>
      <c r="K616" t="s">
        <v>27</v>
      </c>
      <c r="L616" t="s">
        <v>65</v>
      </c>
      <c r="M616" t="s">
        <v>3784</v>
      </c>
      <c r="N616" t="s">
        <v>646</v>
      </c>
      <c r="O616" t="s">
        <v>83</v>
      </c>
      <c r="P616" t="s">
        <v>3785</v>
      </c>
      <c r="Q616" t="s">
        <v>57</v>
      </c>
      <c r="R616" s="23" t="s">
        <v>3786</v>
      </c>
      <c r="S616" s="23">
        <v>46184</v>
      </c>
      <c r="T616">
        <v>13.62</v>
      </c>
      <c r="U616">
        <v>10408</v>
      </c>
      <c r="V616">
        <v>899.94</v>
      </c>
      <c r="W616">
        <v>11307.94</v>
      </c>
    </row>
    <row r="617" spans="1:23" hidden="1" x14ac:dyDescent="0.25">
      <c r="A617">
        <v>15741</v>
      </c>
      <c r="B617">
        <v>456600309</v>
      </c>
      <c r="C617" t="s">
        <v>3787</v>
      </c>
      <c r="D617" s="8" t="s">
        <v>3788</v>
      </c>
      <c r="E617" t="s">
        <v>644</v>
      </c>
      <c r="G617" t="s">
        <v>62</v>
      </c>
      <c r="H617" t="s">
        <v>63</v>
      </c>
      <c r="I617" t="s">
        <v>30</v>
      </c>
      <c r="J617" t="s">
        <v>64</v>
      </c>
      <c r="K617" t="s">
        <v>27</v>
      </c>
      <c r="L617" t="s">
        <v>65</v>
      </c>
      <c r="M617" t="s">
        <v>3789</v>
      </c>
      <c r="N617" t="s">
        <v>646</v>
      </c>
      <c r="O617" t="s">
        <v>83</v>
      </c>
      <c r="P617" t="s">
        <v>3790</v>
      </c>
      <c r="Q617" t="s">
        <v>49</v>
      </c>
      <c r="R617" s="23" t="s">
        <v>84</v>
      </c>
      <c r="S617" s="23">
        <v>46184</v>
      </c>
      <c r="T617">
        <v>12.13</v>
      </c>
      <c r="U617">
        <v>5943</v>
      </c>
      <c r="V617">
        <v>839.94</v>
      </c>
      <c r="W617">
        <v>6782.9400000000005</v>
      </c>
    </row>
    <row r="618" spans="1:23" hidden="1" x14ac:dyDescent="0.25">
      <c r="A618">
        <v>15741</v>
      </c>
      <c r="B618">
        <v>456600216</v>
      </c>
      <c r="C618" t="s">
        <v>3791</v>
      </c>
      <c r="D618" s="8" t="s">
        <v>3792</v>
      </c>
      <c r="E618" t="s">
        <v>644</v>
      </c>
      <c r="G618" t="s">
        <v>62</v>
      </c>
      <c r="H618" t="s">
        <v>63</v>
      </c>
      <c r="I618" t="s">
        <v>30</v>
      </c>
      <c r="J618" t="s">
        <v>64</v>
      </c>
      <c r="K618" t="s">
        <v>27</v>
      </c>
      <c r="L618" t="s">
        <v>65</v>
      </c>
      <c r="M618" t="s">
        <v>3793</v>
      </c>
      <c r="N618" t="s">
        <v>646</v>
      </c>
      <c r="O618" t="s">
        <v>83</v>
      </c>
      <c r="P618" t="s">
        <v>3794</v>
      </c>
      <c r="Q618" t="s">
        <v>43</v>
      </c>
      <c r="R618" s="23" t="s">
        <v>473</v>
      </c>
      <c r="S618" s="23">
        <v>46184</v>
      </c>
      <c r="T618">
        <v>12.66</v>
      </c>
      <c r="U618">
        <v>5943</v>
      </c>
      <c r="V618">
        <v>839.94</v>
      </c>
      <c r="W618">
        <v>6782.9400000000005</v>
      </c>
    </row>
    <row r="619" spans="1:23" x14ac:dyDescent="0.25">
      <c r="A619">
        <v>15741</v>
      </c>
      <c r="B619">
        <v>456581542</v>
      </c>
      <c r="C619" t="s">
        <v>3795</v>
      </c>
      <c r="D619" s="8" t="s">
        <v>3796</v>
      </c>
      <c r="E619" t="s">
        <v>644</v>
      </c>
      <c r="G619" t="s">
        <v>62</v>
      </c>
      <c r="H619" t="s">
        <v>63</v>
      </c>
      <c r="I619" t="s">
        <v>30</v>
      </c>
      <c r="J619" t="s">
        <v>64</v>
      </c>
      <c r="K619" t="s">
        <v>27</v>
      </c>
      <c r="L619" t="s">
        <v>65</v>
      </c>
      <c r="M619" t="s">
        <v>3797</v>
      </c>
      <c r="N619" t="s">
        <v>646</v>
      </c>
      <c r="O619" t="s">
        <v>83</v>
      </c>
      <c r="P619" t="s">
        <v>3798</v>
      </c>
      <c r="Q619" t="s">
        <v>50</v>
      </c>
      <c r="R619" s="23" t="s">
        <v>3799</v>
      </c>
      <c r="S619" s="23">
        <v>46183</v>
      </c>
      <c r="T619">
        <v>12.4</v>
      </c>
      <c r="U619">
        <v>5943</v>
      </c>
      <c r="V619">
        <v>1739.94</v>
      </c>
      <c r="W619">
        <v>7682.9400000000005</v>
      </c>
    </row>
    <row r="620" spans="1:23" x14ac:dyDescent="0.25">
      <c r="A620">
        <v>15741</v>
      </c>
      <c r="B620">
        <v>456581502</v>
      </c>
      <c r="C620" t="s">
        <v>3800</v>
      </c>
      <c r="D620" s="8" t="s">
        <v>3801</v>
      </c>
      <c r="E620" t="s">
        <v>644</v>
      </c>
      <c r="G620" t="s">
        <v>62</v>
      </c>
      <c r="H620" t="s">
        <v>63</v>
      </c>
      <c r="I620" t="s">
        <v>30</v>
      </c>
      <c r="J620" t="s">
        <v>64</v>
      </c>
      <c r="K620" t="s">
        <v>27</v>
      </c>
      <c r="L620" t="s">
        <v>65</v>
      </c>
      <c r="M620" t="s">
        <v>265</v>
      </c>
      <c r="N620" t="s">
        <v>646</v>
      </c>
      <c r="O620" t="s">
        <v>83</v>
      </c>
      <c r="P620" t="s">
        <v>3802</v>
      </c>
      <c r="Q620" t="s">
        <v>45</v>
      </c>
      <c r="R620" s="23" t="s">
        <v>3803</v>
      </c>
      <c r="S620" s="23">
        <v>46183</v>
      </c>
      <c r="T620">
        <v>12.26</v>
      </c>
      <c r="U620">
        <v>5943</v>
      </c>
      <c r="V620">
        <v>599.94000000000005</v>
      </c>
      <c r="W620">
        <v>6542.9400000000005</v>
      </c>
    </row>
    <row r="621" spans="1:23" x14ac:dyDescent="0.25">
      <c r="A621">
        <v>15741</v>
      </c>
      <c r="B621">
        <v>456581445</v>
      </c>
      <c r="C621" t="s">
        <v>3804</v>
      </c>
      <c r="D621" s="8" t="s">
        <v>3805</v>
      </c>
      <c r="E621" t="s">
        <v>644</v>
      </c>
      <c r="G621" t="s">
        <v>62</v>
      </c>
      <c r="H621" t="s">
        <v>63</v>
      </c>
      <c r="I621" t="s">
        <v>30</v>
      </c>
      <c r="J621" t="s">
        <v>64</v>
      </c>
      <c r="K621" t="s">
        <v>27</v>
      </c>
      <c r="L621" t="s">
        <v>65</v>
      </c>
      <c r="M621" t="s">
        <v>3806</v>
      </c>
      <c r="N621" t="s">
        <v>646</v>
      </c>
      <c r="O621" t="s">
        <v>83</v>
      </c>
      <c r="P621" t="s">
        <v>3807</v>
      </c>
      <c r="Q621" t="s">
        <v>48</v>
      </c>
      <c r="R621" s="23" t="s">
        <v>3808</v>
      </c>
      <c r="S621" s="23">
        <v>46183</v>
      </c>
      <c r="T621">
        <v>13.16</v>
      </c>
      <c r="U621">
        <v>5943</v>
      </c>
      <c r="V621">
        <v>779.94</v>
      </c>
      <c r="W621">
        <v>6722.9400000000005</v>
      </c>
    </row>
    <row r="622" spans="1:23" x14ac:dyDescent="0.25">
      <c r="A622">
        <v>15741</v>
      </c>
      <c r="B622">
        <v>456581410</v>
      </c>
      <c r="C622" t="s">
        <v>3809</v>
      </c>
      <c r="D622" s="8" t="s">
        <v>3810</v>
      </c>
      <c r="E622" t="s">
        <v>644</v>
      </c>
      <c r="G622" t="s">
        <v>62</v>
      </c>
      <c r="H622" t="s">
        <v>63</v>
      </c>
      <c r="I622" t="s">
        <v>30</v>
      </c>
      <c r="J622" t="s">
        <v>64</v>
      </c>
      <c r="K622" t="s">
        <v>27</v>
      </c>
      <c r="L622" t="s">
        <v>65</v>
      </c>
      <c r="M622" t="s">
        <v>3811</v>
      </c>
      <c r="N622" t="s">
        <v>646</v>
      </c>
      <c r="O622" t="s">
        <v>83</v>
      </c>
      <c r="P622" t="s">
        <v>3812</v>
      </c>
      <c r="Q622" t="s">
        <v>52</v>
      </c>
      <c r="R622" s="23" t="s">
        <v>3813</v>
      </c>
      <c r="S622" s="23">
        <v>46183</v>
      </c>
      <c r="T622">
        <v>10.5</v>
      </c>
      <c r="U622">
        <v>5943</v>
      </c>
      <c r="V622">
        <v>1283.94</v>
      </c>
      <c r="W622">
        <v>7226.9400000000005</v>
      </c>
    </row>
    <row r="623" spans="1:23" hidden="1" x14ac:dyDescent="0.25">
      <c r="A623">
        <v>15741</v>
      </c>
      <c r="B623">
        <v>456201101</v>
      </c>
      <c r="C623" t="s">
        <v>3814</v>
      </c>
      <c r="D623" s="8" t="s">
        <v>3815</v>
      </c>
      <c r="E623" t="s">
        <v>644</v>
      </c>
      <c r="G623" t="s">
        <v>62</v>
      </c>
      <c r="H623" t="s">
        <v>63</v>
      </c>
      <c r="I623" t="s">
        <v>30</v>
      </c>
      <c r="J623" t="s">
        <v>64</v>
      </c>
      <c r="K623" t="s">
        <v>27</v>
      </c>
      <c r="L623" t="s">
        <v>65</v>
      </c>
      <c r="M623" t="s">
        <v>3816</v>
      </c>
      <c r="N623" t="s">
        <v>646</v>
      </c>
      <c r="O623" t="s">
        <v>83</v>
      </c>
      <c r="P623" t="s">
        <v>3817</v>
      </c>
      <c r="Q623" t="s">
        <v>46</v>
      </c>
      <c r="R623" s="23" t="s">
        <v>407</v>
      </c>
      <c r="S623" s="23">
        <v>46177</v>
      </c>
      <c r="T623">
        <v>11.84</v>
      </c>
      <c r="U623">
        <v>5943</v>
      </c>
      <c r="V623">
        <v>719.94</v>
      </c>
      <c r="W623">
        <v>6662.9400000000005</v>
      </c>
    </row>
    <row r="624" spans="1:23" x14ac:dyDescent="0.25">
      <c r="A624">
        <v>15741</v>
      </c>
      <c r="B624">
        <v>456534525</v>
      </c>
      <c r="C624" t="s">
        <v>3818</v>
      </c>
      <c r="D624" s="8" t="s">
        <v>3819</v>
      </c>
      <c r="E624" t="s">
        <v>644</v>
      </c>
      <c r="G624" t="s">
        <v>62</v>
      </c>
      <c r="H624" t="s">
        <v>63</v>
      </c>
      <c r="I624" t="s">
        <v>30</v>
      </c>
      <c r="J624" t="s">
        <v>64</v>
      </c>
      <c r="K624" t="s">
        <v>27</v>
      </c>
      <c r="L624" t="s">
        <v>65</v>
      </c>
      <c r="M624" t="s">
        <v>3820</v>
      </c>
      <c r="N624" t="s">
        <v>646</v>
      </c>
      <c r="O624" t="s">
        <v>83</v>
      </c>
      <c r="P624" t="s">
        <v>3821</v>
      </c>
      <c r="Q624" t="s">
        <v>50</v>
      </c>
      <c r="R624" s="23" t="s">
        <v>3822</v>
      </c>
      <c r="S624" s="23">
        <v>46182</v>
      </c>
      <c r="T624">
        <v>9.48</v>
      </c>
      <c r="U624">
        <v>5465</v>
      </c>
      <c r="V624">
        <v>0</v>
      </c>
      <c r="W624">
        <v>5465</v>
      </c>
    </row>
    <row r="625" spans="1:23" x14ac:dyDescent="0.25">
      <c r="A625">
        <v>15741</v>
      </c>
      <c r="B625">
        <v>456512295</v>
      </c>
      <c r="C625" t="s">
        <v>3823</v>
      </c>
      <c r="D625" s="8" t="s">
        <v>3824</v>
      </c>
      <c r="E625" t="s">
        <v>644</v>
      </c>
      <c r="G625" t="s">
        <v>62</v>
      </c>
      <c r="H625" t="s">
        <v>63</v>
      </c>
      <c r="I625" t="s">
        <v>30</v>
      </c>
      <c r="J625" t="s">
        <v>64</v>
      </c>
      <c r="K625" t="s">
        <v>27</v>
      </c>
      <c r="L625" t="s">
        <v>215</v>
      </c>
      <c r="M625" t="s">
        <v>3825</v>
      </c>
      <c r="N625" t="s">
        <v>646</v>
      </c>
      <c r="O625" t="s">
        <v>83</v>
      </c>
      <c r="P625" t="s">
        <v>3826</v>
      </c>
      <c r="Q625" t="s">
        <v>94</v>
      </c>
      <c r="R625" s="23" t="s">
        <v>552</v>
      </c>
      <c r="S625" s="23">
        <v>46182</v>
      </c>
      <c r="T625">
        <v>25.48</v>
      </c>
      <c r="U625">
        <v>21189</v>
      </c>
      <c r="V625">
        <v>1739.88</v>
      </c>
      <c r="W625">
        <v>22928.880000000001</v>
      </c>
    </row>
    <row r="626" spans="1:23" x14ac:dyDescent="0.25">
      <c r="A626">
        <v>15741</v>
      </c>
      <c r="B626">
        <v>456550965</v>
      </c>
      <c r="C626" t="s">
        <v>3827</v>
      </c>
      <c r="D626" s="8" t="s">
        <v>3828</v>
      </c>
      <c r="E626" t="s">
        <v>644</v>
      </c>
      <c r="G626" t="s">
        <v>62</v>
      </c>
      <c r="H626" t="s">
        <v>63</v>
      </c>
      <c r="I626" t="s">
        <v>30</v>
      </c>
      <c r="J626" t="s">
        <v>64</v>
      </c>
      <c r="K626" t="s">
        <v>27</v>
      </c>
      <c r="L626" t="s">
        <v>65</v>
      </c>
      <c r="M626" t="s">
        <v>3829</v>
      </c>
      <c r="N626" t="s">
        <v>646</v>
      </c>
      <c r="O626" t="s">
        <v>83</v>
      </c>
      <c r="P626" t="s">
        <v>3830</v>
      </c>
      <c r="Q626" t="s">
        <v>262</v>
      </c>
      <c r="R626" s="23" t="s">
        <v>3831</v>
      </c>
      <c r="S626" s="23">
        <v>46183</v>
      </c>
      <c r="T626">
        <v>13.01</v>
      </c>
      <c r="U626">
        <v>19214</v>
      </c>
      <c r="V626">
        <v>899.94</v>
      </c>
      <c r="W626">
        <v>20113.939999999999</v>
      </c>
    </row>
    <row r="627" spans="1:23" x14ac:dyDescent="0.25">
      <c r="A627">
        <v>15741</v>
      </c>
      <c r="B627">
        <v>456525608</v>
      </c>
      <c r="C627" t="s">
        <v>3832</v>
      </c>
      <c r="D627" s="8" t="s">
        <v>3833</v>
      </c>
      <c r="E627" t="s">
        <v>644</v>
      </c>
      <c r="G627" t="s">
        <v>62</v>
      </c>
      <c r="H627" t="s">
        <v>63</v>
      </c>
      <c r="I627" t="s">
        <v>30</v>
      </c>
      <c r="J627" t="s">
        <v>64</v>
      </c>
      <c r="K627" t="s">
        <v>27</v>
      </c>
      <c r="L627" t="s">
        <v>65</v>
      </c>
      <c r="M627" t="s">
        <v>3834</v>
      </c>
      <c r="N627" t="s">
        <v>646</v>
      </c>
      <c r="O627" t="s">
        <v>83</v>
      </c>
      <c r="P627" t="s">
        <v>3835</v>
      </c>
      <c r="Q627" t="s">
        <v>81</v>
      </c>
      <c r="R627" s="23" t="s">
        <v>3836</v>
      </c>
      <c r="S627" s="23">
        <v>46182</v>
      </c>
      <c r="T627">
        <v>23.32</v>
      </c>
      <c r="U627">
        <v>9721</v>
      </c>
      <c r="V627">
        <v>899.94</v>
      </c>
      <c r="W627">
        <v>10620.94</v>
      </c>
    </row>
    <row r="628" spans="1:23" x14ac:dyDescent="0.25">
      <c r="A628">
        <v>15741</v>
      </c>
      <c r="B628">
        <v>456525612</v>
      </c>
      <c r="C628" t="s">
        <v>3837</v>
      </c>
      <c r="D628" s="8" t="s">
        <v>3838</v>
      </c>
      <c r="E628" t="s">
        <v>644</v>
      </c>
      <c r="G628" t="s">
        <v>62</v>
      </c>
      <c r="H628" t="s">
        <v>63</v>
      </c>
      <c r="I628" t="s">
        <v>30</v>
      </c>
      <c r="J628" t="s">
        <v>64</v>
      </c>
      <c r="K628" t="s">
        <v>37</v>
      </c>
      <c r="L628" t="s">
        <v>60</v>
      </c>
      <c r="M628" t="s">
        <v>3839</v>
      </c>
      <c r="N628" t="s">
        <v>646</v>
      </c>
      <c r="O628" t="s">
        <v>83</v>
      </c>
      <c r="P628" t="s">
        <v>3840</v>
      </c>
      <c r="Q628" t="s">
        <v>72</v>
      </c>
      <c r="R628" s="23" t="s">
        <v>3836</v>
      </c>
      <c r="S628" s="23">
        <v>46182</v>
      </c>
      <c r="T628">
        <v>22.88</v>
      </c>
      <c r="U628">
        <v>17847</v>
      </c>
      <c r="V628">
        <v>0</v>
      </c>
      <c r="W628">
        <v>17847</v>
      </c>
    </row>
    <row r="629" spans="1:23" x14ac:dyDescent="0.25">
      <c r="A629">
        <v>15741</v>
      </c>
      <c r="B629">
        <v>456525609</v>
      </c>
      <c r="C629" t="s">
        <v>3841</v>
      </c>
      <c r="D629" s="8" t="s">
        <v>3842</v>
      </c>
      <c r="E629" t="s">
        <v>644</v>
      </c>
      <c r="G629" t="s">
        <v>62</v>
      </c>
      <c r="H629" t="s">
        <v>63</v>
      </c>
      <c r="I629" t="s">
        <v>30</v>
      </c>
      <c r="J629" t="s">
        <v>64</v>
      </c>
      <c r="K629" t="s">
        <v>27</v>
      </c>
      <c r="L629" t="s">
        <v>65</v>
      </c>
      <c r="M629" t="s">
        <v>3843</v>
      </c>
      <c r="N629" t="s">
        <v>646</v>
      </c>
      <c r="O629" t="s">
        <v>83</v>
      </c>
      <c r="P629" t="s">
        <v>3844</v>
      </c>
      <c r="Q629" t="s">
        <v>58</v>
      </c>
      <c r="R629" s="23" t="s">
        <v>3836</v>
      </c>
      <c r="S629" s="23">
        <v>46182</v>
      </c>
      <c r="T629">
        <v>24.32</v>
      </c>
      <c r="U629">
        <v>15625</v>
      </c>
      <c r="V629">
        <v>599.94000000000005</v>
      </c>
      <c r="W629">
        <v>16224.94</v>
      </c>
    </row>
    <row r="630" spans="1:23" x14ac:dyDescent="0.25">
      <c r="A630">
        <v>15741</v>
      </c>
      <c r="B630">
        <v>456525616</v>
      </c>
      <c r="C630" t="s">
        <v>3845</v>
      </c>
      <c r="D630" s="8" t="s">
        <v>3846</v>
      </c>
      <c r="E630" t="s">
        <v>644</v>
      </c>
      <c r="G630" t="s">
        <v>62</v>
      </c>
      <c r="H630" t="s">
        <v>63</v>
      </c>
      <c r="I630" t="s">
        <v>30</v>
      </c>
      <c r="J630" t="s">
        <v>64</v>
      </c>
      <c r="K630" t="s">
        <v>27</v>
      </c>
      <c r="L630" t="s">
        <v>65</v>
      </c>
      <c r="M630" t="s">
        <v>3847</v>
      </c>
      <c r="N630" t="s">
        <v>646</v>
      </c>
      <c r="O630" t="s">
        <v>83</v>
      </c>
      <c r="P630" t="s">
        <v>3848</v>
      </c>
      <c r="Q630" t="s">
        <v>88</v>
      </c>
      <c r="R630" s="23" t="s">
        <v>3836</v>
      </c>
      <c r="S630" s="23">
        <v>46182</v>
      </c>
      <c r="T630">
        <v>12.08</v>
      </c>
      <c r="U630">
        <v>13253</v>
      </c>
      <c r="V630">
        <v>1739.94</v>
      </c>
      <c r="W630">
        <v>14992.94</v>
      </c>
    </row>
    <row r="631" spans="1:23" x14ac:dyDescent="0.25">
      <c r="A631">
        <v>15741</v>
      </c>
      <c r="B631">
        <v>456525601</v>
      </c>
      <c r="C631" t="s">
        <v>3849</v>
      </c>
      <c r="D631" s="8" t="s">
        <v>3850</v>
      </c>
      <c r="E631" t="s">
        <v>644</v>
      </c>
      <c r="G631" t="s">
        <v>62</v>
      </c>
      <c r="H631" t="s">
        <v>63</v>
      </c>
      <c r="I631" t="s">
        <v>30</v>
      </c>
      <c r="J631" t="s">
        <v>64</v>
      </c>
      <c r="K631" t="s">
        <v>27</v>
      </c>
      <c r="L631" t="s">
        <v>215</v>
      </c>
      <c r="M631" t="s">
        <v>3851</v>
      </c>
      <c r="N631" t="s">
        <v>646</v>
      </c>
      <c r="O631" t="s">
        <v>83</v>
      </c>
      <c r="P631" t="s">
        <v>3852</v>
      </c>
      <c r="Q631" t="s">
        <v>388</v>
      </c>
      <c r="R631" s="23" t="s">
        <v>3836</v>
      </c>
      <c r="S631" s="23">
        <v>46182</v>
      </c>
      <c r="T631">
        <v>13.08</v>
      </c>
      <c r="U631">
        <v>13253</v>
      </c>
      <c r="V631">
        <v>1739.94</v>
      </c>
      <c r="W631">
        <v>14992.94</v>
      </c>
    </row>
    <row r="632" spans="1:23" x14ac:dyDescent="0.25">
      <c r="A632">
        <v>15741</v>
      </c>
      <c r="B632">
        <v>456512292</v>
      </c>
      <c r="C632" t="s">
        <v>3853</v>
      </c>
      <c r="D632" s="8" t="s">
        <v>3854</v>
      </c>
      <c r="E632" t="s">
        <v>644</v>
      </c>
      <c r="G632" t="s">
        <v>62</v>
      </c>
      <c r="H632" t="s">
        <v>63</v>
      </c>
      <c r="I632" t="s">
        <v>30</v>
      </c>
      <c r="J632" t="s">
        <v>64</v>
      </c>
      <c r="K632" t="s">
        <v>27</v>
      </c>
      <c r="L632" t="s">
        <v>65</v>
      </c>
      <c r="M632" t="s">
        <v>3855</v>
      </c>
      <c r="N632" t="s">
        <v>646</v>
      </c>
      <c r="O632" t="s">
        <v>83</v>
      </c>
      <c r="P632" t="s">
        <v>3856</v>
      </c>
      <c r="Q632" t="s">
        <v>81</v>
      </c>
      <c r="R632" s="23" t="s">
        <v>552</v>
      </c>
      <c r="S632" s="23">
        <v>46182</v>
      </c>
      <c r="T632">
        <v>6.94</v>
      </c>
      <c r="U632">
        <v>5465</v>
      </c>
      <c r="V632">
        <v>0</v>
      </c>
      <c r="W632">
        <v>5465</v>
      </c>
    </row>
    <row r="633" spans="1:23" x14ac:dyDescent="0.25">
      <c r="A633">
        <v>15741</v>
      </c>
      <c r="B633">
        <v>456509948</v>
      </c>
      <c r="C633" t="s">
        <v>3857</v>
      </c>
      <c r="D633" s="8" t="s">
        <v>3858</v>
      </c>
      <c r="E633" t="s">
        <v>644</v>
      </c>
      <c r="G633" t="s">
        <v>62</v>
      </c>
      <c r="H633" t="s">
        <v>63</v>
      </c>
      <c r="I633" t="s">
        <v>30</v>
      </c>
      <c r="J633" t="s">
        <v>64</v>
      </c>
      <c r="K633" t="s">
        <v>27</v>
      </c>
      <c r="L633" t="s">
        <v>65</v>
      </c>
      <c r="M633" t="s">
        <v>3859</v>
      </c>
      <c r="N633" t="s">
        <v>646</v>
      </c>
      <c r="O633" t="s">
        <v>83</v>
      </c>
      <c r="P633" t="s">
        <v>3860</v>
      </c>
      <c r="Q633" t="s">
        <v>43</v>
      </c>
      <c r="R633" s="23" t="s">
        <v>3861</v>
      </c>
      <c r="S633" s="23">
        <v>46182</v>
      </c>
      <c r="T633">
        <v>355.73</v>
      </c>
      <c r="U633">
        <v>131278</v>
      </c>
      <c r="V633">
        <v>0</v>
      </c>
      <c r="W633">
        <v>131278</v>
      </c>
    </row>
    <row r="634" spans="1:23" x14ac:dyDescent="0.25">
      <c r="A634">
        <v>15741</v>
      </c>
      <c r="B634">
        <v>456507841</v>
      </c>
      <c r="C634" t="s">
        <v>3862</v>
      </c>
      <c r="D634" s="8" t="s">
        <v>3863</v>
      </c>
      <c r="E634" t="s">
        <v>644</v>
      </c>
      <c r="G634" t="s">
        <v>62</v>
      </c>
      <c r="H634" t="s">
        <v>63</v>
      </c>
      <c r="I634" t="s">
        <v>30</v>
      </c>
      <c r="J634" t="s">
        <v>64</v>
      </c>
      <c r="K634" t="s">
        <v>27</v>
      </c>
      <c r="L634" t="s">
        <v>65</v>
      </c>
      <c r="M634" t="s">
        <v>3864</v>
      </c>
      <c r="N634" t="s">
        <v>646</v>
      </c>
      <c r="O634" t="s">
        <v>83</v>
      </c>
      <c r="P634" t="s">
        <v>3865</v>
      </c>
      <c r="Q634" t="s">
        <v>386</v>
      </c>
      <c r="R634" s="23" t="s">
        <v>519</v>
      </c>
      <c r="S634" s="23">
        <v>46182</v>
      </c>
      <c r="T634">
        <v>50</v>
      </c>
      <c r="U634">
        <v>38279</v>
      </c>
      <c r="V634">
        <v>3857.88</v>
      </c>
      <c r="W634">
        <v>42136.88</v>
      </c>
    </row>
    <row r="635" spans="1:23" x14ac:dyDescent="0.25">
      <c r="A635">
        <v>15741</v>
      </c>
      <c r="B635">
        <v>456493519</v>
      </c>
      <c r="C635" t="s">
        <v>3866</v>
      </c>
      <c r="D635" s="8" t="s">
        <v>3867</v>
      </c>
      <c r="E635" t="s">
        <v>644</v>
      </c>
      <c r="G635" t="s">
        <v>62</v>
      </c>
      <c r="H635" t="s">
        <v>63</v>
      </c>
      <c r="I635" t="s">
        <v>30</v>
      </c>
      <c r="J635" t="s">
        <v>64</v>
      </c>
      <c r="K635" t="s">
        <v>196</v>
      </c>
      <c r="L635" t="s">
        <v>217</v>
      </c>
      <c r="M635" t="s">
        <v>3868</v>
      </c>
      <c r="N635" t="s">
        <v>646</v>
      </c>
      <c r="O635" t="s">
        <v>83</v>
      </c>
      <c r="P635" t="s">
        <v>3869</v>
      </c>
      <c r="Q635" t="s">
        <v>109</v>
      </c>
      <c r="R635" s="23" t="s">
        <v>306</v>
      </c>
      <c r="S635" s="23">
        <v>46182</v>
      </c>
      <c r="T635">
        <v>38.880000000000003</v>
      </c>
      <c r="U635">
        <v>30703</v>
      </c>
      <c r="V635">
        <v>1919.88</v>
      </c>
      <c r="W635">
        <v>32622.880000000001</v>
      </c>
    </row>
    <row r="636" spans="1:23" x14ac:dyDescent="0.25">
      <c r="A636">
        <v>15741</v>
      </c>
      <c r="B636">
        <v>456494603</v>
      </c>
      <c r="C636" t="s">
        <v>3870</v>
      </c>
      <c r="D636" s="8" t="s">
        <v>3871</v>
      </c>
      <c r="E636" t="s">
        <v>644</v>
      </c>
      <c r="G636" t="s">
        <v>62</v>
      </c>
      <c r="H636" t="s">
        <v>63</v>
      </c>
      <c r="I636" t="s">
        <v>30</v>
      </c>
      <c r="J636" t="s">
        <v>64</v>
      </c>
      <c r="K636" t="s">
        <v>27</v>
      </c>
      <c r="L636" t="s">
        <v>65</v>
      </c>
      <c r="M636" t="s">
        <v>3872</v>
      </c>
      <c r="N636" t="s">
        <v>646</v>
      </c>
      <c r="O636" t="s">
        <v>83</v>
      </c>
      <c r="P636" t="s">
        <v>3873</v>
      </c>
      <c r="Q636" t="s">
        <v>128</v>
      </c>
      <c r="R636" s="23" t="s">
        <v>477</v>
      </c>
      <c r="S636" s="23">
        <v>46182</v>
      </c>
      <c r="T636">
        <v>10.62</v>
      </c>
      <c r="U636">
        <v>12420</v>
      </c>
      <c r="V636">
        <v>779.94</v>
      </c>
      <c r="W636">
        <v>13199.94</v>
      </c>
    </row>
    <row r="637" spans="1:23" x14ac:dyDescent="0.25">
      <c r="A637">
        <v>15741</v>
      </c>
      <c r="B637">
        <v>456439272</v>
      </c>
      <c r="C637" t="s">
        <v>3874</v>
      </c>
      <c r="D637" s="8" t="s">
        <v>3875</v>
      </c>
      <c r="E637" t="s">
        <v>644</v>
      </c>
      <c r="G637" t="s">
        <v>62</v>
      </c>
      <c r="H637" t="s">
        <v>63</v>
      </c>
      <c r="I637" t="s">
        <v>30</v>
      </c>
      <c r="J637" t="s">
        <v>64</v>
      </c>
      <c r="K637" t="s">
        <v>196</v>
      </c>
      <c r="L637" t="s">
        <v>217</v>
      </c>
      <c r="M637" t="s">
        <v>3876</v>
      </c>
      <c r="N637" t="s">
        <v>646</v>
      </c>
      <c r="O637" t="s">
        <v>83</v>
      </c>
      <c r="P637" t="s">
        <v>3877</v>
      </c>
      <c r="Q637" t="s">
        <v>148</v>
      </c>
      <c r="R637" s="23" t="s">
        <v>355</v>
      </c>
      <c r="S637" s="23">
        <v>46181</v>
      </c>
      <c r="T637">
        <v>48.04</v>
      </c>
      <c r="U637">
        <v>21527</v>
      </c>
      <c r="V637">
        <v>1799.88</v>
      </c>
      <c r="W637">
        <v>23326.880000000001</v>
      </c>
    </row>
    <row r="638" spans="1:23" x14ac:dyDescent="0.25">
      <c r="A638">
        <v>15741</v>
      </c>
      <c r="B638">
        <v>456428422</v>
      </c>
      <c r="C638" t="s">
        <v>3878</v>
      </c>
      <c r="D638" s="8" t="s">
        <v>3879</v>
      </c>
      <c r="E638" t="s">
        <v>644</v>
      </c>
      <c r="G638" t="s">
        <v>62</v>
      </c>
      <c r="H638" t="s">
        <v>63</v>
      </c>
      <c r="I638" t="s">
        <v>30</v>
      </c>
      <c r="J638" t="s">
        <v>64</v>
      </c>
      <c r="K638" t="s">
        <v>27</v>
      </c>
      <c r="L638" t="s">
        <v>65</v>
      </c>
      <c r="M638" t="s">
        <v>3880</v>
      </c>
      <c r="N638" t="s">
        <v>646</v>
      </c>
      <c r="O638" t="s">
        <v>83</v>
      </c>
      <c r="P638" t="s">
        <v>3881</v>
      </c>
      <c r="Q638" t="s">
        <v>57</v>
      </c>
      <c r="R638" s="23" t="s">
        <v>511</v>
      </c>
      <c r="S638" s="23">
        <v>46181</v>
      </c>
      <c r="T638">
        <v>24.24</v>
      </c>
      <c r="U638">
        <v>15625</v>
      </c>
      <c r="V638">
        <v>0</v>
      </c>
      <c r="W638">
        <v>15625</v>
      </c>
    </row>
    <row r="639" spans="1:23" x14ac:dyDescent="0.25">
      <c r="A639">
        <v>15741</v>
      </c>
      <c r="B639">
        <v>456424244</v>
      </c>
      <c r="C639" t="s">
        <v>3882</v>
      </c>
      <c r="D639" s="8" t="s">
        <v>3883</v>
      </c>
      <c r="E639" t="s">
        <v>644</v>
      </c>
      <c r="G639" t="s">
        <v>62</v>
      </c>
      <c r="H639" t="s">
        <v>63</v>
      </c>
      <c r="I639" t="s">
        <v>30</v>
      </c>
      <c r="J639" t="s">
        <v>64</v>
      </c>
      <c r="K639" t="s">
        <v>27</v>
      </c>
      <c r="L639" t="s">
        <v>65</v>
      </c>
      <c r="M639" t="s">
        <v>3884</v>
      </c>
      <c r="N639" t="s">
        <v>646</v>
      </c>
      <c r="O639" t="s">
        <v>83</v>
      </c>
      <c r="P639" t="s">
        <v>3885</v>
      </c>
      <c r="Q639" t="s">
        <v>120</v>
      </c>
      <c r="R639" s="23" t="s">
        <v>911</v>
      </c>
      <c r="S639" s="23">
        <v>46181</v>
      </c>
      <c r="T639">
        <v>24.86</v>
      </c>
      <c r="U639">
        <v>20646</v>
      </c>
      <c r="V639">
        <v>779.94</v>
      </c>
      <c r="W639">
        <v>21425.94</v>
      </c>
    </row>
    <row r="640" spans="1:23" x14ac:dyDescent="0.25">
      <c r="A640">
        <v>15741</v>
      </c>
      <c r="B640">
        <v>456424224</v>
      </c>
      <c r="C640" t="s">
        <v>3886</v>
      </c>
      <c r="D640" s="8" t="s">
        <v>3887</v>
      </c>
      <c r="E640" t="s">
        <v>644</v>
      </c>
      <c r="G640" t="s">
        <v>62</v>
      </c>
      <c r="H640" t="s">
        <v>63</v>
      </c>
      <c r="I640" t="s">
        <v>30</v>
      </c>
      <c r="J640" t="s">
        <v>64</v>
      </c>
      <c r="K640" t="s">
        <v>27</v>
      </c>
      <c r="L640" t="s">
        <v>65</v>
      </c>
      <c r="M640" t="s">
        <v>3888</v>
      </c>
      <c r="N640" t="s">
        <v>646</v>
      </c>
      <c r="O640" t="s">
        <v>83</v>
      </c>
      <c r="P640" t="s">
        <v>3889</v>
      </c>
      <c r="Q640" t="s">
        <v>152</v>
      </c>
      <c r="R640" s="23" t="s">
        <v>911</v>
      </c>
      <c r="S640" s="23">
        <v>46181</v>
      </c>
      <c r="T640">
        <v>12.55</v>
      </c>
      <c r="U640">
        <v>21670</v>
      </c>
      <c r="V640">
        <v>839.94</v>
      </c>
      <c r="W640">
        <v>22509.94</v>
      </c>
    </row>
    <row r="641" spans="1:23" x14ac:dyDescent="0.25">
      <c r="A641">
        <v>15741</v>
      </c>
      <c r="B641">
        <v>456424230</v>
      </c>
      <c r="C641" t="s">
        <v>3890</v>
      </c>
      <c r="D641" s="8" t="s">
        <v>3891</v>
      </c>
      <c r="E641" t="s">
        <v>644</v>
      </c>
      <c r="G641" t="s">
        <v>62</v>
      </c>
      <c r="H641" t="s">
        <v>63</v>
      </c>
      <c r="I641" t="s">
        <v>30</v>
      </c>
      <c r="J641" t="s">
        <v>64</v>
      </c>
      <c r="K641" t="s">
        <v>27</v>
      </c>
      <c r="L641" t="s">
        <v>65</v>
      </c>
      <c r="M641" t="s">
        <v>3892</v>
      </c>
      <c r="N641" t="s">
        <v>646</v>
      </c>
      <c r="O641" t="s">
        <v>83</v>
      </c>
      <c r="P641" t="s">
        <v>3893</v>
      </c>
      <c r="Q641" t="s">
        <v>105</v>
      </c>
      <c r="R641" s="23" t="s">
        <v>911</v>
      </c>
      <c r="S641" s="23">
        <v>46181</v>
      </c>
      <c r="T641">
        <v>23.39</v>
      </c>
      <c r="U641">
        <v>18218</v>
      </c>
      <c r="V641">
        <v>779.94</v>
      </c>
      <c r="W641">
        <v>18997.939999999999</v>
      </c>
    </row>
    <row r="642" spans="1:23" x14ac:dyDescent="0.25">
      <c r="A642">
        <v>15741</v>
      </c>
      <c r="B642">
        <v>456424238</v>
      </c>
      <c r="C642" t="s">
        <v>3894</v>
      </c>
      <c r="D642" s="8" t="s">
        <v>3895</v>
      </c>
      <c r="E642" t="s">
        <v>644</v>
      </c>
      <c r="G642" t="s">
        <v>62</v>
      </c>
      <c r="H642" t="s">
        <v>63</v>
      </c>
      <c r="I642" t="s">
        <v>30</v>
      </c>
      <c r="J642" t="s">
        <v>64</v>
      </c>
      <c r="K642" t="s">
        <v>27</v>
      </c>
      <c r="L642" t="s">
        <v>65</v>
      </c>
      <c r="M642" t="s">
        <v>3896</v>
      </c>
      <c r="N642" t="s">
        <v>646</v>
      </c>
      <c r="O642" t="s">
        <v>83</v>
      </c>
      <c r="P642" t="s">
        <v>3897</v>
      </c>
      <c r="Q642" t="s">
        <v>68</v>
      </c>
      <c r="R642" s="23" t="s">
        <v>911</v>
      </c>
      <c r="S642" s="23">
        <v>46181</v>
      </c>
      <c r="T642">
        <v>23.38</v>
      </c>
      <c r="U642">
        <v>9721</v>
      </c>
      <c r="V642">
        <v>779.94</v>
      </c>
      <c r="W642">
        <v>10500.94</v>
      </c>
    </row>
    <row r="643" spans="1:23" x14ac:dyDescent="0.25">
      <c r="A643">
        <v>15741</v>
      </c>
      <c r="B643">
        <v>456424235</v>
      </c>
      <c r="C643" t="s">
        <v>3898</v>
      </c>
      <c r="D643" s="8" t="s">
        <v>3899</v>
      </c>
      <c r="E643" t="s">
        <v>644</v>
      </c>
      <c r="G643" t="s">
        <v>62</v>
      </c>
      <c r="H643" t="s">
        <v>63</v>
      </c>
      <c r="I643" t="s">
        <v>30</v>
      </c>
      <c r="J643" t="s">
        <v>64</v>
      </c>
      <c r="K643" t="s">
        <v>27</v>
      </c>
      <c r="L643" t="s">
        <v>65</v>
      </c>
      <c r="M643" t="s">
        <v>3900</v>
      </c>
      <c r="N643" t="s">
        <v>646</v>
      </c>
      <c r="O643" t="s">
        <v>83</v>
      </c>
      <c r="P643" t="s">
        <v>3901</v>
      </c>
      <c r="Q643" t="s">
        <v>109</v>
      </c>
      <c r="R643" s="23" t="s">
        <v>911</v>
      </c>
      <c r="S643" s="23">
        <v>46181</v>
      </c>
      <c r="T643">
        <v>22.95</v>
      </c>
      <c r="U643">
        <v>18255</v>
      </c>
      <c r="V643">
        <v>1739.94</v>
      </c>
      <c r="W643">
        <v>19994.939999999999</v>
      </c>
    </row>
    <row r="644" spans="1:23" x14ac:dyDescent="0.25">
      <c r="A644">
        <v>15741</v>
      </c>
      <c r="B644">
        <v>456424233</v>
      </c>
      <c r="C644" t="s">
        <v>3902</v>
      </c>
      <c r="D644" s="8" t="s">
        <v>3903</v>
      </c>
      <c r="E644" t="s">
        <v>644</v>
      </c>
      <c r="G644" t="s">
        <v>62</v>
      </c>
      <c r="H644" t="s">
        <v>63</v>
      </c>
      <c r="I644" t="s">
        <v>30</v>
      </c>
      <c r="J644" t="s">
        <v>64</v>
      </c>
      <c r="K644" t="s">
        <v>27</v>
      </c>
      <c r="L644" t="s">
        <v>65</v>
      </c>
      <c r="M644" t="s">
        <v>3904</v>
      </c>
      <c r="N644" t="s">
        <v>646</v>
      </c>
      <c r="O644" t="s">
        <v>83</v>
      </c>
      <c r="P644" t="s">
        <v>3905</v>
      </c>
      <c r="Q644" t="s">
        <v>51</v>
      </c>
      <c r="R644" s="23" t="s">
        <v>911</v>
      </c>
      <c r="S644" s="23">
        <v>46181</v>
      </c>
      <c r="T644">
        <v>23.74</v>
      </c>
      <c r="U644">
        <v>9721</v>
      </c>
      <c r="V644">
        <v>779.94</v>
      </c>
      <c r="W644">
        <v>10500.94</v>
      </c>
    </row>
    <row r="645" spans="1:23" x14ac:dyDescent="0.25">
      <c r="A645">
        <v>15741</v>
      </c>
      <c r="B645">
        <v>456424223</v>
      </c>
      <c r="C645" t="s">
        <v>3906</v>
      </c>
      <c r="D645" s="8" t="s">
        <v>3907</v>
      </c>
      <c r="E645" t="s">
        <v>644</v>
      </c>
      <c r="G645" t="s">
        <v>62</v>
      </c>
      <c r="H645" t="s">
        <v>63</v>
      </c>
      <c r="I645" t="s">
        <v>30</v>
      </c>
      <c r="J645" t="s">
        <v>64</v>
      </c>
      <c r="K645" t="s">
        <v>27</v>
      </c>
      <c r="L645" t="s">
        <v>65</v>
      </c>
      <c r="M645" t="s">
        <v>3908</v>
      </c>
      <c r="N645" t="s">
        <v>646</v>
      </c>
      <c r="O645" t="s">
        <v>83</v>
      </c>
      <c r="P645" t="s">
        <v>3909</v>
      </c>
      <c r="Q645" t="s">
        <v>102</v>
      </c>
      <c r="R645" s="23" t="s">
        <v>911</v>
      </c>
      <c r="S645" s="23">
        <v>46181</v>
      </c>
      <c r="T645">
        <v>23.01</v>
      </c>
      <c r="U645">
        <v>9721</v>
      </c>
      <c r="V645">
        <v>839.94</v>
      </c>
      <c r="W645">
        <v>10560.94</v>
      </c>
    </row>
    <row r="646" spans="1:23" x14ac:dyDescent="0.25">
      <c r="A646">
        <v>15741</v>
      </c>
      <c r="B646">
        <v>456424217</v>
      </c>
      <c r="C646" t="s">
        <v>3910</v>
      </c>
      <c r="D646" s="8" t="s">
        <v>3911</v>
      </c>
      <c r="E646" t="s">
        <v>644</v>
      </c>
      <c r="G646" t="s">
        <v>62</v>
      </c>
      <c r="H646" t="s">
        <v>63</v>
      </c>
      <c r="I646" t="s">
        <v>30</v>
      </c>
      <c r="J646" t="s">
        <v>64</v>
      </c>
      <c r="K646" t="s">
        <v>27</v>
      </c>
      <c r="L646" t="s">
        <v>65</v>
      </c>
      <c r="M646" t="s">
        <v>3912</v>
      </c>
      <c r="N646" t="s">
        <v>646</v>
      </c>
      <c r="O646" t="s">
        <v>83</v>
      </c>
      <c r="P646" t="s">
        <v>3913</v>
      </c>
      <c r="Q646" t="s">
        <v>47</v>
      </c>
      <c r="R646" s="23" t="s">
        <v>911</v>
      </c>
      <c r="S646" s="23">
        <v>46181</v>
      </c>
      <c r="T646">
        <v>23.04</v>
      </c>
      <c r="U646">
        <v>9721</v>
      </c>
      <c r="V646">
        <v>899.94</v>
      </c>
      <c r="W646">
        <v>10620.94</v>
      </c>
    </row>
    <row r="647" spans="1:23" x14ac:dyDescent="0.25">
      <c r="A647">
        <v>15741</v>
      </c>
      <c r="B647">
        <v>456424218</v>
      </c>
      <c r="C647" t="s">
        <v>3914</v>
      </c>
      <c r="D647" s="8" t="s">
        <v>3915</v>
      </c>
      <c r="E647" t="s">
        <v>644</v>
      </c>
      <c r="G647" t="s">
        <v>62</v>
      </c>
      <c r="H647" t="s">
        <v>63</v>
      </c>
      <c r="I647" t="s">
        <v>30</v>
      </c>
      <c r="J647" t="s">
        <v>64</v>
      </c>
      <c r="K647" t="s">
        <v>27</v>
      </c>
      <c r="L647" t="s">
        <v>65</v>
      </c>
      <c r="M647" t="s">
        <v>3916</v>
      </c>
      <c r="N647" t="s">
        <v>646</v>
      </c>
      <c r="O647" t="s">
        <v>83</v>
      </c>
      <c r="P647" t="s">
        <v>3917</v>
      </c>
      <c r="Q647" t="s">
        <v>45</v>
      </c>
      <c r="R647" s="23" t="s">
        <v>911</v>
      </c>
      <c r="S647" s="23">
        <v>46181</v>
      </c>
      <c r="T647">
        <v>24.8</v>
      </c>
      <c r="U647">
        <v>10193</v>
      </c>
      <c r="V647">
        <v>899.94</v>
      </c>
      <c r="W647">
        <v>11092.94</v>
      </c>
    </row>
    <row r="648" spans="1:23" x14ac:dyDescent="0.25">
      <c r="A648">
        <v>15741</v>
      </c>
      <c r="B648">
        <v>456424214</v>
      </c>
      <c r="C648" t="s">
        <v>3918</v>
      </c>
      <c r="D648" s="8" t="s">
        <v>3919</v>
      </c>
      <c r="E648" t="s">
        <v>644</v>
      </c>
      <c r="G648" t="s">
        <v>62</v>
      </c>
      <c r="H648" t="s">
        <v>63</v>
      </c>
      <c r="I648" t="s">
        <v>30</v>
      </c>
      <c r="J648" t="s">
        <v>64</v>
      </c>
      <c r="K648" t="s">
        <v>27</v>
      </c>
      <c r="L648" t="s">
        <v>65</v>
      </c>
      <c r="M648" t="s">
        <v>3920</v>
      </c>
      <c r="N648" t="s">
        <v>646</v>
      </c>
      <c r="O648" t="s">
        <v>83</v>
      </c>
      <c r="P648" t="s">
        <v>3921</v>
      </c>
      <c r="Q648" t="s">
        <v>81</v>
      </c>
      <c r="R648" s="23" t="s">
        <v>911</v>
      </c>
      <c r="S648" s="23">
        <v>46181</v>
      </c>
      <c r="T648">
        <v>24.79</v>
      </c>
      <c r="U648">
        <v>10193</v>
      </c>
      <c r="V648">
        <v>599.94000000000005</v>
      </c>
      <c r="W648">
        <v>10792.94</v>
      </c>
    </row>
    <row r="649" spans="1:23" x14ac:dyDescent="0.25">
      <c r="A649">
        <v>15741</v>
      </c>
      <c r="B649">
        <v>456424207</v>
      </c>
      <c r="C649" t="s">
        <v>3922</v>
      </c>
      <c r="D649" s="8" t="s">
        <v>3923</v>
      </c>
      <c r="E649" t="s">
        <v>644</v>
      </c>
      <c r="G649" t="s">
        <v>62</v>
      </c>
      <c r="H649" t="s">
        <v>63</v>
      </c>
      <c r="I649" t="s">
        <v>30</v>
      </c>
      <c r="J649" t="s">
        <v>64</v>
      </c>
      <c r="K649" t="s">
        <v>27</v>
      </c>
      <c r="L649" t="s">
        <v>65</v>
      </c>
      <c r="M649" t="s">
        <v>3924</v>
      </c>
      <c r="N649" t="s">
        <v>646</v>
      </c>
      <c r="O649" t="s">
        <v>83</v>
      </c>
      <c r="P649" t="s">
        <v>3925</v>
      </c>
      <c r="Q649" t="s">
        <v>143</v>
      </c>
      <c r="R649" s="23" t="s">
        <v>911</v>
      </c>
      <c r="S649" s="23">
        <v>46181</v>
      </c>
      <c r="T649">
        <v>24.32</v>
      </c>
      <c r="U649">
        <v>10193</v>
      </c>
      <c r="V649">
        <v>779.94</v>
      </c>
      <c r="W649">
        <v>10972.94</v>
      </c>
    </row>
    <row r="650" spans="1:23" x14ac:dyDescent="0.25">
      <c r="A650">
        <v>15741</v>
      </c>
      <c r="B650">
        <v>456424213</v>
      </c>
      <c r="C650" t="s">
        <v>3926</v>
      </c>
      <c r="D650" s="8" t="s">
        <v>3927</v>
      </c>
      <c r="E650" t="s">
        <v>644</v>
      </c>
      <c r="G650" t="s">
        <v>62</v>
      </c>
      <c r="H650" t="s">
        <v>63</v>
      </c>
      <c r="I650" t="s">
        <v>30</v>
      </c>
      <c r="J650" t="s">
        <v>64</v>
      </c>
      <c r="K650" t="s">
        <v>27</v>
      </c>
      <c r="L650" t="s">
        <v>65</v>
      </c>
      <c r="M650" t="s">
        <v>3928</v>
      </c>
      <c r="N650" t="s">
        <v>646</v>
      </c>
      <c r="O650" t="s">
        <v>83</v>
      </c>
      <c r="P650" t="s">
        <v>3929</v>
      </c>
      <c r="Q650" t="s">
        <v>120</v>
      </c>
      <c r="R650" s="23" t="s">
        <v>911</v>
      </c>
      <c r="S650" s="23">
        <v>46181</v>
      </c>
      <c r="T650">
        <v>22.97</v>
      </c>
      <c r="U650">
        <v>19064</v>
      </c>
      <c r="V650">
        <v>0</v>
      </c>
      <c r="W650">
        <v>19064</v>
      </c>
    </row>
    <row r="651" spans="1:23" x14ac:dyDescent="0.25">
      <c r="A651">
        <v>15741</v>
      </c>
      <c r="B651">
        <v>456424203</v>
      </c>
      <c r="C651" t="s">
        <v>3930</v>
      </c>
      <c r="D651" s="8" t="s">
        <v>3931</v>
      </c>
      <c r="E651" t="s">
        <v>644</v>
      </c>
      <c r="G651" t="s">
        <v>62</v>
      </c>
      <c r="H651" t="s">
        <v>63</v>
      </c>
      <c r="I651" t="s">
        <v>30</v>
      </c>
      <c r="J651" t="s">
        <v>64</v>
      </c>
      <c r="K651" t="s">
        <v>27</v>
      </c>
      <c r="L651" t="s">
        <v>65</v>
      </c>
      <c r="M651" t="s">
        <v>3932</v>
      </c>
      <c r="N651" t="s">
        <v>646</v>
      </c>
      <c r="O651" t="s">
        <v>83</v>
      </c>
      <c r="P651" t="s">
        <v>3933</v>
      </c>
      <c r="Q651" t="s">
        <v>107</v>
      </c>
      <c r="R651" s="23" t="s">
        <v>911</v>
      </c>
      <c r="S651" s="23">
        <v>46181</v>
      </c>
      <c r="T651">
        <v>24.62</v>
      </c>
      <c r="U651">
        <v>16806</v>
      </c>
      <c r="V651">
        <v>1079.94</v>
      </c>
      <c r="W651">
        <v>17885.939999999999</v>
      </c>
    </row>
    <row r="652" spans="1:23" x14ac:dyDescent="0.25">
      <c r="A652">
        <v>15741</v>
      </c>
      <c r="B652">
        <v>456424196</v>
      </c>
      <c r="C652" t="s">
        <v>3934</v>
      </c>
      <c r="D652" s="8" t="s">
        <v>3935</v>
      </c>
      <c r="E652" t="s">
        <v>644</v>
      </c>
      <c r="G652" t="s">
        <v>62</v>
      </c>
      <c r="H652" t="s">
        <v>63</v>
      </c>
      <c r="I652" t="s">
        <v>30</v>
      </c>
      <c r="J652" t="s">
        <v>64</v>
      </c>
      <c r="K652" t="s">
        <v>27</v>
      </c>
      <c r="L652" t="s">
        <v>65</v>
      </c>
      <c r="M652" t="s">
        <v>3936</v>
      </c>
      <c r="N652" t="s">
        <v>646</v>
      </c>
      <c r="O652" t="s">
        <v>83</v>
      </c>
      <c r="P652" t="s">
        <v>3937</v>
      </c>
      <c r="Q652" t="s">
        <v>202</v>
      </c>
      <c r="R652" s="23" t="s">
        <v>911</v>
      </c>
      <c r="S652" s="23">
        <v>46181</v>
      </c>
      <c r="T652">
        <v>24.52</v>
      </c>
      <c r="U652">
        <v>16806</v>
      </c>
      <c r="V652">
        <v>839.94</v>
      </c>
      <c r="W652">
        <v>17645.939999999999</v>
      </c>
    </row>
    <row r="653" spans="1:23" x14ac:dyDescent="0.25">
      <c r="A653">
        <v>15741</v>
      </c>
      <c r="B653">
        <v>456424201</v>
      </c>
      <c r="C653" t="s">
        <v>3938</v>
      </c>
      <c r="D653" s="8" t="s">
        <v>3939</v>
      </c>
      <c r="E653" t="s">
        <v>644</v>
      </c>
      <c r="G653" t="s">
        <v>62</v>
      </c>
      <c r="H653" t="s">
        <v>63</v>
      </c>
      <c r="I653" t="s">
        <v>30</v>
      </c>
      <c r="J653" t="s">
        <v>64</v>
      </c>
      <c r="K653" t="s">
        <v>27</v>
      </c>
      <c r="L653" t="s">
        <v>65</v>
      </c>
      <c r="M653" t="s">
        <v>3940</v>
      </c>
      <c r="N653" t="s">
        <v>646</v>
      </c>
      <c r="O653" t="s">
        <v>83</v>
      </c>
      <c r="P653" t="s">
        <v>3941</v>
      </c>
      <c r="Q653" t="s">
        <v>57</v>
      </c>
      <c r="R653" s="23" t="s">
        <v>911</v>
      </c>
      <c r="S653" s="23">
        <v>46181</v>
      </c>
      <c r="T653">
        <v>24.1</v>
      </c>
      <c r="U653">
        <v>15625</v>
      </c>
      <c r="V653">
        <v>779.94</v>
      </c>
      <c r="W653">
        <v>16404.939999999999</v>
      </c>
    </row>
    <row r="654" spans="1:23" x14ac:dyDescent="0.25">
      <c r="A654">
        <v>15741</v>
      </c>
      <c r="B654">
        <v>456424199</v>
      </c>
      <c r="C654" t="s">
        <v>3942</v>
      </c>
      <c r="D654" s="8" t="s">
        <v>3943</v>
      </c>
      <c r="E654" t="s">
        <v>644</v>
      </c>
      <c r="G654" t="s">
        <v>62</v>
      </c>
      <c r="H654" t="s">
        <v>63</v>
      </c>
      <c r="I654" t="s">
        <v>30</v>
      </c>
      <c r="J654" t="s">
        <v>64</v>
      </c>
      <c r="K654" t="s">
        <v>27</v>
      </c>
      <c r="L654" t="s">
        <v>65</v>
      </c>
      <c r="M654" t="s">
        <v>3944</v>
      </c>
      <c r="N654" t="s">
        <v>646</v>
      </c>
      <c r="O654" t="s">
        <v>83</v>
      </c>
      <c r="P654" t="s">
        <v>3945</v>
      </c>
      <c r="Q654" t="s">
        <v>50</v>
      </c>
      <c r="R654" s="23" t="s">
        <v>911</v>
      </c>
      <c r="S654" s="23">
        <v>46181</v>
      </c>
      <c r="T654">
        <v>6.61</v>
      </c>
      <c r="U654">
        <v>5465</v>
      </c>
      <c r="V654">
        <v>0</v>
      </c>
      <c r="W654">
        <v>5465</v>
      </c>
    </row>
    <row r="655" spans="1:23" x14ac:dyDescent="0.25">
      <c r="A655">
        <v>15741</v>
      </c>
      <c r="B655">
        <v>456327015</v>
      </c>
      <c r="C655" t="s">
        <v>3946</v>
      </c>
      <c r="D655" s="8" t="s">
        <v>3947</v>
      </c>
      <c r="E655" t="s">
        <v>644</v>
      </c>
      <c r="G655" t="s">
        <v>62</v>
      </c>
      <c r="H655" t="s">
        <v>63</v>
      </c>
      <c r="I655" t="s">
        <v>30</v>
      </c>
      <c r="J655" t="s">
        <v>64</v>
      </c>
      <c r="K655" t="s">
        <v>27</v>
      </c>
      <c r="L655" t="s">
        <v>65</v>
      </c>
      <c r="M655" t="s">
        <v>3948</v>
      </c>
      <c r="N655" t="s">
        <v>646</v>
      </c>
      <c r="O655" t="s">
        <v>83</v>
      </c>
      <c r="P655" t="s">
        <v>3949</v>
      </c>
      <c r="Q655" t="s">
        <v>48</v>
      </c>
      <c r="R655" s="23" t="s">
        <v>3950</v>
      </c>
      <c r="S655" s="23">
        <v>46178</v>
      </c>
      <c r="T655">
        <v>23.42</v>
      </c>
      <c r="U655">
        <v>9721</v>
      </c>
      <c r="V655">
        <v>0</v>
      </c>
      <c r="W655">
        <v>9721</v>
      </c>
    </row>
    <row r="656" spans="1:23" x14ac:dyDescent="0.25">
      <c r="A656">
        <v>15741</v>
      </c>
      <c r="B656">
        <v>456409304</v>
      </c>
      <c r="C656" t="s">
        <v>3951</v>
      </c>
      <c r="D656" s="8" t="s">
        <v>3952</v>
      </c>
      <c r="E656" t="s">
        <v>644</v>
      </c>
      <c r="G656" t="s">
        <v>62</v>
      </c>
      <c r="H656" t="s">
        <v>63</v>
      </c>
      <c r="I656" t="s">
        <v>30</v>
      </c>
      <c r="J656" t="s">
        <v>64</v>
      </c>
      <c r="K656" t="s">
        <v>27</v>
      </c>
      <c r="L656" t="s">
        <v>65</v>
      </c>
      <c r="M656" t="s">
        <v>3953</v>
      </c>
      <c r="N656" t="s">
        <v>646</v>
      </c>
      <c r="O656" t="s">
        <v>83</v>
      </c>
      <c r="P656" t="s">
        <v>3954</v>
      </c>
      <c r="Q656" t="s">
        <v>49</v>
      </c>
      <c r="R656" s="23" t="s">
        <v>3955</v>
      </c>
      <c r="S656" s="23">
        <v>46180</v>
      </c>
      <c r="T656">
        <v>23.65</v>
      </c>
      <c r="U656">
        <v>9721</v>
      </c>
      <c r="V656">
        <v>539.94000000000005</v>
      </c>
      <c r="W656">
        <v>10260.94</v>
      </c>
    </row>
    <row r="657" spans="1:23" hidden="1" x14ac:dyDescent="0.25">
      <c r="A657">
        <v>15741</v>
      </c>
      <c r="B657">
        <v>456274030</v>
      </c>
      <c r="C657" t="s">
        <v>3956</v>
      </c>
      <c r="D657" s="8" t="s">
        <v>3957</v>
      </c>
      <c r="E657" t="s">
        <v>644</v>
      </c>
      <c r="G657" t="s">
        <v>62</v>
      </c>
      <c r="H657" t="s">
        <v>63</v>
      </c>
      <c r="I657" t="s">
        <v>30</v>
      </c>
      <c r="J657" t="s">
        <v>64</v>
      </c>
      <c r="K657" t="s">
        <v>27</v>
      </c>
      <c r="L657" t="s">
        <v>65</v>
      </c>
      <c r="M657" t="s">
        <v>3958</v>
      </c>
      <c r="N657" t="s">
        <v>646</v>
      </c>
      <c r="O657" t="s">
        <v>83</v>
      </c>
      <c r="P657" t="s">
        <v>3959</v>
      </c>
      <c r="Q657" t="s">
        <v>200</v>
      </c>
      <c r="R657" s="23" t="s">
        <v>404</v>
      </c>
      <c r="S657" s="23">
        <v>46177</v>
      </c>
      <c r="T657">
        <v>24.15</v>
      </c>
      <c r="U657">
        <v>16806</v>
      </c>
      <c r="V657">
        <v>0</v>
      </c>
      <c r="W657">
        <v>16806</v>
      </c>
    </row>
    <row r="658" spans="1:23" hidden="1" x14ac:dyDescent="0.25">
      <c r="A658">
        <v>15741</v>
      </c>
      <c r="B658">
        <v>456120875</v>
      </c>
      <c r="C658" t="s">
        <v>3960</v>
      </c>
      <c r="D658" s="8" t="s">
        <v>3961</v>
      </c>
      <c r="E658" t="s">
        <v>644</v>
      </c>
      <c r="G658" t="s">
        <v>62</v>
      </c>
      <c r="H658" t="s">
        <v>63</v>
      </c>
      <c r="I658" t="s">
        <v>30</v>
      </c>
      <c r="J658" t="s">
        <v>64</v>
      </c>
      <c r="K658" t="s">
        <v>27</v>
      </c>
      <c r="L658" t="s">
        <v>65</v>
      </c>
      <c r="M658" t="s">
        <v>3962</v>
      </c>
      <c r="N658" t="s">
        <v>646</v>
      </c>
      <c r="O658" t="s">
        <v>83</v>
      </c>
      <c r="P658" t="s">
        <v>3963</v>
      </c>
      <c r="Q658" t="s">
        <v>48</v>
      </c>
      <c r="R658" s="23" t="s">
        <v>319</v>
      </c>
      <c r="S658" s="23">
        <v>46176</v>
      </c>
      <c r="T658">
        <v>24.48</v>
      </c>
      <c r="U658">
        <v>10193</v>
      </c>
      <c r="V658">
        <v>0</v>
      </c>
      <c r="W658">
        <v>10193</v>
      </c>
    </row>
    <row r="659" spans="1:23" x14ac:dyDescent="0.25">
      <c r="A659">
        <v>15741</v>
      </c>
      <c r="B659">
        <v>456428944</v>
      </c>
      <c r="C659" t="s">
        <v>581</v>
      </c>
      <c r="D659" s="8" t="s">
        <v>3964</v>
      </c>
      <c r="E659" t="s">
        <v>644</v>
      </c>
      <c r="G659" t="s">
        <v>62</v>
      </c>
      <c r="H659" t="s">
        <v>63</v>
      </c>
      <c r="I659" t="s">
        <v>30</v>
      </c>
      <c r="J659" t="s">
        <v>64</v>
      </c>
      <c r="K659" t="s">
        <v>27</v>
      </c>
      <c r="L659" t="s">
        <v>65</v>
      </c>
      <c r="M659" t="s">
        <v>3965</v>
      </c>
      <c r="N659" t="s">
        <v>646</v>
      </c>
      <c r="O659" t="s">
        <v>83</v>
      </c>
      <c r="P659" t="s">
        <v>3966</v>
      </c>
      <c r="Q659" t="s">
        <v>262</v>
      </c>
      <c r="R659" s="23" t="s">
        <v>279</v>
      </c>
      <c r="S659" s="23">
        <v>46181</v>
      </c>
      <c r="T659">
        <v>32</v>
      </c>
      <c r="U659">
        <v>37886</v>
      </c>
      <c r="V659">
        <v>1363.15</v>
      </c>
      <c r="W659">
        <v>39249.15</v>
      </c>
    </row>
    <row r="660" spans="1:23" x14ac:dyDescent="0.25">
      <c r="A660">
        <v>15741</v>
      </c>
      <c r="B660">
        <v>456304565</v>
      </c>
      <c r="C660" t="s">
        <v>3967</v>
      </c>
      <c r="D660" s="8" t="s">
        <v>3968</v>
      </c>
      <c r="E660" t="s">
        <v>644</v>
      </c>
      <c r="G660" t="s">
        <v>62</v>
      </c>
      <c r="H660" t="s">
        <v>63</v>
      </c>
      <c r="I660" t="s">
        <v>30</v>
      </c>
      <c r="J660" t="s">
        <v>64</v>
      </c>
      <c r="K660" t="s">
        <v>27</v>
      </c>
      <c r="L660" t="s">
        <v>65</v>
      </c>
      <c r="M660" t="s">
        <v>3969</v>
      </c>
      <c r="N660" t="s">
        <v>646</v>
      </c>
      <c r="O660" t="s">
        <v>83</v>
      </c>
      <c r="P660" t="s">
        <v>3970</v>
      </c>
      <c r="Q660" t="s">
        <v>50</v>
      </c>
      <c r="R660" s="23" t="s">
        <v>3971</v>
      </c>
      <c r="S660" s="23">
        <v>46178</v>
      </c>
      <c r="T660">
        <v>23.75</v>
      </c>
      <c r="U660">
        <v>9721</v>
      </c>
      <c r="V660">
        <v>899.94</v>
      </c>
      <c r="W660">
        <v>10620.94</v>
      </c>
    </row>
    <row r="661" spans="1:23" x14ac:dyDescent="0.25">
      <c r="A661">
        <v>15741</v>
      </c>
      <c r="B661">
        <v>456302901</v>
      </c>
      <c r="C661" t="s">
        <v>3972</v>
      </c>
      <c r="D661" s="8" t="s">
        <v>3973</v>
      </c>
      <c r="E661" t="s">
        <v>644</v>
      </c>
      <c r="G661" t="s">
        <v>62</v>
      </c>
      <c r="H661" t="s">
        <v>63</v>
      </c>
      <c r="I661" t="s">
        <v>30</v>
      </c>
      <c r="J661" t="s">
        <v>64</v>
      </c>
      <c r="K661" t="s">
        <v>27</v>
      </c>
      <c r="L661" t="s">
        <v>65</v>
      </c>
      <c r="M661" t="s">
        <v>3974</v>
      </c>
      <c r="N661" t="s">
        <v>646</v>
      </c>
      <c r="O661" t="s">
        <v>83</v>
      </c>
      <c r="P661" t="s">
        <v>3975</v>
      </c>
      <c r="Q661" t="s">
        <v>111</v>
      </c>
      <c r="R661" s="23" t="s">
        <v>3976</v>
      </c>
      <c r="S661" s="23">
        <v>46178</v>
      </c>
      <c r="T661">
        <v>24.82</v>
      </c>
      <c r="U661">
        <v>16806</v>
      </c>
      <c r="V661">
        <v>899.94</v>
      </c>
      <c r="W661">
        <v>17705.939999999999</v>
      </c>
    </row>
    <row r="662" spans="1:23" x14ac:dyDescent="0.25">
      <c r="A662">
        <v>15741</v>
      </c>
      <c r="B662">
        <v>456302763</v>
      </c>
      <c r="C662" t="s">
        <v>3977</v>
      </c>
      <c r="D662" s="8" t="s">
        <v>3978</v>
      </c>
      <c r="E662" t="s">
        <v>644</v>
      </c>
      <c r="G662" t="s">
        <v>62</v>
      </c>
      <c r="H662" t="s">
        <v>63</v>
      </c>
      <c r="I662" t="s">
        <v>30</v>
      </c>
      <c r="J662" t="s">
        <v>64</v>
      </c>
      <c r="K662" t="s">
        <v>27</v>
      </c>
      <c r="L662" t="s">
        <v>65</v>
      </c>
      <c r="M662" t="s">
        <v>3979</v>
      </c>
      <c r="N662" t="s">
        <v>646</v>
      </c>
      <c r="O662" t="s">
        <v>83</v>
      </c>
      <c r="P662" t="s">
        <v>3980</v>
      </c>
      <c r="Q662" t="s">
        <v>187</v>
      </c>
      <c r="R662" s="23" t="s">
        <v>3981</v>
      </c>
      <c r="S662" s="23">
        <v>46178</v>
      </c>
      <c r="T662">
        <v>23.77</v>
      </c>
      <c r="U662">
        <v>9721</v>
      </c>
      <c r="V662">
        <v>899.94</v>
      </c>
      <c r="W662">
        <v>10620.94</v>
      </c>
    </row>
    <row r="663" spans="1:23" x14ac:dyDescent="0.25">
      <c r="A663">
        <v>15741</v>
      </c>
      <c r="B663">
        <v>456301625</v>
      </c>
      <c r="C663" t="s">
        <v>3982</v>
      </c>
      <c r="D663" s="8" t="s">
        <v>3983</v>
      </c>
      <c r="E663" t="s">
        <v>644</v>
      </c>
      <c r="G663" t="s">
        <v>62</v>
      </c>
      <c r="H663" t="s">
        <v>63</v>
      </c>
      <c r="I663" t="s">
        <v>30</v>
      </c>
      <c r="J663" t="s">
        <v>64</v>
      </c>
      <c r="K663" t="s">
        <v>27</v>
      </c>
      <c r="L663" t="s">
        <v>65</v>
      </c>
      <c r="M663" t="s">
        <v>3984</v>
      </c>
      <c r="N663" t="s">
        <v>646</v>
      </c>
      <c r="O663" t="s">
        <v>83</v>
      </c>
      <c r="P663" t="s">
        <v>3985</v>
      </c>
      <c r="Q663" t="s">
        <v>426</v>
      </c>
      <c r="R663" s="23" t="s">
        <v>381</v>
      </c>
      <c r="S663" s="23">
        <v>46178</v>
      </c>
      <c r="T663">
        <v>24.81</v>
      </c>
      <c r="U663">
        <v>23150</v>
      </c>
      <c r="V663">
        <v>1139.94</v>
      </c>
      <c r="W663">
        <v>24289.94</v>
      </c>
    </row>
    <row r="664" spans="1:23" x14ac:dyDescent="0.25">
      <c r="A664">
        <v>15741</v>
      </c>
      <c r="B664">
        <v>456326620</v>
      </c>
      <c r="C664" t="s">
        <v>3986</v>
      </c>
      <c r="D664" s="8" t="s">
        <v>3987</v>
      </c>
      <c r="E664" t="s">
        <v>644</v>
      </c>
      <c r="G664" t="s">
        <v>62</v>
      </c>
      <c r="H664" t="s">
        <v>63</v>
      </c>
      <c r="I664" t="s">
        <v>30</v>
      </c>
      <c r="J664" t="s">
        <v>64</v>
      </c>
      <c r="K664" t="s">
        <v>196</v>
      </c>
      <c r="L664" t="s">
        <v>217</v>
      </c>
      <c r="M664" t="s">
        <v>3988</v>
      </c>
      <c r="N664" t="s">
        <v>646</v>
      </c>
      <c r="O664" t="s">
        <v>83</v>
      </c>
      <c r="P664" t="s">
        <v>3989</v>
      </c>
      <c r="Q664" t="s">
        <v>72</v>
      </c>
      <c r="R664" s="23" t="s">
        <v>628</v>
      </c>
      <c r="S664" s="23">
        <v>46178</v>
      </c>
      <c r="T664">
        <v>47.11</v>
      </c>
      <c r="U664">
        <v>37233</v>
      </c>
      <c r="V664">
        <v>2579.88</v>
      </c>
      <c r="W664">
        <v>39812.879999999997</v>
      </c>
    </row>
    <row r="665" spans="1:23" hidden="1" x14ac:dyDescent="0.25">
      <c r="A665">
        <v>15741</v>
      </c>
      <c r="B665">
        <v>456256886</v>
      </c>
      <c r="C665" t="s">
        <v>3990</v>
      </c>
      <c r="D665" s="8" t="s">
        <v>3991</v>
      </c>
      <c r="E665" t="s">
        <v>644</v>
      </c>
      <c r="G665" t="s">
        <v>62</v>
      </c>
      <c r="H665" t="s">
        <v>63</v>
      </c>
      <c r="I665" t="s">
        <v>30</v>
      </c>
      <c r="J665" t="s">
        <v>64</v>
      </c>
      <c r="K665" t="s">
        <v>27</v>
      </c>
      <c r="L665" t="s">
        <v>65</v>
      </c>
      <c r="M665" t="s">
        <v>3992</v>
      </c>
      <c r="N665" t="s">
        <v>646</v>
      </c>
      <c r="O665" t="s">
        <v>83</v>
      </c>
      <c r="P665" t="s">
        <v>3993</v>
      </c>
      <c r="Q665" t="s">
        <v>50</v>
      </c>
      <c r="R665" s="23" t="s">
        <v>2166</v>
      </c>
      <c r="S665" s="23">
        <v>46177</v>
      </c>
      <c r="T665">
        <v>11.92</v>
      </c>
      <c r="U665">
        <v>5943</v>
      </c>
      <c r="V665">
        <v>1739.94</v>
      </c>
      <c r="W665">
        <v>7682.9400000000005</v>
      </c>
    </row>
    <row r="666" spans="1:23" hidden="1" x14ac:dyDescent="0.25">
      <c r="A666">
        <v>15741</v>
      </c>
      <c r="B666">
        <v>456256478</v>
      </c>
      <c r="C666" t="s">
        <v>3994</v>
      </c>
      <c r="D666" s="8" t="s">
        <v>3995</v>
      </c>
      <c r="E666" t="s">
        <v>644</v>
      </c>
      <c r="G666" t="s">
        <v>62</v>
      </c>
      <c r="H666" t="s">
        <v>63</v>
      </c>
      <c r="I666" t="s">
        <v>30</v>
      </c>
      <c r="J666" t="s">
        <v>64</v>
      </c>
      <c r="K666" t="s">
        <v>27</v>
      </c>
      <c r="L666" t="s">
        <v>65</v>
      </c>
      <c r="M666" t="s">
        <v>3996</v>
      </c>
      <c r="N666" t="s">
        <v>646</v>
      </c>
      <c r="O666" t="s">
        <v>83</v>
      </c>
      <c r="P666" t="s">
        <v>3997</v>
      </c>
      <c r="Q666" t="s">
        <v>50</v>
      </c>
      <c r="R666" s="23" t="s">
        <v>280</v>
      </c>
      <c r="S666" s="23">
        <v>46177</v>
      </c>
      <c r="T666">
        <v>23.36</v>
      </c>
      <c r="U666">
        <v>9721</v>
      </c>
      <c r="V666">
        <v>779.94</v>
      </c>
      <c r="W666">
        <v>10500.94</v>
      </c>
    </row>
    <row r="667" spans="1:23" x14ac:dyDescent="0.25">
      <c r="A667">
        <v>15741</v>
      </c>
      <c r="B667">
        <v>456326002</v>
      </c>
      <c r="C667" t="s">
        <v>3998</v>
      </c>
      <c r="D667" s="8" t="s">
        <v>3999</v>
      </c>
      <c r="E667" t="s">
        <v>644</v>
      </c>
      <c r="G667" t="s">
        <v>62</v>
      </c>
      <c r="H667" t="s">
        <v>63</v>
      </c>
      <c r="I667" t="s">
        <v>30</v>
      </c>
      <c r="J667" t="s">
        <v>64</v>
      </c>
      <c r="K667" t="s">
        <v>27</v>
      </c>
      <c r="L667" t="s">
        <v>65</v>
      </c>
      <c r="M667" t="s">
        <v>4000</v>
      </c>
      <c r="N667" t="s">
        <v>646</v>
      </c>
      <c r="O667" t="s">
        <v>83</v>
      </c>
      <c r="P667" t="s">
        <v>4001</v>
      </c>
      <c r="Q667" t="s">
        <v>47</v>
      </c>
      <c r="R667" s="23" t="s">
        <v>4002</v>
      </c>
      <c r="S667" s="23">
        <v>46178</v>
      </c>
      <c r="T667">
        <v>23.4</v>
      </c>
      <c r="U667">
        <v>9721</v>
      </c>
      <c r="V667">
        <v>659.88</v>
      </c>
      <c r="W667">
        <v>10380.879999999999</v>
      </c>
    </row>
    <row r="668" spans="1:23" x14ac:dyDescent="0.25">
      <c r="A668">
        <v>15741</v>
      </c>
      <c r="B668">
        <v>456325907</v>
      </c>
      <c r="C668" t="s">
        <v>4003</v>
      </c>
      <c r="D668" s="8" t="s">
        <v>4004</v>
      </c>
      <c r="E668" t="s">
        <v>644</v>
      </c>
      <c r="G668" t="s">
        <v>62</v>
      </c>
      <c r="H668" t="s">
        <v>63</v>
      </c>
      <c r="I668" t="s">
        <v>30</v>
      </c>
      <c r="J668" t="s">
        <v>64</v>
      </c>
      <c r="K668" t="s">
        <v>196</v>
      </c>
      <c r="L668" t="s">
        <v>217</v>
      </c>
      <c r="M668" t="s">
        <v>4005</v>
      </c>
      <c r="N668" t="s">
        <v>646</v>
      </c>
      <c r="O668" t="s">
        <v>83</v>
      </c>
      <c r="P668" t="s">
        <v>4006</v>
      </c>
      <c r="Q668" t="s">
        <v>45</v>
      </c>
      <c r="R668" s="23" t="s">
        <v>185</v>
      </c>
      <c r="S668" s="23">
        <v>46178</v>
      </c>
      <c r="T668">
        <v>91.12</v>
      </c>
      <c r="U668">
        <v>45230</v>
      </c>
      <c r="V668">
        <v>3293.83</v>
      </c>
      <c r="W668">
        <v>48523.83</v>
      </c>
    </row>
    <row r="669" spans="1:23" x14ac:dyDescent="0.25">
      <c r="A669">
        <v>15741</v>
      </c>
      <c r="B669">
        <v>456324971</v>
      </c>
      <c r="C669" t="s">
        <v>4007</v>
      </c>
      <c r="D669" s="8" t="s">
        <v>4008</v>
      </c>
      <c r="E669" t="s">
        <v>644</v>
      </c>
      <c r="G669" t="s">
        <v>62</v>
      </c>
      <c r="H669" t="s">
        <v>63</v>
      </c>
      <c r="I669" t="s">
        <v>30</v>
      </c>
      <c r="J669" t="s">
        <v>64</v>
      </c>
      <c r="K669" t="s">
        <v>132</v>
      </c>
      <c r="L669" t="s">
        <v>274</v>
      </c>
      <c r="M669" t="s">
        <v>1032</v>
      </c>
      <c r="N669" t="s">
        <v>646</v>
      </c>
      <c r="O669" t="s">
        <v>83</v>
      </c>
      <c r="P669" t="s">
        <v>4009</v>
      </c>
      <c r="Q669" t="s">
        <v>109</v>
      </c>
      <c r="R669" s="23" t="s">
        <v>4010</v>
      </c>
      <c r="S669" s="23">
        <v>46178</v>
      </c>
      <c r="T669">
        <v>30</v>
      </c>
      <c r="U669">
        <v>23702</v>
      </c>
      <c r="V669">
        <v>780</v>
      </c>
      <c r="W669">
        <v>24482</v>
      </c>
    </row>
    <row r="670" spans="1:23" x14ac:dyDescent="0.25">
      <c r="A670">
        <v>15741</v>
      </c>
      <c r="B670">
        <v>456324846</v>
      </c>
      <c r="C670" t="s">
        <v>4011</v>
      </c>
      <c r="D670" s="8" t="s">
        <v>4012</v>
      </c>
      <c r="E670" t="s">
        <v>644</v>
      </c>
      <c r="G670" t="s">
        <v>62</v>
      </c>
      <c r="H670" t="s">
        <v>63</v>
      </c>
      <c r="I670" t="s">
        <v>30</v>
      </c>
      <c r="J670" t="s">
        <v>64</v>
      </c>
      <c r="K670" t="s">
        <v>27</v>
      </c>
      <c r="L670" t="s">
        <v>65</v>
      </c>
      <c r="M670" t="s">
        <v>398</v>
      </c>
      <c r="N670" t="s">
        <v>646</v>
      </c>
      <c r="O670" t="s">
        <v>83</v>
      </c>
      <c r="P670" t="s">
        <v>4009</v>
      </c>
      <c r="Q670" t="s">
        <v>47</v>
      </c>
      <c r="R670" s="23" t="s">
        <v>4013</v>
      </c>
      <c r="S670" s="23">
        <v>46178</v>
      </c>
      <c r="T670">
        <v>0.21</v>
      </c>
      <c r="U670">
        <v>3927</v>
      </c>
      <c r="V670">
        <v>0</v>
      </c>
      <c r="W670">
        <v>3927</v>
      </c>
    </row>
    <row r="671" spans="1:23" x14ac:dyDescent="0.25">
      <c r="A671">
        <v>15741</v>
      </c>
      <c r="B671">
        <v>456324717</v>
      </c>
      <c r="C671" t="s">
        <v>4014</v>
      </c>
      <c r="D671" s="8" t="s">
        <v>4015</v>
      </c>
      <c r="E671" t="s">
        <v>644</v>
      </c>
      <c r="G671" t="s">
        <v>62</v>
      </c>
      <c r="H671" t="s">
        <v>63</v>
      </c>
      <c r="I671" t="s">
        <v>30</v>
      </c>
      <c r="J671" t="s">
        <v>64</v>
      </c>
      <c r="K671" t="s">
        <v>27</v>
      </c>
      <c r="L671" t="s">
        <v>65</v>
      </c>
      <c r="M671" t="s">
        <v>4016</v>
      </c>
      <c r="N671" t="s">
        <v>646</v>
      </c>
      <c r="O671" t="s">
        <v>83</v>
      </c>
      <c r="P671" t="s">
        <v>4017</v>
      </c>
      <c r="Q671" t="s">
        <v>120</v>
      </c>
      <c r="R671" s="23" t="s">
        <v>4018</v>
      </c>
      <c r="S671" s="23">
        <v>46178</v>
      </c>
      <c r="T671">
        <v>24.64</v>
      </c>
      <c r="U671">
        <v>20646</v>
      </c>
      <c r="V671">
        <v>0</v>
      </c>
      <c r="W671">
        <v>20646</v>
      </c>
    </row>
    <row r="672" spans="1:23" hidden="1" x14ac:dyDescent="0.25">
      <c r="A672">
        <v>15741</v>
      </c>
      <c r="B672">
        <v>456199628</v>
      </c>
      <c r="C672" t="s">
        <v>4019</v>
      </c>
      <c r="D672" s="8" t="s">
        <v>4020</v>
      </c>
      <c r="E672" t="s">
        <v>644</v>
      </c>
      <c r="G672" t="s">
        <v>62</v>
      </c>
      <c r="H672" t="s">
        <v>63</v>
      </c>
      <c r="I672" t="s">
        <v>30</v>
      </c>
      <c r="J672" t="s">
        <v>64</v>
      </c>
      <c r="K672" t="s">
        <v>27</v>
      </c>
      <c r="L672" t="s">
        <v>65</v>
      </c>
      <c r="M672" t="s">
        <v>4021</v>
      </c>
      <c r="N672" t="s">
        <v>646</v>
      </c>
      <c r="O672" t="s">
        <v>83</v>
      </c>
      <c r="P672" t="s">
        <v>4022</v>
      </c>
      <c r="Q672" t="s">
        <v>52</v>
      </c>
      <c r="R672" s="23" t="s">
        <v>332</v>
      </c>
      <c r="S672" s="23">
        <v>46177</v>
      </c>
      <c r="T672">
        <v>20.18</v>
      </c>
      <c r="U672">
        <v>8303</v>
      </c>
      <c r="V672">
        <v>1799.94</v>
      </c>
      <c r="W672">
        <v>10102.94</v>
      </c>
    </row>
    <row r="673" spans="1:23" hidden="1" x14ac:dyDescent="0.25">
      <c r="A673">
        <v>15741</v>
      </c>
      <c r="B673">
        <v>456199625</v>
      </c>
      <c r="C673" t="s">
        <v>4023</v>
      </c>
      <c r="D673" s="8" t="s">
        <v>4024</v>
      </c>
      <c r="E673" t="s">
        <v>644</v>
      </c>
      <c r="G673" t="s">
        <v>62</v>
      </c>
      <c r="H673" t="s">
        <v>63</v>
      </c>
      <c r="I673" t="s">
        <v>30</v>
      </c>
      <c r="J673" t="s">
        <v>64</v>
      </c>
      <c r="K673" t="s">
        <v>27</v>
      </c>
      <c r="L673" t="s">
        <v>65</v>
      </c>
      <c r="M673" t="s">
        <v>4025</v>
      </c>
      <c r="N673" t="s">
        <v>646</v>
      </c>
      <c r="O673" t="s">
        <v>83</v>
      </c>
      <c r="P673" t="s">
        <v>4026</v>
      </c>
      <c r="Q673" t="s">
        <v>124</v>
      </c>
      <c r="R673" s="23" t="s">
        <v>332</v>
      </c>
      <c r="S673" s="23">
        <v>46177</v>
      </c>
      <c r="T673">
        <v>23.61</v>
      </c>
      <c r="U673">
        <v>16311</v>
      </c>
      <c r="V673">
        <v>779.94</v>
      </c>
      <c r="W673">
        <v>17090.939999999999</v>
      </c>
    </row>
    <row r="674" spans="1:23" x14ac:dyDescent="0.25">
      <c r="A674">
        <v>15741</v>
      </c>
      <c r="B674">
        <v>456300560</v>
      </c>
      <c r="C674" t="s">
        <v>580</v>
      </c>
      <c r="D674" s="8" t="s">
        <v>4027</v>
      </c>
      <c r="E674" t="s">
        <v>644</v>
      </c>
      <c r="G674" t="s">
        <v>62</v>
      </c>
      <c r="H674" t="s">
        <v>63</v>
      </c>
      <c r="I674" t="s">
        <v>30</v>
      </c>
      <c r="J674" t="s">
        <v>64</v>
      </c>
      <c r="K674" t="s">
        <v>27</v>
      </c>
      <c r="L674" t="s">
        <v>65</v>
      </c>
      <c r="M674" t="s">
        <v>4028</v>
      </c>
      <c r="N674" t="s">
        <v>646</v>
      </c>
      <c r="O674" t="s">
        <v>83</v>
      </c>
      <c r="P674" t="s">
        <v>4029</v>
      </c>
      <c r="Q674" t="s">
        <v>103</v>
      </c>
      <c r="R674" s="23" t="s">
        <v>4030</v>
      </c>
      <c r="S674" s="23">
        <v>46178</v>
      </c>
      <c r="T674">
        <v>30</v>
      </c>
      <c r="U674">
        <v>23702</v>
      </c>
      <c r="V674">
        <v>4799.95</v>
      </c>
      <c r="W674">
        <v>28501.95</v>
      </c>
    </row>
    <row r="675" spans="1:23" hidden="1" x14ac:dyDescent="0.25">
      <c r="A675">
        <v>15741</v>
      </c>
      <c r="B675">
        <v>456201135</v>
      </c>
      <c r="C675" t="s">
        <v>4031</v>
      </c>
      <c r="D675" s="8" t="s">
        <v>4032</v>
      </c>
      <c r="E675" t="s">
        <v>644</v>
      </c>
      <c r="G675" t="s">
        <v>62</v>
      </c>
      <c r="H675" t="s">
        <v>63</v>
      </c>
      <c r="I675" t="s">
        <v>30</v>
      </c>
      <c r="J675" t="s">
        <v>64</v>
      </c>
      <c r="K675" t="s">
        <v>27</v>
      </c>
      <c r="L675" t="s">
        <v>65</v>
      </c>
      <c r="M675" t="s">
        <v>4033</v>
      </c>
      <c r="N675" t="s">
        <v>646</v>
      </c>
      <c r="O675" t="s">
        <v>83</v>
      </c>
      <c r="P675" t="s">
        <v>4034</v>
      </c>
      <c r="Q675" t="s">
        <v>117</v>
      </c>
      <c r="R675" s="23" t="s">
        <v>407</v>
      </c>
      <c r="S675" s="23">
        <v>46177</v>
      </c>
      <c r="T675">
        <v>24.51</v>
      </c>
      <c r="U675">
        <v>16943</v>
      </c>
      <c r="V675">
        <v>779.94</v>
      </c>
      <c r="W675">
        <v>17722.939999999999</v>
      </c>
    </row>
    <row r="676" spans="1:23" hidden="1" x14ac:dyDescent="0.25">
      <c r="A676">
        <v>15741</v>
      </c>
      <c r="B676">
        <v>456201128</v>
      </c>
      <c r="C676" t="s">
        <v>4035</v>
      </c>
      <c r="D676" s="8" t="s">
        <v>4036</v>
      </c>
      <c r="E676" t="s">
        <v>644</v>
      </c>
      <c r="G676" t="s">
        <v>62</v>
      </c>
      <c r="H676" t="s">
        <v>63</v>
      </c>
      <c r="I676" t="s">
        <v>30</v>
      </c>
      <c r="J676" t="s">
        <v>64</v>
      </c>
      <c r="K676" t="s">
        <v>27</v>
      </c>
      <c r="L676" t="s">
        <v>65</v>
      </c>
      <c r="M676" t="s">
        <v>4037</v>
      </c>
      <c r="N676" t="s">
        <v>646</v>
      </c>
      <c r="O676" t="s">
        <v>83</v>
      </c>
      <c r="P676" t="s">
        <v>4038</v>
      </c>
      <c r="Q676" t="s">
        <v>88</v>
      </c>
      <c r="R676" s="23" t="s">
        <v>407</v>
      </c>
      <c r="S676" s="23">
        <v>46177</v>
      </c>
      <c r="T676">
        <v>73.33</v>
      </c>
      <c r="U676">
        <v>57298</v>
      </c>
      <c r="V676">
        <v>6899.94</v>
      </c>
      <c r="W676">
        <v>64197.94</v>
      </c>
    </row>
    <row r="677" spans="1:23" hidden="1" x14ac:dyDescent="0.25">
      <c r="A677">
        <v>15741</v>
      </c>
      <c r="B677">
        <v>456201127</v>
      </c>
      <c r="C677" t="s">
        <v>4039</v>
      </c>
      <c r="D677" s="8" t="s">
        <v>4040</v>
      </c>
      <c r="E677" t="s">
        <v>644</v>
      </c>
      <c r="G677" t="s">
        <v>62</v>
      </c>
      <c r="H677" t="s">
        <v>63</v>
      </c>
      <c r="I677" t="s">
        <v>30</v>
      </c>
      <c r="J677" t="s">
        <v>64</v>
      </c>
      <c r="K677" t="s">
        <v>27</v>
      </c>
      <c r="L677" t="s">
        <v>65</v>
      </c>
      <c r="M677" t="s">
        <v>4041</v>
      </c>
      <c r="N677" t="s">
        <v>646</v>
      </c>
      <c r="O677" t="s">
        <v>83</v>
      </c>
      <c r="P677" t="s">
        <v>4042</v>
      </c>
      <c r="Q677" t="s">
        <v>105</v>
      </c>
      <c r="R677" s="23" t="s">
        <v>407</v>
      </c>
      <c r="S677" s="23">
        <v>46177</v>
      </c>
      <c r="T677">
        <v>24.12</v>
      </c>
      <c r="U677">
        <v>18988</v>
      </c>
      <c r="V677">
        <v>0</v>
      </c>
      <c r="W677">
        <v>18988</v>
      </c>
    </row>
    <row r="678" spans="1:23" hidden="1" x14ac:dyDescent="0.25">
      <c r="A678">
        <v>15741</v>
      </c>
      <c r="B678">
        <v>456201122</v>
      </c>
      <c r="C678" t="s">
        <v>4043</v>
      </c>
      <c r="D678" s="8" t="s">
        <v>4044</v>
      </c>
      <c r="E678" t="s">
        <v>644</v>
      </c>
      <c r="G678" t="s">
        <v>62</v>
      </c>
      <c r="H678" t="s">
        <v>63</v>
      </c>
      <c r="I678" t="s">
        <v>30</v>
      </c>
      <c r="J678" t="s">
        <v>64</v>
      </c>
      <c r="K678" t="s">
        <v>196</v>
      </c>
      <c r="L678" t="s">
        <v>217</v>
      </c>
      <c r="M678" t="s">
        <v>625</v>
      </c>
      <c r="N678" t="s">
        <v>646</v>
      </c>
      <c r="O678" t="s">
        <v>83</v>
      </c>
      <c r="P678" t="s">
        <v>4045</v>
      </c>
      <c r="Q678" t="s">
        <v>109</v>
      </c>
      <c r="R678" s="23" t="s">
        <v>407</v>
      </c>
      <c r="S678" s="23">
        <v>46177</v>
      </c>
      <c r="T678">
        <v>43.78</v>
      </c>
      <c r="U678">
        <v>34594</v>
      </c>
      <c r="V678">
        <v>2159.88</v>
      </c>
      <c r="W678">
        <v>36753.879999999997</v>
      </c>
    </row>
    <row r="679" spans="1:23" hidden="1" x14ac:dyDescent="0.25">
      <c r="A679">
        <v>15741</v>
      </c>
      <c r="B679">
        <v>456201116</v>
      </c>
      <c r="C679" t="s">
        <v>4046</v>
      </c>
      <c r="D679" s="8" t="s">
        <v>4047</v>
      </c>
      <c r="E679" t="s">
        <v>644</v>
      </c>
      <c r="G679" t="s">
        <v>62</v>
      </c>
      <c r="H679" t="s">
        <v>63</v>
      </c>
      <c r="I679" t="s">
        <v>30</v>
      </c>
      <c r="J679" t="s">
        <v>64</v>
      </c>
      <c r="K679" t="s">
        <v>27</v>
      </c>
      <c r="L679" t="s">
        <v>65</v>
      </c>
      <c r="M679" t="s">
        <v>4048</v>
      </c>
      <c r="N679" t="s">
        <v>646</v>
      </c>
      <c r="O679" t="s">
        <v>83</v>
      </c>
      <c r="P679" t="s">
        <v>4049</v>
      </c>
      <c r="Q679" t="s">
        <v>68</v>
      </c>
      <c r="R679" s="23" t="s">
        <v>407</v>
      </c>
      <c r="S679" s="23">
        <v>46177</v>
      </c>
      <c r="T679">
        <v>23.34</v>
      </c>
      <c r="U679">
        <v>9721</v>
      </c>
      <c r="V679">
        <v>719.94</v>
      </c>
      <c r="W679">
        <v>10440.94</v>
      </c>
    </row>
    <row r="680" spans="1:23" hidden="1" x14ac:dyDescent="0.25">
      <c r="A680">
        <v>15741</v>
      </c>
      <c r="B680">
        <v>456201113</v>
      </c>
      <c r="C680" t="s">
        <v>4050</v>
      </c>
      <c r="D680" s="8" t="s">
        <v>4051</v>
      </c>
      <c r="E680" t="s">
        <v>644</v>
      </c>
      <c r="G680" t="s">
        <v>62</v>
      </c>
      <c r="H680" t="s">
        <v>63</v>
      </c>
      <c r="I680" t="s">
        <v>30</v>
      </c>
      <c r="J680" t="s">
        <v>64</v>
      </c>
      <c r="K680" t="s">
        <v>27</v>
      </c>
      <c r="L680" t="s">
        <v>65</v>
      </c>
      <c r="M680" t="s">
        <v>4052</v>
      </c>
      <c r="N680" t="s">
        <v>646</v>
      </c>
      <c r="O680" t="s">
        <v>83</v>
      </c>
      <c r="P680" t="s">
        <v>4053</v>
      </c>
      <c r="Q680" t="s">
        <v>88</v>
      </c>
      <c r="R680" s="23" t="s">
        <v>407</v>
      </c>
      <c r="S680" s="23">
        <v>46177</v>
      </c>
      <c r="T680">
        <v>22.98</v>
      </c>
      <c r="U680">
        <v>18808</v>
      </c>
      <c r="V680">
        <v>1559.94</v>
      </c>
      <c r="W680">
        <v>20367.939999999999</v>
      </c>
    </row>
    <row r="681" spans="1:23" hidden="1" x14ac:dyDescent="0.25">
      <c r="A681">
        <v>15741</v>
      </c>
      <c r="B681">
        <v>456201107</v>
      </c>
      <c r="C681" t="s">
        <v>4054</v>
      </c>
      <c r="D681" s="8" t="s">
        <v>4055</v>
      </c>
      <c r="E681" t="s">
        <v>644</v>
      </c>
      <c r="G681" t="s">
        <v>62</v>
      </c>
      <c r="H681" t="s">
        <v>63</v>
      </c>
      <c r="I681" t="s">
        <v>30</v>
      </c>
      <c r="J681" t="s">
        <v>64</v>
      </c>
      <c r="K681" t="s">
        <v>27</v>
      </c>
      <c r="L681" t="s">
        <v>65</v>
      </c>
      <c r="M681" t="s">
        <v>4056</v>
      </c>
      <c r="N681" t="s">
        <v>646</v>
      </c>
      <c r="O681" t="s">
        <v>83</v>
      </c>
      <c r="P681" t="s">
        <v>4057</v>
      </c>
      <c r="Q681" t="s">
        <v>50</v>
      </c>
      <c r="R681" s="23" t="s">
        <v>407</v>
      </c>
      <c r="S681" s="23">
        <v>46177</v>
      </c>
      <c r="T681">
        <v>24.07</v>
      </c>
      <c r="U681">
        <v>10193</v>
      </c>
      <c r="V681">
        <v>719.94</v>
      </c>
      <c r="W681">
        <v>10912.94</v>
      </c>
    </row>
    <row r="682" spans="1:23" hidden="1" x14ac:dyDescent="0.25">
      <c r="A682">
        <v>15741</v>
      </c>
      <c r="B682">
        <v>456201103</v>
      </c>
      <c r="C682" t="s">
        <v>4058</v>
      </c>
      <c r="D682" s="8" t="s">
        <v>4059</v>
      </c>
      <c r="E682" t="s">
        <v>644</v>
      </c>
      <c r="G682" t="s">
        <v>62</v>
      </c>
      <c r="H682" t="s">
        <v>63</v>
      </c>
      <c r="I682" t="s">
        <v>30</v>
      </c>
      <c r="J682" t="s">
        <v>64</v>
      </c>
      <c r="K682" t="s">
        <v>27</v>
      </c>
      <c r="L682" t="s">
        <v>65</v>
      </c>
      <c r="M682" t="s">
        <v>4060</v>
      </c>
      <c r="N682" t="s">
        <v>646</v>
      </c>
      <c r="O682" t="s">
        <v>83</v>
      </c>
      <c r="P682" t="s">
        <v>4061</v>
      </c>
      <c r="Q682" t="s">
        <v>47</v>
      </c>
      <c r="R682" s="23" t="s">
        <v>407</v>
      </c>
      <c r="S682" s="23">
        <v>46177</v>
      </c>
      <c r="T682">
        <v>73.33</v>
      </c>
      <c r="U682">
        <v>31814</v>
      </c>
      <c r="V682">
        <v>6899.94</v>
      </c>
      <c r="W682">
        <v>38713.94</v>
      </c>
    </row>
    <row r="683" spans="1:23" hidden="1" x14ac:dyDescent="0.25">
      <c r="A683">
        <v>15741</v>
      </c>
      <c r="B683">
        <v>456201094</v>
      </c>
      <c r="C683" t="s">
        <v>4062</v>
      </c>
      <c r="D683" s="8" t="s">
        <v>4063</v>
      </c>
      <c r="E683" t="s">
        <v>644</v>
      </c>
      <c r="G683" t="s">
        <v>62</v>
      </c>
      <c r="H683" t="s">
        <v>63</v>
      </c>
      <c r="I683" t="s">
        <v>30</v>
      </c>
      <c r="J683" t="s">
        <v>64</v>
      </c>
      <c r="K683" t="s">
        <v>27</v>
      </c>
      <c r="L683" t="s">
        <v>65</v>
      </c>
      <c r="M683" t="s">
        <v>4064</v>
      </c>
      <c r="N683" t="s">
        <v>646</v>
      </c>
      <c r="O683" t="s">
        <v>83</v>
      </c>
      <c r="P683" t="s">
        <v>4065</v>
      </c>
      <c r="Q683" t="s">
        <v>67</v>
      </c>
      <c r="R683" s="23" t="s">
        <v>407</v>
      </c>
      <c r="S683" s="23">
        <v>46177</v>
      </c>
      <c r="T683">
        <v>24.69</v>
      </c>
      <c r="U683">
        <v>16806</v>
      </c>
      <c r="V683">
        <v>0</v>
      </c>
      <c r="W683">
        <v>16806</v>
      </c>
    </row>
    <row r="684" spans="1:23" hidden="1" x14ac:dyDescent="0.25">
      <c r="A684">
        <v>15741</v>
      </c>
      <c r="B684">
        <v>456201087</v>
      </c>
      <c r="C684" t="s">
        <v>4066</v>
      </c>
      <c r="D684" s="8" t="s">
        <v>4067</v>
      </c>
      <c r="E684" t="s">
        <v>644</v>
      </c>
      <c r="G684" t="s">
        <v>62</v>
      </c>
      <c r="H684" t="s">
        <v>63</v>
      </c>
      <c r="I684" t="s">
        <v>30</v>
      </c>
      <c r="J684" t="s">
        <v>64</v>
      </c>
      <c r="K684" t="s">
        <v>196</v>
      </c>
      <c r="L684" t="s">
        <v>217</v>
      </c>
      <c r="M684" t="s">
        <v>4068</v>
      </c>
      <c r="N684" t="s">
        <v>646</v>
      </c>
      <c r="O684" t="s">
        <v>83</v>
      </c>
      <c r="P684" t="s">
        <v>4069</v>
      </c>
      <c r="Q684" t="s">
        <v>45</v>
      </c>
      <c r="R684" s="23" t="s">
        <v>407</v>
      </c>
      <c r="S684" s="23">
        <v>46177</v>
      </c>
      <c r="T684">
        <v>46.46</v>
      </c>
      <c r="U684">
        <v>20584</v>
      </c>
      <c r="V684">
        <v>2159.88</v>
      </c>
      <c r="W684">
        <v>22743.88</v>
      </c>
    </row>
    <row r="685" spans="1:23" hidden="1" x14ac:dyDescent="0.25">
      <c r="A685">
        <v>15741</v>
      </c>
      <c r="B685">
        <v>456201082</v>
      </c>
      <c r="C685" t="s">
        <v>4070</v>
      </c>
      <c r="D685" s="8" t="s">
        <v>4071</v>
      </c>
      <c r="E685" t="s">
        <v>644</v>
      </c>
      <c r="G685" t="s">
        <v>62</v>
      </c>
      <c r="H685" t="s">
        <v>63</v>
      </c>
      <c r="I685" t="s">
        <v>30</v>
      </c>
      <c r="J685" t="s">
        <v>64</v>
      </c>
      <c r="K685" t="s">
        <v>27</v>
      </c>
      <c r="L685" t="s">
        <v>65</v>
      </c>
      <c r="M685" t="s">
        <v>4072</v>
      </c>
      <c r="N685" t="s">
        <v>646</v>
      </c>
      <c r="O685" t="s">
        <v>83</v>
      </c>
      <c r="P685" t="s">
        <v>4073</v>
      </c>
      <c r="Q685" t="s">
        <v>147</v>
      </c>
      <c r="R685" s="23" t="s">
        <v>407</v>
      </c>
      <c r="S685" s="23">
        <v>46177</v>
      </c>
      <c r="T685">
        <v>23.08</v>
      </c>
      <c r="U685">
        <v>16311</v>
      </c>
      <c r="V685">
        <v>839.94</v>
      </c>
      <c r="W685">
        <v>17150.939999999999</v>
      </c>
    </row>
    <row r="686" spans="1:23" hidden="1" x14ac:dyDescent="0.25">
      <c r="A686">
        <v>15741</v>
      </c>
      <c r="B686">
        <v>456201078</v>
      </c>
      <c r="C686" t="s">
        <v>4074</v>
      </c>
      <c r="D686" s="8" t="s">
        <v>4075</v>
      </c>
      <c r="E686" t="s">
        <v>644</v>
      </c>
      <c r="G686" t="s">
        <v>62</v>
      </c>
      <c r="H686" t="s">
        <v>63</v>
      </c>
      <c r="I686" t="s">
        <v>30</v>
      </c>
      <c r="J686" t="s">
        <v>64</v>
      </c>
      <c r="K686" t="s">
        <v>27</v>
      </c>
      <c r="L686" t="s">
        <v>65</v>
      </c>
      <c r="M686" t="s">
        <v>4076</v>
      </c>
      <c r="N686" t="s">
        <v>646</v>
      </c>
      <c r="O686" t="s">
        <v>83</v>
      </c>
      <c r="P686" t="s">
        <v>4077</v>
      </c>
      <c r="Q686" t="s">
        <v>71</v>
      </c>
      <c r="R686" s="23" t="s">
        <v>407</v>
      </c>
      <c r="S686" s="23">
        <v>46177</v>
      </c>
      <c r="T686">
        <v>24.18</v>
      </c>
      <c r="U686">
        <v>10193</v>
      </c>
      <c r="V686">
        <v>779.94</v>
      </c>
      <c r="W686">
        <v>10972.94</v>
      </c>
    </row>
    <row r="687" spans="1:23" hidden="1" x14ac:dyDescent="0.25">
      <c r="A687">
        <v>15741</v>
      </c>
      <c r="B687">
        <v>456201075</v>
      </c>
      <c r="C687" t="s">
        <v>4078</v>
      </c>
      <c r="D687" s="8" t="s">
        <v>4079</v>
      </c>
      <c r="E687" t="s">
        <v>644</v>
      </c>
      <c r="G687" t="s">
        <v>62</v>
      </c>
      <c r="H687" t="s">
        <v>63</v>
      </c>
      <c r="I687" t="s">
        <v>30</v>
      </c>
      <c r="J687" t="s">
        <v>64</v>
      </c>
      <c r="K687" t="s">
        <v>27</v>
      </c>
      <c r="L687" t="s">
        <v>65</v>
      </c>
      <c r="M687" t="s">
        <v>4080</v>
      </c>
      <c r="N687" t="s">
        <v>646</v>
      </c>
      <c r="O687" t="s">
        <v>83</v>
      </c>
      <c r="P687" t="s">
        <v>4081</v>
      </c>
      <c r="Q687" t="s">
        <v>45</v>
      </c>
      <c r="R687" s="23" t="s">
        <v>407</v>
      </c>
      <c r="S687" s="23">
        <v>46177</v>
      </c>
      <c r="T687">
        <v>24.08</v>
      </c>
      <c r="U687">
        <v>10193</v>
      </c>
      <c r="V687">
        <v>719.94</v>
      </c>
      <c r="W687">
        <v>10912.94</v>
      </c>
    </row>
    <row r="688" spans="1:23" hidden="1" x14ac:dyDescent="0.25">
      <c r="A688">
        <v>15741</v>
      </c>
      <c r="B688">
        <v>456201069</v>
      </c>
      <c r="C688" t="s">
        <v>4082</v>
      </c>
      <c r="D688" s="8" t="s">
        <v>4083</v>
      </c>
      <c r="E688" t="s">
        <v>644</v>
      </c>
      <c r="G688" t="s">
        <v>62</v>
      </c>
      <c r="H688" t="s">
        <v>63</v>
      </c>
      <c r="I688" t="s">
        <v>30</v>
      </c>
      <c r="J688" t="s">
        <v>64</v>
      </c>
      <c r="K688" t="s">
        <v>27</v>
      </c>
      <c r="L688" t="s">
        <v>65</v>
      </c>
      <c r="M688" t="s">
        <v>4084</v>
      </c>
      <c r="N688" t="s">
        <v>646</v>
      </c>
      <c r="O688" t="s">
        <v>83</v>
      </c>
      <c r="P688" t="s">
        <v>4085</v>
      </c>
      <c r="Q688" t="s">
        <v>58</v>
      </c>
      <c r="R688" s="23" t="s">
        <v>407</v>
      </c>
      <c r="S688" s="23">
        <v>46177</v>
      </c>
      <c r="T688">
        <v>24.52</v>
      </c>
      <c r="U688">
        <v>15625</v>
      </c>
      <c r="V688">
        <v>779.94</v>
      </c>
      <c r="W688">
        <v>16404.939999999999</v>
      </c>
    </row>
    <row r="689" spans="1:23" hidden="1" x14ac:dyDescent="0.25">
      <c r="A689">
        <v>15741</v>
      </c>
      <c r="B689">
        <v>456201064</v>
      </c>
      <c r="C689" t="s">
        <v>4086</v>
      </c>
      <c r="D689" s="8" t="s">
        <v>4087</v>
      </c>
      <c r="E689" t="s">
        <v>644</v>
      </c>
      <c r="G689" t="s">
        <v>62</v>
      </c>
      <c r="H689" t="s">
        <v>63</v>
      </c>
      <c r="I689" t="s">
        <v>30</v>
      </c>
      <c r="J689" t="s">
        <v>64</v>
      </c>
      <c r="K689" t="s">
        <v>27</v>
      </c>
      <c r="L689" t="s">
        <v>65</v>
      </c>
      <c r="M689" t="s">
        <v>4088</v>
      </c>
      <c r="N689" t="s">
        <v>646</v>
      </c>
      <c r="O689" t="s">
        <v>83</v>
      </c>
      <c r="P689" t="s">
        <v>4089</v>
      </c>
      <c r="Q689" t="s">
        <v>43</v>
      </c>
      <c r="R689" s="23" t="s">
        <v>407</v>
      </c>
      <c r="S689" s="23">
        <v>46177</v>
      </c>
      <c r="T689">
        <v>23.21</v>
      </c>
      <c r="U689">
        <v>9721</v>
      </c>
      <c r="V689">
        <v>779.94</v>
      </c>
      <c r="W689">
        <v>10500.94</v>
      </c>
    </row>
    <row r="690" spans="1:23" hidden="1" x14ac:dyDescent="0.25">
      <c r="A690">
        <v>15741</v>
      </c>
      <c r="B690">
        <v>456201060</v>
      </c>
      <c r="C690" t="s">
        <v>4090</v>
      </c>
      <c r="D690" s="8" t="s">
        <v>4091</v>
      </c>
      <c r="E690" t="s">
        <v>644</v>
      </c>
      <c r="G690" t="s">
        <v>62</v>
      </c>
      <c r="H690" t="s">
        <v>63</v>
      </c>
      <c r="I690" t="s">
        <v>30</v>
      </c>
      <c r="J690" t="s">
        <v>64</v>
      </c>
      <c r="K690" t="s">
        <v>27</v>
      </c>
      <c r="L690" t="s">
        <v>65</v>
      </c>
      <c r="M690" t="s">
        <v>4092</v>
      </c>
      <c r="N690" t="s">
        <v>646</v>
      </c>
      <c r="O690" t="s">
        <v>83</v>
      </c>
      <c r="P690" t="s">
        <v>4093</v>
      </c>
      <c r="Q690" t="s">
        <v>111</v>
      </c>
      <c r="R690" s="23" t="s">
        <v>407</v>
      </c>
      <c r="S690" s="23">
        <v>46177</v>
      </c>
      <c r="T690">
        <v>23.81</v>
      </c>
      <c r="U690">
        <v>16180</v>
      </c>
      <c r="V690">
        <v>779.94</v>
      </c>
      <c r="W690">
        <v>16959.939999999999</v>
      </c>
    </row>
    <row r="691" spans="1:23" hidden="1" x14ac:dyDescent="0.25">
      <c r="A691">
        <v>15741</v>
      </c>
      <c r="B691">
        <v>456201059</v>
      </c>
      <c r="C691" t="s">
        <v>4094</v>
      </c>
      <c r="D691" s="8" t="s">
        <v>4095</v>
      </c>
      <c r="E691" t="s">
        <v>644</v>
      </c>
      <c r="G691" t="s">
        <v>62</v>
      </c>
      <c r="H691" t="s">
        <v>63</v>
      </c>
      <c r="I691" t="s">
        <v>30</v>
      </c>
      <c r="J691" t="s">
        <v>64</v>
      </c>
      <c r="K691" t="s">
        <v>27</v>
      </c>
      <c r="L691" t="s">
        <v>215</v>
      </c>
      <c r="M691" t="s">
        <v>4096</v>
      </c>
      <c r="N691" t="s">
        <v>646</v>
      </c>
      <c r="O691" t="s">
        <v>83</v>
      </c>
      <c r="P691" t="s">
        <v>4097</v>
      </c>
      <c r="Q691" t="s">
        <v>49</v>
      </c>
      <c r="R691" s="23" t="s">
        <v>407</v>
      </c>
      <c r="S691" s="23">
        <v>46177</v>
      </c>
      <c r="T691">
        <v>48.69</v>
      </c>
      <c r="U691">
        <v>21527</v>
      </c>
      <c r="V691">
        <v>1439.88</v>
      </c>
      <c r="W691">
        <v>22966.880000000001</v>
      </c>
    </row>
    <row r="692" spans="1:23" hidden="1" x14ac:dyDescent="0.25">
      <c r="A692">
        <v>15741</v>
      </c>
      <c r="B692">
        <v>456201058</v>
      </c>
      <c r="C692" t="s">
        <v>4098</v>
      </c>
      <c r="D692" s="8" t="s">
        <v>4099</v>
      </c>
      <c r="E692" t="s">
        <v>644</v>
      </c>
      <c r="G692" t="s">
        <v>62</v>
      </c>
      <c r="H692" t="s">
        <v>63</v>
      </c>
      <c r="I692" t="s">
        <v>30</v>
      </c>
      <c r="J692" t="s">
        <v>64</v>
      </c>
      <c r="K692" t="s">
        <v>27</v>
      </c>
      <c r="L692" t="s">
        <v>65</v>
      </c>
      <c r="M692" t="s">
        <v>4100</v>
      </c>
      <c r="N692" t="s">
        <v>646</v>
      </c>
      <c r="O692" t="s">
        <v>83</v>
      </c>
      <c r="P692" t="s">
        <v>4101</v>
      </c>
      <c r="Q692" t="s">
        <v>45</v>
      </c>
      <c r="R692" s="23" t="s">
        <v>407</v>
      </c>
      <c r="S692" s="23">
        <v>46177</v>
      </c>
      <c r="T692">
        <v>22.96</v>
      </c>
      <c r="U692">
        <v>9248</v>
      </c>
      <c r="V692">
        <v>839.94</v>
      </c>
      <c r="W692">
        <v>10087.94</v>
      </c>
    </row>
    <row r="693" spans="1:23" hidden="1" x14ac:dyDescent="0.25">
      <c r="A693">
        <v>15741</v>
      </c>
      <c r="B693">
        <v>456201054</v>
      </c>
      <c r="C693" t="s">
        <v>4102</v>
      </c>
      <c r="D693" s="8" t="s">
        <v>4103</v>
      </c>
      <c r="E693" t="s">
        <v>644</v>
      </c>
      <c r="G693" t="s">
        <v>62</v>
      </c>
      <c r="H693" t="s">
        <v>63</v>
      </c>
      <c r="I693" t="s">
        <v>30</v>
      </c>
      <c r="J693" t="s">
        <v>64</v>
      </c>
      <c r="K693" t="s">
        <v>27</v>
      </c>
      <c r="L693" t="s">
        <v>65</v>
      </c>
      <c r="M693" t="s">
        <v>4104</v>
      </c>
      <c r="N693" t="s">
        <v>646</v>
      </c>
      <c r="O693" t="s">
        <v>83</v>
      </c>
      <c r="P693" t="s">
        <v>4105</v>
      </c>
      <c r="Q693" t="s">
        <v>47</v>
      </c>
      <c r="R693" s="23" t="s">
        <v>407</v>
      </c>
      <c r="S693" s="23">
        <v>46177</v>
      </c>
      <c r="T693">
        <v>20.18</v>
      </c>
      <c r="U693">
        <v>8303</v>
      </c>
      <c r="V693">
        <v>1799.94</v>
      </c>
      <c r="W693">
        <v>10102.94</v>
      </c>
    </row>
    <row r="694" spans="1:23" hidden="1" x14ac:dyDescent="0.25">
      <c r="A694">
        <v>15741</v>
      </c>
      <c r="B694">
        <v>456201055</v>
      </c>
      <c r="C694" t="s">
        <v>4106</v>
      </c>
      <c r="D694" s="8" t="s">
        <v>4107</v>
      </c>
      <c r="E694" t="s">
        <v>644</v>
      </c>
      <c r="G694" t="s">
        <v>62</v>
      </c>
      <c r="H694" t="s">
        <v>63</v>
      </c>
      <c r="I694" t="s">
        <v>30</v>
      </c>
      <c r="J694" t="s">
        <v>64</v>
      </c>
      <c r="K694" t="s">
        <v>27</v>
      </c>
      <c r="L694" t="s">
        <v>215</v>
      </c>
      <c r="M694" t="s">
        <v>4108</v>
      </c>
      <c r="N694" t="s">
        <v>646</v>
      </c>
      <c r="O694" t="s">
        <v>83</v>
      </c>
      <c r="P694" t="s">
        <v>4109</v>
      </c>
      <c r="Q694" t="s">
        <v>50</v>
      </c>
      <c r="R694" s="23" t="s">
        <v>407</v>
      </c>
      <c r="S694" s="23">
        <v>46177</v>
      </c>
      <c r="T694">
        <v>48.16</v>
      </c>
      <c r="U694">
        <v>21527</v>
      </c>
      <c r="V694">
        <v>1559.88</v>
      </c>
      <c r="W694">
        <v>23086.880000000001</v>
      </c>
    </row>
    <row r="695" spans="1:23" hidden="1" x14ac:dyDescent="0.25">
      <c r="A695">
        <v>15741</v>
      </c>
      <c r="B695">
        <v>456201050</v>
      </c>
      <c r="C695" t="s">
        <v>4110</v>
      </c>
      <c r="D695" s="8" t="s">
        <v>4111</v>
      </c>
      <c r="E695" t="s">
        <v>644</v>
      </c>
      <c r="G695" t="s">
        <v>62</v>
      </c>
      <c r="H695" t="s">
        <v>63</v>
      </c>
      <c r="I695" t="s">
        <v>30</v>
      </c>
      <c r="J695" t="s">
        <v>64</v>
      </c>
      <c r="K695" t="s">
        <v>27</v>
      </c>
      <c r="L695" t="s">
        <v>65</v>
      </c>
      <c r="M695" t="s">
        <v>4112</v>
      </c>
      <c r="N695" t="s">
        <v>646</v>
      </c>
      <c r="O695" t="s">
        <v>83</v>
      </c>
      <c r="P695" t="s">
        <v>4113</v>
      </c>
      <c r="Q695" t="s">
        <v>47</v>
      </c>
      <c r="R695" s="23" t="s">
        <v>407</v>
      </c>
      <c r="S695" s="23">
        <v>46177</v>
      </c>
      <c r="T695">
        <v>24.8</v>
      </c>
      <c r="U695">
        <v>10193</v>
      </c>
      <c r="V695">
        <v>1559.94</v>
      </c>
      <c r="W695">
        <v>11752.94</v>
      </c>
    </row>
    <row r="696" spans="1:23" hidden="1" x14ac:dyDescent="0.25">
      <c r="A696">
        <v>15741</v>
      </c>
      <c r="B696">
        <v>456201049</v>
      </c>
      <c r="C696" t="s">
        <v>4114</v>
      </c>
      <c r="D696" s="8" t="s">
        <v>4115</v>
      </c>
      <c r="E696" t="s">
        <v>644</v>
      </c>
      <c r="G696" t="s">
        <v>62</v>
      </c>
      <c r="H696" t="s">
        <v>63</v>
      </c>
      <c r="I696" t="s">
        <v>30</v>
      </c>
      <c r="J696" t="s">
        <v>64</v>
      </c>
      <c r="K696" t="s">
        <v>196</v>
      </c>
      <c r="L696" t="s">
        <v>217</v>
      </c>
      <c r="M696" t="s">
        <v>4116</v>
      </c>
      <c r="N696" t="s">
        <v>646</v>
      </c>
      <c r="O696" t="s">
        <v>83</v>
      </c>
      <c r="P696" t="s">
        <v>4117</v>
      </c>
      <c r="Q696" t="s">
        <v>45</v>
      </c>
      <c r="R696" s="23" t="s">
        <v>407</v>
      </c>
      <c r="S696" s="23">
        <v>46177</v>
      </c>
      <c r="T696">
        <v>48.39</v>
      </c>
      <c r="U696">
        <v>21527</v>
      </c>
      <c r="V696">
        <v>1259.8800000000001</v>
      </c>
      <c r="W696">
        <v>22786.880000000001</v>
      </c>
    </row>
    <row r="697" spans="1:23" hidden="1" x14ac:dyDescent="0.25">
      <c r="A697">
        <v>15741</v>
      </c>
      <c r="B697">
        <v>456201037</v>
      </c>
      <c r="C697" t="s">
        <v>4118</v>
      </c>
      <c r="D697" s="8" t="s">
        <v>4119</v>
      </c>
      <c r="E697" t="s">
        <v>644</v>
      </c>
      <c r="G697" t="s">
        <v>62</v>
      </c>
      <c r="H697" t="s">
        <v>63</v>
      </c>
      <c r="I697" t="s">
        <v>30</v>
      </c>
      <c r="J697" t="s">
        <v>64</v>
      </c>
      <c r="K697" t="s">
        <v>27</v>
      </c>
      <c r="L697" t="s">
        <v>65</v>
      </c>
      <c r="M697" t="s">
        <v>4120</v>
      </c>
      <c r="N697" t="s">
        <v>646</v>
      </c>
      <c r="O697" t="s">
        <v>83</v>
      </c>
      <c r="P697" t="s">
        <v>4121</v>
      </c>
      <c r="Q697" t="s">
        <v>67</v>
      </c>
      <c r="R697" s="23" t="s">
        <v>407</v>
      </c>
      <c r="S697" s="23">
        <v>46177</v>
      </c>
      <c r="T697">
        <v>23.62</v>
      </c>
      <c r="U697">
        <v>16180</v>
      </c>
      <c r="V697">
        <v>719.94</v>
      </c>
      <c r="W697">
        <v>16899.939999999999</v>
      </c>
    </row>
    <row r="698" spans="1:23" hidden="1" x14ac:dyDescent="0.25">
      <c r="A698">
        <v>15741</v>
      </c>
      <c r="B698">
        <v>456201034</v>
      </c>
      <c r="C698" t="s">
        <v>4122</v>
      </c>
      <c r="D698" s="8" t="s">
        <v>4123</v>
      </c>
      <c r="E698" t="s">
        <v>644</v>
      </c>
      <c r="G698" t="s">
        <v>62</v>
      </c>
      <c r="H698" t="s">
        <v>63</v>
      </c>
      <c r="I698" t="s">
        <v>30</v>
      </c>
      <c r="J698" t="s">
        <v>64</v>
      </c>
      <c r="K698" t="s">
        <v>27</v>
      </c>
      <c r="L698" t="s">
        <v>65</v>
      </c>
      <c r="M698" t="s">
        <v>4124</v>
      </c>
      <c r="N698" t="s">
        <v>646</v>
      </c>
      <c r="O698" t="s">
        <v>83</v>
      </c>
      <c r="P698" t="s">
        <v>4125</v>
      </c>
      <c r="Q698" t="s">
        <v>168</v>
      </c>
      <c r="R698" s="23" t="s">
        <v>407</v>
      </c>
      <c r="S698" s="23">
        <v>46177</v>
      </c>
      <c r="T698">
        <v>23.67</v>
      </c>
      <c r="U698">
        <v>16894</v>
      </c>
      <c r="V698">
        <v>1559.94</v>
      </c>
      <c r="W698">
        <v>18453.939999999999</v>
      </c>
    </row>
    <row r="699" spans="1:23" hidden="1" x14ac:dyDescent="0.25">
      <c r="A699">
        <v>15741</v>
      </c>
      <c r="B699">
        <v>456201032</v>
      </c>
      <c r="C699" t="s">
        <v>4126</v>
      </c>
      <c r="D699" s="8" t="s">
        <v>4127</v>
      </c>
      <c r="E699" t="s">
        <v>644</v>
      </c>
      <c r="G699" t="s">
        <v>62</v>
      </c>
      <c r="H699" t="s">
        <v>63</v>
      </c>
      <c r="I699" t="s">
        <v>30</v>
      </c>
      <c r="J699" t="s">
        <v>64</v>
      </c>
      <c r="K699" t="s">
        <v>27</v>
      </c>
      <c r="L699" t="s">
        <v>65</v>
      </c>
      <c r="M699" t="s">
        <v>4128</v>
      </c>
      <c r="N699" t="s">
        <v>646</v>
      </c>
      <c r="O699" t="s">
        <v>83</v>
      </c>
      <c r="P699" t="s">
        <v>4129</v>
      </c>
      <c r="Q699" t="s">
        <v>51</v>
      </c>
      <c r="R699" s="23" t="s">
        <v>407</v>
      </c>
      <c r="S699" s="23">
        <v>46177</v>
      </c>
      <c r="T699">
        <v>23.53</v>
      </c>
      <c r="U699">
        <v>9721</v>
      </c>
      <c r="V699">
        <v>779.94</v>
      </c>
      <c r="W699">
        <v>10500.94</v>
      </c>
    </row>
    <row r="700" spans="1:23" hidden="1" x14ac:dyDescent="0.25">
      <c r="A700">
        <v>15741</v>
      </c>
      <c r="B700">
        <v>456201043</v>
      </c>
      <c r="C700" t="s">
        <v>4130</v>
      </c>
      <c r="D700" s="8" t="s">
        <v>4131</v>
      </c>
      <c r="E700" t="s">
        <v>644</v>
      </c>
      <c r="G700" t="s">
        <v>62</v>
      </c>
      <c r="H700" t="s">
        <v>63</v>
      </c>
      <c r="I700" t="s">
        <v>30</v>
      </c>
      <c r="J700" t="s">
        <v>64</v>
      </c>
      <c r="K700" t="s">
        <v>27</v>
      </c>
      <c r="L700" t="s">
        <v>65</v>
      </c>
      <c r="M700" t="s">
        <v>4132</v>
      </c>
      <c r="N700" t="s">
        <v>646</v>
      </c>
      <c r="O700" t="s">
        <v>83</v>
      </c>
      <c r="P700" t="s">
        <v>4133</v>
      </c>
      <c r="Q700" t="s">
        <v>51</v>
      </c>
      <c r="R700" s="23" t="s">
        <v>407</v>
      </c>
      <c r="S700" s="23">
        <v>46177</v>
      </c>
      <c r="T700">
        <v>80</v>
      </c>
      <c r="U700">
        <v>34267</v>
      </c>
      <c r="V700">
        <v>8399.94</v>
      </c>
      <c r="W700">
        <v>42666.94</v>
      </c>
    </row>
    <row r="701" spans="1:23" hidden="1" x14ac:dyDescent="0.25">
      <c r="A701">
        <v>15741</v>
      </c>
      <c r="B701">
        <v>456201028</v>
      </c>
      <c r="C701" t="s">
        <v>4134</v>
      </c>
      <c r="D701" s="8" t="s">
        <v>4135</v>
      </c>
      <c r="E701" t="s">
        <v>644</v>
      </c>
      <c r="G701" t="s">
        <v>62</v>
      </c>
      <c r="H701" t="s">
        <v>63</v>
      </c>
      <c r="I701" t="s">
        <v>30</v>
      </c>
      <c r="J701" t="s">
        <v>64</v>
      </c>
      <c r="K701" t="s">
        <v>27</v>
      </c>
      <c r="L701" t="s">
        <v>65</v>
      </c>
      <c r="M701" t="s">
        <v>4136</v>
      </c>
      <c r="N701" t="s">
        <v>646</v>
      </c>
      <c r="O701" t="s">
        <v>83</v>
      </c>
      <c r="P701" t="s">
        <v>4137</v>
      </c>
      <c r="Q701" t="s">
        <v>72</v>
      </c>
      <c r="R701" s="23" t="s">
        <v>407</v>
      </c>
      <c r="S701" s="23">
        <v>46177</v>
      </c>
      <c r="T701">
        <v>23.07</v>
      </c>
      <c r="U701">
        <v>18623</v>
      </c>
      <c r="V701">
        <v>779.94</v>
      </c>
      <c r="W701">
        <v>19402.939999999999</v>
      </c>
    </row>
    <row r="702" spans="1:23" hidden="1" x14ac:dyDescent="0.25">
      <c r="A702">
        <v>15741</v>
      </c>
      <c r="B702">
        <v>456201026</v>
      </c>
      <c r="C702" t="s">
        <v>4138</v>
      </c>
      <c r="D702" s="8" t="s">
        <v>4139</v>
      </c>
      <c r="E702" t="s">
        <v>644</v>
      </c>
      <c r="G702" t="s">
        <v>62</v>
      </c>
      <c r="H702" t="s">
        <v>63</v>
      </c>
      <c r="I702" t="s">
        <v>30</v>
      </c>
      <c r="J702" t="s">
        <v>64</v>
      </c>
      <c r="K702" t="s">
        <v>27</v>
      </c>
      <c r="L702" t="s">
        <v>65</v>
      </c>
      <c r="M702" t="s">
        <v>627</v>
      </c>
      <c r="N702" t="s">
        <v>646</v>
      </c>
      <c r="O702" t="s">
        <v>83</v>
      </c>
      <c r="P702" t="s">
        <v>4140</v>
      </c>
      <c r="Q702" t="s">
        <v>52</v>
      </c>
      <c r="R702" s="23" t="s">
        <v>407</v>
      </c>
      <c r="S702" s="23">
        <v>46177</v>
      </c>
      <c r="T702">
        <v>23.9</v>
      </c>
      <c r="U702">
        <v>9721</v>
      </c>
      <c r="V702">
        <v>539.94000000000005</v>
      </c>
      <c r="W702">
        <v>10260.94</v>
      </c>
    </row>
    <row r="703" spans="1:23" hidden="1" x14ac:dyDescent="0.25">
      <c r="A703">
        <v>15741</v>
      </c>
      <c r="B703">
        <v>456201022</v>
      </c>
      <c r="C703" t="s">
        <v>4141</v>
      </c>
      <c r="D703" s="8" t="s">
        <v>4142</v>
      </c>
      <c r="E703" t="s">
        <v>644</v>
      </c>
      <c r="G703" t="s">
        <v>62</v>
      </c>
      <c r="H703" t="s">
        <v>63</v>
      </c>
      <c r="I703" t="s">
        <v>30</v>
      </c>
      <c r="J703" t="s">
        <v>64</v>
      </c>
      <c r="K703" t="s">
        <v>27</v>
      </c>
      <c r="L703" t="s">
        <v>65</v>
      </c>
      <c r="M703" t="s">
        <v>4143</v>
      </c>
      <c r="N703" t="s">
        <v>646</v>
      </c>
      <c r="O703" t="s">
        <v>83</v>
      </c>
      <c r="P703" t="s">
        <v>4144</v>
      </c>
      <c r="Q703" t="s">
        <v>101</v>
      </c>
      <c r="R703" s="23" t="s">
        <v>407</v>
      </c>
      <c r="S703" s="23">
        <v>46177</v>
      </c>
      <c r="T703">
        <v>24.5</v>
      </c>
      <c r="U703">
        <v>19119</v>
      </c>
      <c r="V703">
        <v>1559.94</v>
      </c>
      <c r="W703">
        <v>20678.939999999999</v>
      </c>
    </row>
    <row r="704" spans="1:23" hidden="1" x14ac:dyDescent="0.25">
      <c r="A704">
        <v>15741</v>
      </c>
      <c r="B704">
        <v>456199631</v>
      </c>
      <c r="C704" t="s">
        <v>4145</v>
      </c>
      <c r="D704" s="8" t="s">
        <v>4146</v>
      </c>
      <c r="E704" t="s">
        <v>644</v>
      </c>
      <c r="G704" t="s">
        <v>62</v>
      </c>
      <c r="H704" t="s">
        <v>63</v>
      </c>
      <c r="I704" t="s">
        <v>30</v>
      </c>
      <c r="J704" t="s">
        <v>64</v>
      </c>
      <c r="K704" t="s">
        <v>27</v>
      </c>
      <c r="L704" t="s">
        <v>65</v>
      </c>
      <c r="M704" t="s">
        <v>4147</v>
      </c>
      <c r="N704" t="s">
        <v>646</v>
      </c>
      <c r="O704" t="s">
        <v>83</v>
      </c>
      <c r="P704" t="s">
        <v>4148</v>
      </c>
      <c r="Q704" t="s">
        <v>51</v>
      </c>
      <c r="R704" s="23" t="s">
        <v>332</v>
      </c>
      <c r="S704" s="23">
        <v>46177</v>
      </c>
      <c r="T704">
        <v>80</v>
      </c>
      <c r="U704">
        <v>34267</v>
      </c>
      <c r="V704">
        <v>8399.94</v>
      </c>
      <c r="W704">
        <v>42666.94</v>
      </c>
    </row>
    <row r="705" spans="1:23" hidden="1" x14ac:dyDescent="0.25">
      <c r="A705">
        <v>15741</v>
      </c>
      <c r="B705">
        <v>456199621</v>
      </c>
      <c r="C705" t="s">
        <v>4149</v>
      </c>
      <c r="D705" s="8" t="s">
        <v>4150</v>
      </c>
      <c r="E705" t="s">
        <v>644</v>
      </c>
      <c r="G705" t="s">
        <v>62</v>
      </c>
      <c r="H705" t="s">
        <v>63</v>
      </c>
      <c r="I705" t="s">
        <v>30</v>
      </c>
      <c r="J705" t="s">
        <v>64</v>
      </c>
      <c r="K705" t="s">
        <v>27</v>
      </c>
      <c r="L705" t="s">
        <v>65</v>
      </c>
      <c r="M705" t="s">
        <v>4151</v>
      </c>
      <c r="N705" t="s">
        <v>646</v>
      </c>
      <c r="O705" t="s">
        <v>83</v>
      </c>
      <c r="P705" t="s">
        <v>4152</v>
      </c>
      <c r="Q705" t="s">
        <v>57</v>
      </c>
      <c r="R705" s="23" t="s">
        <v>332</v>
      </c>
      <c r="S705" s="23">
        <v>46177</v>
      </c>
      <c r="T705">
        <v>24.52</v>
      </c>
      <c r="U705">
        <v>15625</v>
      </c>
      <c r="V705">
        <v>0</v>
      </c>
      <c r="W705">
        <v>15625</v>
      </c>
    </row>
    <row r="706" spans="1:23" hidden="1" x14ac:dyDescent="0.25">
      <c r="A706">
        <v>15741</v>
      </c>
      <c r="B706">
        <v>456199618</v>
      </c>
      <c r="C706" t="s">
        <v>4153</v>
      </c>
      <c r="D706" s="8" t="s">
        <v>4154</v>
      </c>
      <c r="E706" t="s">
        <v>644</v>
      </c>
      <c r="G706" t="s">
        <v>62</v>
      </c>
      <c r="H706" t="s">
        <v>63</v>
      </c>
      <c r="I706" t="s">
        <v>30</v>
      </c>
      <c r="J706" t="s">
        <v>64</v>
      </c>
      <c r="K706" t="s">
        <v>27</v>
      </c>
      <c r="L706" t="s">
        <v>65</v>
      </c>
      <c r="M706" t="s">
        <v>4155</v>
      </c>
      <c r="N706" t="s">
        <v>646</v>
      </c>
      <c r="O706" t="s">
        <v>83</v>
      </c>
      <c r="P706" t="s">
        <v>4156</v>
      </c>
      <c r="Q706" t="s">
        <v>45</v>
      </c>
      <c r="R706" s="23" t="s">
        <v>332</v>
      </c>
      <c r="S706" s="23">
        <v>46177</v>
      </c>
      <c r="T706">
        <v>23.62</v>
      </c>
      <c r="U706">
        <v>9721</v>
      </c>
      <c r="V706">
        <v>839.94</v>
      </c>
      <c r="W706">
        <v>10560.94</v>
      </c>
    </row>
    <row r="707" spans="1:23" hidden="1" x14ac:dyDescent="0.25">
      <c r="A707">
        <v>15741</v>
      </c>
      <c r="B707">
        <v>456199615</v>
      </c>
      <c r="C707" t="s">
        <v>4157</v>
      </c>
      <c r="D707" s="8" t="s">
        <v>4158</v>
      </c>
      <c r="E707" t="s">
        <v>644</v>
      </c>
      <c r="G707" t="s">
        <v>62</v>
      </c>
      <c r="H707" t="s">
        <v>63</v>
      </c>
      <c r="I707" t="s">
        <v>30</v>
      </c>
      <c r="J707" t="s">
        <v>64</v>
      </c>
      <c r="K707" t="s">
        <v>27</v>
      </c>
      <c r="L707" t="s">
        <v>215</v>
      </c>
      <c r="M707" t="s">
        <v>4159</v>
      </c>
      <c r="N707" t="s">
        <v>646</v>
      </c>
      <c r="O707" t="s">
        <v>83</v>
      </c>
      <c r="P707" t="s">
        <v>4160</v>
      </c>
      <c r="Q707" t="s">
        <v>50</v>
      </c>
      <c r="R707" s="23" t="s">
        <v>332</v>
      </c>
      <c r="S707" s="23">
        <v>46177</v>
      </c>
      <c r="T707">
        <v>111.02</v>
      </c>
      <c r="U707">
        <v>46610</v>
      </c>
      <c r="V707">
        <v>4319.88</v>
      </c>
      <c r="W707">
        <v>50929.88</v>
      </c>
    </row>
    <row r="708" spans="1:23" hidden="1" x14ac:dyDescent="0.25">
      <c r="A708">
        <v>15741</v>
      </c>
      <c r="B708">
        <v>456199612</v>
      </c>
      <c r="C708" t="s">
        <v>4161</v>
      </c>
      <c r="D708" s="8" t="s">
        <v>4162</v>
      </c>
      <c r="E708" t="s">
        <v>644</v>
      </c>
      <c r="G708" t="s">
        <v>62</v>
      </c>
      <c r="H708" t="s">
        <v>63</v>
      </c>
      <c r="I708" t="s">
        <v>30</v>
      </c>
      <c r="J708" t="s">
        <v>64</v>
      </c>
      <c r="K708" t="s">
        <v>27</v>
      </c>
      <c r="L708" t="s">
        <v>65</v>
      </c>
      <c r="M708" t="s">
        <v>4163</v>
      </c>
      <c r="N708" t="s">
        <v>646</v>
      </c>
      <c r="O708" t="s">
        <v>83</v>
      </c>
      <c r="P708" t="s">
        <v>4164</v>
      </c>
      <c r="Q708" t="s">
        <v>49</v>
      </c>
      <c r="R708" s="23" t="s">
        <v>332</v>
      </c>
      <c r="S708" s="23">
        <v>46177</v>
      </c>
      <c r="T708">
        <v>80</v>
      </c>
      <c r="U708">
        <v>34267</v>
      </c>
      <c r="V708">
        <v>6899.94</v>
      </c>
      <c r="W708">
        <v>41166.94</v>
      </c>
    </row>
    <row r="709" spans="1:23" hidden="1" x14ac:dyDescent="0.25">
      <c r="A709">
        <v>15741</v>
      </c>
      <c r="B709">
        <v>456199606</v>
      </c>
      <c r="C709" t="s">
        <v>4165</v>
      </c>
      <c r="D709" s="8" t="s">
        <v>4166</v>
      </c>
      <c r="E709" t="s">
        <v>644</v>
      </c>
      <c r="G709" t="s">
        <v>62</v>
      </c>
      <c r="H709" t="s">
        <v>63</v>
      </c>
      <c r="I709" t="s">
        <v>30</v>
      </c>
      <c r="J709" t="s">
        <v>64</v>
      </c>
      <c r="K709" t="s">
        <v>27</v>
      </c>
      <c r="L709" t="s">
        <v>65</v>
      </c>
      <c r="M709" t="s">
        <v>4167</v>
      </c>
      <c r="N709" t="s">
        <v>646</v>
      </c>
      <c r="O709" t="s">
        <v>83</v>
      </c>
      <c r="P709" t="s">
        <v>4168</v>
      </c>
      <c r="Q709" t="s">
        <v>43</v>
      </c>
      <c r="R709" s="23" t="s">
        <v>332</v>
      </c>
      <c r="S709" s="23">
        <v>46177</v>
      </c>
      <c r="T709">
        <v>24.06</v>
      </c>
      <c r="U709">
        <v>10193</v>
      </c>
      <c r="V709">
        <v>1559.94</v>
      </c>
      <c r="W709">
        <v>11752.94</v>
      </c>
    </row>
    <row r="710" spans="1:23" hidden="1" x14ac:dyDescent="0.25">
      <c r="A710">
        <v>15741</v>
      </c>
      <c r="B710">
        <v>456199597</v>
      </c>
      <c r="C710" t="s">
        <v>4169</v>
      </c>
      <c r="D710" s="8" t="s">
        <v>4170</v>
      </c>
      <c r="E710" t="s">
        <v>644</v>
      </c>
      <c r="G710" t="s">
        <v>62</v>
      </c>
      <c r="H710" t="s">
        <v>63</v>
      </c>
      <c r="I710" t="s">
        <v>30</v>
      </c>
      <c r="J710" t="s">
        <v>64</v>
      </c>
      <c r="K710" t="s">
        <v>27</v>
      </c>
      <c r="L710" t="s">
        <v>65</v>
      </c>
      <c r="M710" t="s">
        <v>4171</v>
      </c>
      <c r="N710" t="s">
        <v>646</v>
      </c>
      <c r="O710" t="s">
        <v>83</v>
      </c>
      <c r="P710" t="s">
        <v>4172</v>
      </c>
      <c r="Q710" t="s">
        <v>88</v>
      </c>
      <c r="R710" s="23" t="s">
        <v>332</v>
      </c>
      <c r="S710" s="23">
        <v>46177</v>
      </c>
      <c r="T710">
        <v>24.72</v>
      </c>
      <c r="U710">
        <v>20394</v>
      </c>
      <c r="V710">
        <v>719.94</v>
      </c>
      <c r="W710">
        <v>21113.94</v>
      </c>
    </row>
    <row r="711" spans="1:23" hidden="1" x14ac:dyDescent="0.25">
      <c r="A711">
        <v>15741</v>
      </c>
      <c r="B711">
        <v>456199593</v>
      </c>
      <c r="C711" t="s">
        <v>4173</v>
      </c>
      <c r="D711" s="8" t="s">
        <v>4174</v>
      </c>
      <c r="E711" t="s">
        <v>644</v>
      </c>
      <c r="G711" t="s">
        <v>62</v>
      </c>
      <c r="H711" t="s">
        <v>63</v>
      </c>
      <c r="I711" t="s">
        <v>30</v>
      </c>
      <c r="J711" t="s">
        <v>64</v>
      </c>
      <c r="K711" t="s">
        <v>27</v>
      </c>
      <c r="L711" t="s">
        <v>65</v>
      </c>
      <c r="M711" t="s">
        <v>4175</v>
      </c>
      <c r="N711" t="s">
        <v>646</v>
      </c>
      <c r="O711" t="s">
        <v>83</v>
      </c>
      <c r="P711" t="s">
        <v>4176</v>
      </c>
      <c r="Q711" t="s">
        <v>47</v>
      </c>
      <c r="R711" s="23" t="s">
        <v>332</v>
      </c>
      <c r="S711" s="23">
        <v>46177</v>
      </c>
      <c r="T711">
        <v>24.3</v>
      </c>
      <c r="U711">
        <v>10193</v>
      </c>
      <c r="V711">
        <v>1559.94</v>
      </c>
      <c r="W711">
        <v>11752.94</v>
      </c>
    </row>
    <row r="712" spans="1:23" hidden="1" x14ac:dyDescent="0.25">
      <c r="A712">
        <v>15741</v>
      </c>
      <c r="B712">
        <v>456199592</v>
      </c>
      <c r="C712" t="s">
        <v>4177</v>
      </c>
      <c r="D712" s="8" t="s">
        <v>4178</v>
      </c>
      <c r="E712" t="s">
        <v>644</v>
      </c>
      <c r="G712" t="s">
        <v>62</v>
      </c>
      <c r="H712" t="s">
        <v>63</v>
      </c>
      <c r="I712" t="s">
        <v>30</v>
      </c>
      <c r="J712" t="s">
        <v>64</v>
      </c>
      <c r="K712" t="s">
        <v>27</v>
      </c>
      <c r="L712" t="s">
        <v>65</v>
      </c>
      <c r="M712" t="s">
        <v>4179</v>
      </c>
      <c r="N712" t="s">
        <v>646</v>
      </c>
      <c r="O712" t="s">
        <v>83</v>
      </c>
      <c r="P712" t="s">
        <v>4180</v>
      </c>
      <c r="Q712" t="s">
        <v>44</v>
      </c>
      <c r="R712" s="23" t="s">
        <v>332</v>
      </c>
      <c r="S712" s="23">
        <v>46177</v>
      </c>
      <c r="T712">
        <v>23.79</v>
      </c>
      <c r="U712">
        <v>9721</v>
      </c>
      <c r="V712">
        <v>1559.94</v>
      </c>
      <c r="W712">
        <v>11280.94</v>
      </c>
    </row>
    <row r="713" spans="1:23" hidden="1" x14ac:dyDescent="0.25">
      <c r="A713">
        <v>15741</v>
      </c>
      <c r="B713">
        <v>456199589</v>
      </c>
      <c r="C713" t="s">
        <v>4181</v>
      </c>
      <c r="D713" s="8" t="s">
        <v>4182</v>
      </c>
      <c r="E713" t="s">
        <v>644</v>
      </c>
      <c r="G713" t="s">
        <v>62</v>
      </c>
      <c r="H713" t="s">
        <v>63</v>
      </c>
      <c r="I713" t="s">
        <v>30</v>
      </c>
      <c r="J713" t="s">
        <v>64</v>
      </c>
      <c r="K713" t="s">
        <v>27</v>
      </c>
      <c r="L713" t="s">
        <v>65</v>
      </c>
      <c r="M713" t="s">
        <v>4183</v>
      </c>
      <c r="N713" t="s">
        <v>646</v>
      </c>
      <c r="O713" t="s">
        <v>83</v>
      </c>
      <c r="P713" t="s">
        <v>4184</v>
      </c>
      <c r="Q713" t="s">
        <v>44</v>
      </c>
      <c r="R713" s="23" t="s">
        <v>332</v>
      </c>
      <c r="S713" s="23">
        <v>46177</v>
      </c>
      <c r="T713">
        <v>24.55</v>
      </c>
      <c r="U713">
        <v>10193</v>
      </c>
      <c r="V713">
        <v>1559.94</v>
      </c>
      <c r="W713">
        <v>11752.94</v>
      </c>
    </row>
    <row r="714" spans="1:23" hidden="1" x14ac:dyDescent="0.25">
      <c r="A714">
        <v>15741</v>
      </c>
      <c r="B714">
        <v>456199586</v>
      </c>
      <c r="C714" t="s">
        <v>4185</v>
      </c>
      <c r="D714" s="8" t="s">
        <v>4186</v>
      </c>
      <c r="E714" t="s">
        <v>644</v>
      </c>
      <c r="G714" t="s">
        <v>62</v>
      </c>
      <c r="H714" t="s">
        <v>63</v>
      </c>
      <c r="I714" t="s">
        <v>30</v>
      </c>
      <c r="J714" t="s">
        <v>64</v>
      </c>
      <c r="K714" t="s">
        <v>27</v>
      </c>
      <c r="L714" t="s">
        <v>65</v>
      </c>
      <c r="M714" t="s">
        <v>4187</v>
      </c>
      <c r="N714" t="s">
        <v>646</v>
      </c>
      <c r="O714" t="s">
        <v>83</v>
      </c>
      <c r="P714" t="s">
        <v>4188</v>
      </c>
      <c r="Q714" t="s">
        <v>43</v>
      </c>
      <c r="R714" s="23" t="s">
        <v>332</v>
      </c>
      <c r="S714" s="23">
        <v>46177</v>
      </c>
      <c r="T714">
        <v>24.28</v>
      </c>
      <c r="U714">
        <v>10193</v>
      </c>
      <c r="V714">
        <v>719.94</v>
      </c>
      <c r="W714">
        <v>10912.94</v>
      </c>
    </row>
    <row r="715" spans="1:23" hidden="1" x14ac:dyDescent="0.25">
      <c r="A715">
        <v>15741</v>
      </c>
      <c r="B715">
        <v>456199577</v>
      </c>
      <c r="C715" t="s">
        <v>4189</v>
      </c>
      <c r="D715" s="8" t="s">
        <v>4190</v>
      </c>
      <c r="E715" t="s">
        <v>644</v>
      </c>
      <c r="G715" t="s">
        <v>62</v>
      </c>
      <c r="H715" t="s">
        <v>63</v>
      </c>
      <c r="I715" t="s">
        <v>30</v>
      </c>
      <c r="J715" t="s">
        <v>64</v>
      </c>
      <c r="K715" t="s">
        <v>27</v>
      </c>
      <c r="L715" t="s">
        <v>65</v>
      </c>
      <c r="M715" t="s">
        <v>4191</v>
      </c>
      <c r="N715" t="s">
        <v>646</v>
      </c>
      <c r="O715" t="s">
        <v>83</v>
      </c>
      <c r="P715" t="s">
        <v>4192</v>
      </c>
      <c r="Q715" t="s">
        <v>141</v>
      </c>
      <c r="R715" s="23" t="s">
        <v>332</v>
      </c>
      <c r="S715" s="23">
        <v>46177</v>
      </c>
      <c r="T715">
        <v>23.39</v>
      </c>
      <c r="U715">
        <v>16311</v>
      </c>
      <c r="V715">
        <v>779.94</v>
      </c>
      <c r="W715">
        <v>17090.939999999999</v>
      </c>
    </row>
    <row r="716" spans="1:23" hidden="1" x14ac:dyDescent="0.25">
      <c r="A716">
        <v>15741</v>
      </c>
      <c r="B716">
        <v>456199575</v>
      </c>
      <c r="C716" t="s">
        <v>4193</v>
      </c>
      <c r="D716" s="8" t="s">
        <v>4194</v>
      </c>
      <c r="E716" t="s">
        <v>644</v>
      </c>
      <c r="G716" t="s">
        <v>62</v>
      </c>
      <c r="H716" t="s">
        <v>63</v>
      </c>
      <c r="I716" t="s">
        <v>30</v>
      </c>
      <c r="J716" t="s">
        <v>64</v>
      </c>
      <c r="K716" t="s">
        <v>27</v>
      </c>
      <c r="L716" t="s">
        <v>65</v>
      </c>
      <c r="M716" t="s">
        <v>4195</v>
      </c>
      <c r="N716" t="s">
        <v>646</v>
      </c>
      <c r="O716" t="s">
        <v>83</v>
      </c>
      <c r="P716" t="s">
        <v>4196</v>
      </c>
      <c r="Q716" t="s">
        <v>144</v>
      </c>
      <c r="R716" s="23" t="s">
        <v>332</v>
      </c>
      <c r="S716" s="23">
        <v>46177</v>
      </c>
      <c r="T716">
        <v>23.53</v>
      </c>
      <c r="U716">
        <v>9721</v>
      </c>
      <c r="V716">
        <v>0</v>
      </c>
      <c r="W716">
        <v>9721</v>
      </c>
    </row>
    <row r="717" spans="1:23" hidden="1" x14ac:dyDescent="0.25">
      <c r="A717">
        <v>15741</v>
      </c>
      <c r="B717">
        <v>456199571</v>
      </c>
      <c r="C717" t="s">
        <v>4197</v>
      </c>
      <c r="D717" s="8" t="s">
        <v>4198</v>
      </c>
      <c r="E717" t="s">
        <v>644</v>
      </c>
      <c r="G717" t="s">
        <v>62</v>
      </c>
      <c r="H717" t="s">
        <v>63</v>
      </c>
      <c r="I717" t="s">
        <v>30</v>
      </c>
      <c r="J717" t="s">
        <v>64</v>
      </c>
      <c r="K717" t="s">
        <v>27</v>
      </c>
      <c r="L717" t="s">
        <v>215</v>
      </c>
      <c r="M717" t="s">
        <v>4199</v>
      </c>
      <c r="N717" t="s">
        <v>646</v>
      </c>
      <c r="O717" t="s">
        <v>83</v>
      </c>
      <c r="P717" t="s">
        <v>4200</v>
      </c>
      <c r="Q717" t="s">
        <v>58</v>
      </c>
      <c r="R717" s="23" t="s">
        <v>332</v>
      </c>
      <c r="S717" s="23">
        <v>46177</v>
      </c>
      <c r="T717">
        <v>48.08</v>
      </c>
      <c r="U717">
        <v>29536</v>
      </c>
      <c r="V717">
        <v>959.88</v>
      </c>
      <c r="W717">
        <v>30495.88</v>
      </c>
    </row>
    <row r="718" spans="1:23" hidden="1" x14ac:dyDescent="0.25">
      <c r="A718">
        <v>15741</v>
      </c>
      <c r="B718">
        <v>456199567</v>
      </c>
      <c r="C718" t="s">
        <v>4201</v>
      </c>
      <c r="D718" s="8" t="s">
        <v>4202</v>
      </c>
      <c r="E718" t="s">
        <v>644</v>
      </c>
      <c r="G718" t="s">
        <v>62</v>
      </c>
      <c r="H718" t="s">
        <v>63</v>
      </c>
      <c r="I718" t="s">
        <v>30</v>
      </c>
      <c r="J718" t="s">
        <v>64</v>
      </c>
      <c r="K718" t="s">
        <v>184</v>
      </c>
      <c r="L718" t="s">
        <v>516</v>
      </c>
      <c r="M718" t="s">
        <v>4203</v>
      </c>
      <c r="N718" t="s">
        <v>646</v>
      </c>
      <c r="O718" t="s">
        <v>83</v>
      </c>
      <c r="P718" t="s">
        <v>4204</v>
      </c>
      <c r="Q718" t="s">
        <v>119</v>
      </c>
      <c r="R718" s="23" t="s">
        <v>332</v>
      </c>
      <c r="S718" s="23">
        <v>46177</v>
      </c>
      <c r="T718">
        <v>23.4</v>
      </c>
      <c r="U718">
        <v>16311</v>
      </c>
      <c r="V718">
        <v>719.94</v>
      </c>
      <c r="W718">
        <v>17030.939999999999</v>
      </c>
    </row>
    <row r="719" spans="1:23" hidden="1" x14ac:dyDescent="0.25">
      <c r="A719">
        <v>15741</v>
      </c>
      <c r="B719">
        <v>456199576</v>
      </c>
      <c r="C719" t="s">
        <v>4205</v>
      </c>
      <c r="D719" s="8" t="s">
        <v>4206</v>
      </c>
      <c r="E719" t="s">
        <v>644</v>
      </c>
      <c r="G719" t="s">
        <v>62</v>
      </c>
      <c r="H719" t="s">
        <v>63</v>
      </c>
      <c r="I719" t="s">
        <v>30</v>
      </c>
      <c r="J719" t="s">
        <v>64</v>
      </c>
      <c r="K719" t="s">
        <v>27</v>
      </c>
      <c r="L719" t="s">
        <v>65</v>
      </c>
      <c r="M719" t="s">
        <v>4207</v>
      </c>
      <c r="N719" t="s">
        <v>646</v>
      </c>
      <c r="O719" t="s">
        <v>83</v>
      </c>
      <c r="P719" t="s">
        <v>4208</v>
      </c>
      <c r="Q719" t="s">
        <v>45</v>
      </c>
      <c r="R719" s="23" t="s">
        <v>332</v>
      </c>
      <c r="S719" s="23">
        <v>46177</v>
      </c>
      <c r="T719">
        <v>22.91</v>
      </c>
      <c r="U719">
        <v>9248</v>
      </c>
      <c r="V719">
        <v>719.94</v>
      </c>
      <c r="W719">
        <v>9967.94</v>
      </c>
    </row>
    <row r="720" spans="1:23" hidden="1" x14ac:dyDescent="0.25">
      <c r="A720">
        <v>15741</v>
      </c>
      <c r="B720">
        <v>456199563</v>
      </c>
      <c r="C720" t="s">
        <v>4209</v>
      </c>
      <c r="D720" s="8" t="s">
        <v>4210</v>
      </c>
      <c r="E720" t="s">
        <v>644</v>
      </c>
      <c r="G720" t="s">
        <v>62</v>
      </c>
      <c r="H720" t="s">
        <v>63</v>
      </c>
      <c r="I720" t="s">
        <v>30</v>
      </c>
      <c r="J720" t="s">
        <v>64</v>
      </c>
      <c r="K720" t="s">
        <v>27</v>
      </c>
      <c r="L720" t="s">
        <v>65</v>
      </c>
      <c r="M720" t="s">
        <v>596</v>
      </c>
      <c r="N720" t="s">
        <v>646</v>
      </c>
      <c r="O720" t="s">
        <v>83</v>
      </c>
      <c r="P720" t="s">
        <v>4211</v>
      </c>
      <c r="Q720" t="s">
        <v>83</v>
      </c>
      <c r="R720" s="23" t="s">
        <v>332</v>
      </c>
      <c r="S720" s="23">
        <v>46177</v>
      </c>
      <c r="T720">
        <v>23.45</v>
      </c>
      <c r="U720">
        <v>9721</v>
      </c>
      <c r="V720">
        <v>779.94</v>
      </c>
      <c r="W720">
        <v>10500.94</v>
      </c>
    </row>
    <row r="721" spans="1:23" hidden="1" x14ac:dyDescent="0.25">
      <c r="A721">
        <v>15741</v>
      </c>
      <c r="B721">
        <v>456199551</v>
      </c>
      <c r="C721" t="s">
        <v>4212</v>
      </c>
      <c r="D721" s="8" t="s">
        <v>4213</v>
      </c>
      <c r="E721" t="s">
        <v>644</v>
      </c>
      <c r="G721" t="s">
        <v>62</v>
      </c>
      <c r="H721" t="s">
        <v>63</v>
      </c>
      <c r="I721" t="s">
        <v>30</v>
      </c>
      <c r="J721" t="s">
        <v>64</v>
      </c>
      <c r="K721" t="s">
        <v>27</v>
      </c>
      <c r="L721" t="s">
        <v>65</v>
      </c>
      <c r="M721" t="s">
        <v>4214</v>
      </c>
      <c r="N721" t="s">
        <v>646</v>
      </c>
      <c r="O721" t="s">
        <v>83</v>
      </c>
      <c r="P721" t="s">
        <v>4215</v>
      </c>
      <c r="Q721" t="s">
        <v>101</v>
      </c>
      <c r="R721" s="23" t="s">
        <v>332</v>
      </c>
      <c r="S721" s="23">
        <v>46177</v>
      </c>
      <c r="T721">
        <v>22.93</v>
      </c>
      <c r="U721">
        <v>17618</v>
      </c>
      <c r="V721">
        <v>839.94</v>
      </c>
      <c r="W721">
        <v>18457.939999999999</v>
      </c>
    </row>
    <row r="722" spans="1:23" hidden="1" x14ac:dyDescent="0.25">
      <c r="A722">
        <v>15741</v>
      </c>
      <c r="B722">
        <v>456199547</v>
      </c>
      <c r="C722" t="s">
        <v>4216</v>
      </c>
      <c r="D722" s="8" t="s">
        <v>4217</v>
      </c>
      <c r="E722" t="s">
        <v>644</v>
      </c>
      <c r="G722" t="s">
        <v>62</v>
      </c>
      <c r="H722" t="s">
        <v>63</v>
      </c>
      <c r="I722" t="s">
        <v>30</v>
      </c>
      <c r="J722" t="s">
        <v>64</v>
      </c>
      <c r="K722" t="s">
        <v>27</v>
      </c>
      <c r="L722" t="s">
        <v>65</v>
      </c>
      <c r="M722" t="s">
        <v>4218</v>
      </c>
      <c r="N722" t="s">
        <v>646</v>
      </c>
      <c r="O722" t="s">
        <v>83</v>
      </c>
      <c r="P722" t="s">
        <v>4219</v>
      </c>
      <c r="Q722" t="s">
        <v>43</v>
      </c>
      <c r="R722" s="23" t="s">
        <v>332</v>
      </c>
      <c r="S722" s="23">
        <v>46177</v>
      </c>
      <c r="T722">
        <v>23.91</v>
      </c>
      <c r="U722">
        <v>9721</v>
      </c>
      <c r="V722">
        <v>839.94</v>
      </c>
      <c r="W722">
        <v>10560.94</v>
      </c>
    </row>
    <row r="723" spans="1:23" hidden="1" x14ac:dyDescent="0.25">
      <c r="A723">
        <v>15741</v>
      </c>
      <c r="B723">
        <v>456199556</v>
      </c>
      <c r="C723" t="s">
        <v>4220</v>
      </c>
      <c r="D723" s="8" t="s">
        <v>4221</v>
      </c>
      <c r="E723" t="s">
        <v>644</v>
      </c>
      <c r="G723" t="s">
        <v>62</v>
      </c>
      <c r="H723" t="s">
        <v>63</v>
      </c>
      <c r="I723" t="s">
        <v>30</v>
      </c>
      <c r="J723" t="s">
        <v>64</v>
      </c>
      <c r="K723" t="s">
        <v>27</v>
      </c>
      <c r="L723" t="s">
        <v>215</v>
      </c>
      <c r="M723" t="s">
        <v>4222</v>
      </c>
      <c r="N723" t="s">
        <v>646</v>
      </c>
      <c r="O723" t="s">
        <v>83</v>
      </c>
      <c r="P723" t="s">
        <v>4223</v>
      </c>
      <c r="Q723" t="s">
        <v>267</v>
      </c>
      <c r="R723" s="23" t="s">
        <v>332</v>
      </c>
      <c r="S723" s="23">
        <v>46177</v>
      </c>
      <c r="T723">
        <v>47.53</v>
      </c>
      <c r="U723">
        <v>32289</v>
      </c>
      <c r="V723">
        <v>1439.88</v>
      </c>
      <c r="W723">
        <v>33728.879999999997</v>
      </c>
    </row>
    <row r="724" spans="1:23" hidden="1" x14ac:dyDescent="0.25">
      <c r="A724">
        <v>15741</v>
      </c>
      <c r="B724">
        <v>456199554</v>
      </c>
      <c r="C724" t="s">
        <v>4224</v>
      </c>
      <c r="D724" s="8" t="s">
        <v>4225</v>
      </c>
      <c r="E724" t="s">
        <v>644</v>
      </c>
      <c r="G724" t="s">
        <v>62</v>
      </c>
      <c r="H724" t="s">
        <v>63</v>
      </c>
      <c r="I724" t="s">
        <v>30</v>
      </c>
      <c r="J724" t="s">
        <v>64</v>
      </c>
      <c r="K724" t="s">
        <v>27</v>
      </c>
      <c r="L724" t="s">
        <v>65</v>
      </c>
      <c r="M724" t="s">
        <v>4226</v>
      </c>
      <c r="N724" t="s">
        <v>646</v>
      </c>
      <c r="O724" t="s">
        <v>83</v>
      </c>
      <c r="P724" t="s">
        <v>4227</v>
      </c>
      <c r="Q724" t="s">
        <v>93</v>
      </c>
      <c r="R724" s="23" t="s">
        <v>332</v>
      </c>
      <c r="S724" s="23">
        <v>46177</v>
      </c>
      <c r="T724">
        <v>22.88</v>
      </c>
      <c r="U724">
        <v>14465</v>
      </c>
      <c r="V724">
        <v>719.94</v>
      </c>
      <c r="W724">
        <v>15184.94</v>
      </c>
    </row>
    <row r="725" spans="1:23" hidden="1" x14ac:dyDescent="0.25">
      <c r="A725">
        <v>15741</v>
      </c>
      <c r="B725">
        <v>456199541</v>
      </c>
      <c r="C725" t="s">
        <v>4228</v>
      </c>
      <c r="D725" s="8" t="s">
        <v>4229</v>
      </c>
      <c r="E725" t="s">
        <v>644</v>
      </c>
      <c r="G725" t="s">
        <v>62</v>
      </c>
      <c r="H725" t="s">
        <v>63</v>
      </c>
      <c r="I725" t="s">
        <v>30</v>
      </c>
      <c r="J725" t="s">
        <v>64</v>
      </c>
      <c r="K725" t="s">
        <v>27</v>
      </c>
      <c r="L725" t="s">
        <v>65</v>
      </c>
      <c r="M725" t="s">
        <v>4230</v>
      </c>
      <c r="N725" t="s">
        <v>646</v>
      </c>
      <c r="O725" t="s">
        <v>83</v>
      </c>
      <c r="P725" t="s">
        <v>4231</v>
      </c>
      <c r="Q725" t="s">
        <v>173</v>
      </c>
      <c r="R725" s="23" t="s">
        <v>332</v>
      </c>
      <c r="S725" s="23">
        <v>46177</v>
      </c>
      <c r="T725">
        <v>24.04</v>
      </c>
      <c r="U725">
        <v>30968</v>
      </c>
      <c r="V725">
        <v>779.94</v>
      </c>
      <c r="W725">
        <v>31747.94</v>
      </c>
    </row>
    <row r="726" spans="1:23" hidden="1" x14ac:dyDescent="0.25">
      <c r="A726">
        <v>15741</v>
      </c>
      <c r="B726">
        <v>456199558</v>
      </c>
      <c r="C726" t="s">
        <v>4232</v>
      </c>
      <c r="D726" s="8" t="s">
        <v>4233</v>
      </c>
      <c r="E726" t="s">
        <v>644</v>
      </c>
      <c r="G726" t="s">
        <v>62</v>
      </c>
      <c r="H726" t="s">
        <v>63</v>
      </c>
      <c r="I726" t="s">
        <v>30</v>
      </c>
      <c r="J726" t="s">
        <v>64</v>
      </c>
      <c r="K726" t="s">
        <v>27</v>
      </c>
      <c r="L726" t="s">
        <v>65</v>
      </c>
      <c r="M726" t="s">
        <v>4234</v>
      </c>
      <c r="N726" t="s">
        <v>646</v>
      </c>
      <c r="O726" t="s">
        <v>83</v>
      </c>
      <c r="P726" t="s">
        <v>4235</v>
      </c>
      <c r="Q726" t="s">
        <v>57</v>
      </c>
      <c r="R726" s="23" t="s">
        <v>332</v>
      </c>
      <c r="S726" s="23">
        <v>46177</v>
      </c>
      <c r="T726">
        <v>24.29</v>
      </c>
      <c r="U726">
        <v>15625</v>
      </c>
      <c r="V726">
        <v>899.94</v>
      </c>
      <c r="W726">
        <v>16524.939999999999</v>
      </c>
    </row>
    <row r="727" spans="1:23" hidden="1" x14ac:dyDescent="0.25">
      <c r="A727">
        <v>15741</v>
      </c>
      <c r="B727">
        <v>455948738</v>
      </c>
      <c r="C727" t="s">
        <v>4236</v>
      </c>
      <c r="D727" s="8" t="s">
        <v>4237</v>
      </c>
      <c r="E727" t="s">
        <v>644</v>
      </c>
      <c r="G727" t="s">
        <v>62</v>
      </c>
      <c r="H727" t="s">
        <v>63</v>
      </c>
      <c r="I727" t="s">
        <v>30</v>
      </c>
      <c r="J727" t="s">
        <v>64</v>
      </c>
      <c r="K727" t="s">
        <v>27</v>
      </c>
      <c r="L727" t="s">
        <v>65</v>
      </c>
      <c r="M727" t="s">
        <v>4238</v>
      </c>
      <c r="N727" t="s">
        <v>646</v>
      </c>
      <c r="O727" t="s">
        <v>83</v>
      </c>
      <c r="P727" t="s">
        <v>4239</v>
      </c>
      <c r="Q727" t="s">
        <v>43</v>
      </c>
      <c r="R727" s="23" t="s">
        <v>4240</v>
      </c>
      <c r="S727" s="23">
        <v>46176</v>
      </c>
      <c r="T727">
        <v>24.23</v>
      </c>
      <c r="U727">
        <v>10193</v>
      </c>
      <c r="V727">
        <v>0</v>
      </c>
      <c r="W727">
        <v>10193</v>
      </c>
    </row>
    <row r="728" spans="1:23" hidden="1" x14ac:dyDescent="0.25">
      <c r="A728">
        <v>15741</v>
      </c>
      <c r="B728">
        <v>455865514</v>
      </c>
      <c r="C728" t="s">
        <v>4241</v>
      </c>
      <c r="D728" s="8" t="s">
        <v>4242</v>
      </c>
      <c r="E728" t="s">
        <v>644</v>
      </c>
      <c r="G728" t="s">
        <v>62</v>
      </c>
      <c r="H728" t="s">
        <v>63</v>
      </c>
      <c r="I728" t="s">
        <v>30</v>
      </c>
      <c r="J728" t="s">
        <v>64</v>
      </c>
      <c r="K728" t="s">
        <v>27</v>
      </c>
      <c r="L728" t="s">
        <v>65</v>
      </c>
      <c r="M728" t="s">
        <v>4243</v>
      </c>
      <c r="N728" t="s">
        <v>646</v>
      </c>
      <c r="O728" t="s">
        <v>83</v>
      </c>
      <c r="P728" t="s">
        <v>4244</v>
      </c>
      <c r="Q728" t="s">
        <v>128</v>
      </c>
      <c r="R728" s="23" t="s">
        <v>4245</v>
      </c>
      <c r="S728" s="23">
        <v>46175</v>
      </c>
      <c r="T728">
        <v>23.03</v>
      </c>
      <c r="U728">
        <v>18623</v>
      </c>
      <c r="V728">
        <v>0</v>
      </c>
      <c r="W728">
        <v>18623</v>
      </c>
    </row>
    <row r="729" spans="1:23" hidden="1" x14ac:dyDescent="0.25">
      <c r="A729">
        <v>15741</v>
      </c>
      <c r="B729">
        <v>456194496</v>
      </c>
      <c r="C729" t="s">
        <v>4246</v>
      </c>
      <c r="D729" s="8" t="s">
        <v>4247</v>
      </c>
      <c r="E729" t="s">
        <v>644</v>
      </c>
      <c r="G729" t="s">
        <v>62</v>
      </c>
      <c r="H729" t="s">
        <v>63</v>
      </c>
      <c r="I729" t="s">
        <v>30</v>
      </c>
      <c r="J729" t="s">
        <v>64</v>
      </c>
      <c r="K729" t="s">
        <v>27</v>
      </c>
      <c r="L729" t="s">
        <v>65</v>
      </c>
      <c r="M729" t="s">
        <v>4248</v>
      </c>
      <c r="N729" t="s">
        <v>646</v>
      </c>
      <c r="O729" t="s">
        <v>83</v>
      </c>
      <c r="P729" t="s">
        <v>4249</v>
      </c>
      <c r="Q729" t="s">
        <v>43</v>
      </c>
      <c r="R729" s="23" t="s">
        <v>408</v>
      </c>
      <c r="S729" s="23">
        <v>46177</v>
      </c>
      <c r="T729">
        <v>32</v>
      </c>
      <c r="U729">
        <v>13499</v>
      </c>
      <c r="V729">
        <v>1363.15</v>
      </c>
      <c r="W729">
        <v>14862.15</v>
      </c>
    </row>
    <row r="730" spans="1:23" hidden="1" x14ac:dyDescent="0.25">
      <c r="A730">
        <v>15741</v>
      </c>
      <c r="B730">
        <v>456013734</v>
      </c>
      <c r="C730" t="s">
        <v>4250</v>
      </c>
      <c r="D730" s="8" t="s">
        <v>4251</v>
      </c>
      <c r="E730" t="s">
        <v>644</v>
      </c>
      <c r="G730" t="s">
        <v>62</v>
      </c>
      <c r="H730" t="s">
        <v>63</v>
      </c>
      <c r="I730" t="s">
        <v>30</v>
      </c>
      <c r="J730" t="s">
        <v>64</v>
      </c>
      <c r="K730" t="s">
        <v>27</v>
      </c>
      <c r="L730" t="s">
        <v>65</v>
      </c>
      <c r="M730" t="s">
        <v>4252</v>
      </c>
      <c r="N730" t="s">
        <v>646</v>
      </c>
      <c r="O730" t="s">
        <v>83</v>
      </c>
      <c r="P730" t="s">
        <v>4253</v>
      </c>
      <c r="Q730" t="s">
        <v>57</v>
      </c>
      <c r="R730" s="23" t="s">
        <v>411</v>
      </c>
      <c r="S730" s="23">
        <v>46176</v>
      </c>
      <c r="T730">
        <v>23.68</v>
      </c>
      <c r="U730">
        <v>15046</v>
      </c>
      <c r="V730">
        <v>2159.94</v>
      </c>
      <c r="W730">
        <v>17205.939999999999</v>
      </c>
    </row>
    <row r="731" spans="1:23" hidden="1" x14ac:dyDescent="0.25">
      <c r="A731">
        <v>15741</v>
      </c>
      <c r="B731">
        <v>456013738</v>
      </c>
      <c r="C731" t="s">
        <v>4254</v>
      </c>
      <c r="D731" s="8" t="s">
        <v>4255</v>
      </c>
      <c r="E731" t="s">
        <v>644</v>
      </c>
      <c r="G731" t="s">
        <v>62</v>
      </c>
      <c r="H731" t="s">
        <v>63</v>
      </c>
      <c r="I731" t="s">
        <v>30</v>
      </c>
      <c r="J731" t="s">
        <v>64</v>
      </c>
      <c r="K731" t="s">
        <v>27</v>
      </c>
      <c r="L731" t="s">
        <v>65</v>
      </c>
      <c r="M731" t="s">
        <v>4256</v>
      </c>
      <c r="N731" t="s">
        <v>646</v>
      </c>
      <c r="O731" t="s">
        <v>83</v>
      </c>
      <c r="P731" t="s">
        <v>4257</v>
      </c>
      <c r="Q731" t="s">
        <v>423</v>
      </c>
      <c r="R731" s="23" t="s">
        <v>411</v>
      </c>
      <c r="S731" s="23">
        <v>46176</v>
      </c>
      <c r="T731">
        <v>23.4</v>
      </c>
      <c r="U731">
        <v>16894</v>
      </c>
      <c r="V731">
        <v>1499.94</v>
      </c>
      <c r="W731">
        <v>18393.939999999999</v>
      </c>
    </row>
    <row r="732" spans="1:23" hidden="1" x14ac:dyDescent="0.25">
      <c r="A732">
        <v>15741</v>
      </c>
      <c r="B732">
        <v>456013685</v>
      </c>
      <c r="C732" t="s">
        <v>4258</v>
      </c>
      <c r="D732" s="8" t="s">
        <v>4259</v>
      </c>
      <c r="E732" t="s">
        <v>644</v>
      </c>
      <c r="G732" t="s">
        <v>62</v>
      </c>
      <c r="H732" t="s">
        <v>63</v>
      </c>
      <c r="I732" t="s">
        <v>30</v>
      </c>
      <c r="J732" t="s">
        <v>64</v>
      </c>
      <c r="K732" t="s">
        <v>27</v>
      </c>
      <c r="L732" t="s">
        <v>215</v>
      </c>
      <c r="M732" t="s">
        <v>4260</v>
      </c>
      <c r="N732" t="s">
        <v>646</v>
      </c>
      <c r="O732" t="s">
        <v>83</v>
      </c>
      <c r="P732" t="s">
        <v>4261</v>
      </c>
      <c r="Q732" t="s">
        <v>425</v>
      </c>
      <c r="R732" s="23" t="s">
        <v>411</v>
      </c>
      <c r="S732" s="23">
        <v>46176</v>
      </c>
      <c r="T732">
        <v>49.5</v>
      </c>
      <c r="U732">
        <v>39262</v>
      </c>
      <c r="V732">
        <v>749.88</v>
      </c>
      <c r="W732">
        <v>40011.879999999997</v>
      </c>
    </row>
    <row r="733" spans="1:23" hidden="1" x14ac:dyDescent="0.25">
      <c r="A733">
        <v>15741</v>
      </c>
      <c r="B733">
        <v>456013726</v>
      </c>
      <c r="C733" t="s">
        <v>4262</v>
      </c>
      <c r="D733" s="8" t="s">
        <v>4263</v>
      </c>
      <c r="E733" t="s">
        <v>644</v>
      </c>
      <c r="G733" t="s">
        <v>62</v>
      </c>
      <c r="H733" t="s">
        <v>63</v>
      </c>
      <c r="I733" t="s">
        <v>30</v>
      </c>
      <c r="J733" t="s">
        <v>64</v>
      </c>
      <c r="K733" t="s">
        <v>27</v>
      </c>
      <c r="L733" t="s">
        <v>65</v>
      </c>
      <c r="M733" t="s">
        <v>4264</v>
      </c>
      <c r="N733" t="s">
        <v>646</v>
      </c>
      <c r="O733" t="s">
        <v>83</v>
      </c>
      <c r="P733" t="s">
        <v>4265</v>
      </c>
      <c r="Q733" t="s">
        <v>44</v>
      </c>
      <c r="R733" s="23" t="s">
        <v>411</v>
      </c>
      <c r="S733" s="23">
        <v>46176</v>
      </c>
      <c r="T733">
        <v>24.54</v>
      </c>
      <c r="U733">
        <v>10193</v>
      </c>
      <c r="V733">
        <v>719.94</v>
      </c>
      <c r="W733">
        <v>10912.94</v>
      </c>
    </row>
    <row r="734" spans="1:23" hidden="1" x14ac:dyDescent="0.25">
      <c r="A734">
        <v>15741</v>
      </c>
      <c r="B734">
        <v>456013716</v>
      </c>
      <c r="C734" t="s">
        <v>4266</v>
      </c>
      <c r="D734" s="8" t="s">
        <v>4267</v>
      </c>
      <c r="E734" t="s">
        <v>644</v>
      </c>
      <c r="G734" t="s">
        <v>62</v>
      </c>
      <c r="H734" t="s">
        <v>63</v>
      </c>
      <c r="I734" t="s">
        <v>30</v>
      </c>
      <c r="J734" t="s">
        <v>64</v>
      </c>
      <c r="K734" t="s">
        <v>27</v>
      </c>
      <c r="L734" t="s">
        <v>65</v>
      </c>
      <c r="M734" t="s">
        <v>394</v>
      </c>
      <c r="N734" t="s">
        <v>646</v>
      </c>
      <c r="O734" t="s">
        <v>83</v>
      </c>
      <c r="P734" t="s">
        <v>4268</v>
      </c>
      <c r="Q734" t="s">
        <v>101</v>
      </c>
      <c r="R734" s="23" t="s">
        <v>411</v>
      </c>
      <c r="S734" s="23">
        <v>46176</v>
      </c>
      <c r="T734">
        <v>24.29</v>
      </c>
      <c r="U734">
        <v>19119</v>
      </c>
      <c r="V734">
        <v>779.94</v>
      </c>
      <c r="W734">
        <v>19898.939999999999</v>
      </c>
    </row>
    <row r="735" spans="1:23" hidden="1" x14ac:dyDescent="0.25">
      <c r="A735">
        <v>15741</v>
      </c>
      <c r="B735">
        <v>456013719</v>
      </c>
      <c r="C735" t="s">
        <v>4269</v>
      </c>
      <c r="D735" s="8" t="s">
        <v>4270</v>
      </c>
      <c r="E735" t="s">
        <v>644</v>
      </c>
      <c r="G735" t="s">
        <v>62</v>
      </c>
      <c r="H735" t="s">
        <v>63</v>
      </c>
      <c r="I735" t="s">
        <v>30</v>
      </c>
      <c r="J735" t="s">
        <v>64</v>
      </c>
      <c r="K735" t="s">
        <v>27</v>
      </c>
      <c r="L735" t="s">
        <v>65</v>
      </c>
      <c r="M735" t="s">
        <v>4271</v>
      </c>
      <c r="N735" t="s">
        <v>646</v>
      </c>
      <c r="O735" t="s">
        <v>83</v>
      </c>
      <c r="P735" t="s">
        <v>4272</v>
      </c>
      <c r="Q735" t="s">
        <v>50</v>
      </c>
      <c r="R735" s="23" t="s">
        <v>411</v>
      </c>
      <c r="S735" s="23">
        <v>46176</v>
      </c>
      <c r="T735">
        <v>24.32</v>
      </c>
      <c r="U735">
        <v>10193</v>
      </c>
      <c r="V735">
        <v>0</v>
      </c>
      <c r="W735">
        <v>10193</v>
      </c>
    </row>
    <row r="736" spans="1:23" hidden="1" x14ac:dyDescent="0.25">
      <c r="A736">
        <v>15741</v>
      </c>
      <c r="B736">
        <v>456013711</v>
      </c>
      <c r="C736" t="s">
        <v>4273</v>
      </c>
      <c r="D736" s="8" t="s">
        <v>4274</v>
      </c>
      <c r="E736" t="s">
        <v>644</v>
      </c>
      <c r="G736" t="s">
        <v>62</v>
      </c>
      <c r="H736" t="s">
        <v>63</v>
      </c>
      <c r="I736" t="s">
        <v>30</v>
      </c>
      <c r="J736" t="s">
        <v>64</v>
      </c>
      <c r="K736" t="s">
        <v>27</v>
      </c>
      <c r="L736" t="s">
        <v>65</v>
      </c>
      <c r="M736" t="s">
        <v>4275</v>
      </c>
      <c r="N736" t="s">
        <v>646</v>
      </c>
      <c r="O736" t="s">
        <v>83</v>
      </c>
      <c r="P736" t="s">
        <v>4276</v>
      </c>
      <c r="Q736" t="s">
        <v>44</v>
      </c>
      <c r="R736" s="23" t="s">
        <v>411</v>
      </c>
      <c r="S736" s="23">
        <v>46176</v>
      </c>
      <c r="T736">
        <v>24.3</v>
      </c>
      <c r="U736">
        <v>10193</v>
      </c>
      <c r="V736">
        <v>1559.94</v>
      </c>
      <c r="W736">
        <v>11752.94</v>
      </c>
    </row>
    <row r="737" spans="1:23" hidden="1" x14ac:dyDescent="0.25">
      <c r="A737">
        <v>15741</v>
      </c>
      <c r="B737">
        <v>456013702</v>
      </c>
      <c r="C737" t="s">
        <v>4277</v>
      </c>
      <c r="D737" s="8" t="s">
        <v>4278</v>
      </c>
      <c r="E737" t="s">
        <v>644</v>
      </c>
      <c r="G737" t="s">
        <v>62</v>
      </c>
      <c r="H737" t="s">
        <v>63</v>
      </c>
      <c r="I737" t="s">
        <v>30</v>
      </c>
      <c r="J737" t="s">
        <v>64</v>
      </c>
      <c r="K737" t="s">
        <v>27</v>
      </c>
      <c r="L737" t="s">
        <v>65</v>
      </c>
      <c r="M737" t="s">
        <v>4279</v>
      </c>
      <c r="N737" t="s">
        <v>646</v>
      </c>
      <c r="O737" t="s">
        <v>83</v>
      </c>
      <c r="P737" t="s">
        <v>4280</v>
      </c>
      <c r="Q737" t="s">
        <v>61</v>
      </c>
      <c r="R737" s="23" t="s">
        <v>411</v>
      </c>
      <c r="S737" s="23">
        <v>46176</v>
      </c>
      <c r="T737">
        <v>23.9</v>
      </c>
      <c r="U737">
        <v>15046</v>
      </c>
      <c r="V737">
        <v>1559.94</v>
      </c>
      <c r="W737">
        <v>16605.939999999999</v>
      </c>
    </row>
    <row r="738" spans="1:23" hidden="1" x14ac:dyDescent="0.25">
      <c r="A738">
        <v>15741</v>
      </c>
      <c r="B738">
        <v>456013696</v>
      </c>
      <c r="C738" t="s">
        <v>4281</v>
      </c>
      <c r="D738" s="8" t="s">
        <v>4282</v>
      </c>
      <c r="E738" t="s">
        <v>644</v>
      </c>
      <c r="G738" t="s">
        <v>62</v>
      </c>
      <c r="H738" t="s">
        <v>63</v>
      </c>
      <c r="I738" t="s">
        <v>30</v>
      </c>
      <c r="J738" t="s">
        <v>64</v>
      </c>
      <c r="K738" t="s">
        <v>27</v>
      </c>
      <c r="L738" t="s">
        <v>65</v>
      </c>
      <c r="M738" t="s">
        <v>4283</v>
      </c>
      <c r="N738" t="s">
        <v>646</v>
      </c>
      <c r="O738" t="s">
        <v>83</v>
      </c>
      <c r="P738" t="s">
        <v>4284</v>
      </c>
      <c r="Q738" t="s">
        <v>111</v>
      </c>
      <c r="R738" s="23" t="s">
        <v>411</v>
      </c>
      <c r="S738" s="23">
        <v>46176</v>
      </c>
      <c r="T738">
        <v>23.26</v>
      </c>
      <c r="U738">
        <v>16180</v>
      </c>
      <c r="V738">
        <v>3779.94</v>
      </c>
      <c r="W738">
        <v>19959.939999999999</v>
      </c>
    </row>
    <row r="739" spans="1:23" hidden="1" x14ac:dyDescent="0.25">
      <c r="A739">
        <v>15741</v>
      </c>
      <c r="B739">
        <v>456013692</v>
      </c>
      <c r="C739" t="s">
        <v>4285</v>
      </c>
      <c r="D739" s="8" t="s">
        <v>4286</v>
      </c>
      <c r="E739" t="s">
        <v>644</v>
      </c>
      <c r="G739" t="s">
        <v>62</v>
      </c>
      <c r="H739" t="s">
        <v>63</v>
      </c>
      <c r="I739" t="s">
        <v>30</v>
      </c>
      <c r="J739" t="s">
        <v>64</v>
      </c>
      <c r="K739" t="s">
        <v>27</v>
      </c>
      <c r="L739" t="s">
        <v>65</v>
      </c>
      <c r="M739" t="s">
        <v>4287</v>
      </c>
      <c r="N739" t="s">
        <v>646</v>
      </c>
      <c r="O739" t="s">
        <v>83</v>
      </c>
      <c r="P739" t="s">
        <v>4288</v>
      </c>
      <c r="Q739" t="s">
        <v>52</v>
      </c>
      <c r="R739" s="23" t="s">
        <v>411</v>
      </c>
      <c r="S739" s="23">
        <v>46176</v>
      </c>
      <c r="T739">
        <v>24</v>
      </c>
      <c r="U739">
        <v>9721</v>
      </c>
      <c r="V739">
        <v>1109.94</v>
      </c>
      <c r="W739">
        <v>10830.94</v>
      </c>
    </row>
    <row r="740" spans="1:23" hidden="1" x14ac:dyDescent="0.25">
      <c r="A740">
        <v>15741</v>
      </c>
      <c r="B740">
        <v>456013686</v>
      </c>
      <c r="C740" t="s">
        <v>4289</v>
      </c>
      <c r="D740" s="8" t="s">
        <v>4290</v>
      </c>
      <c r="E740" t="s">
        <v>644</v>
      </c>
      <c r="G740" t="s">
        <v>62</v>
      </c>
      <c r="H740" t="s">
        <v>63</v>
      </c>
      <c r="I740" t="s">
        <v>30</v>
      </c>
      <c r="J740" t="s">
        <v>64</v>
      </c>
      <c r="K740" t="s">
        <v>27</v>
      </c>
      <c r="L740" t="s">
        <v>65</v>
      </c>
      <c r="M740" t="s">
        <v>4291</v>
      </c>
      <c r="N740" t="s">
        <v>646</v>
      </c>
      <c r="O740" t="s">
        <v>83</v>
      </c>
      <c r="P740" t="s">
        <v>4292</v>
      </c>
      <c r="Q740" t="s">
        <v>44</v>
      </c>
      <c r="R740" s="23" t="s">
        <v>411</v>
      </c>
      <c r="S740" s="23">
        <v>46176</v>
      </c>
      <c r="T740">
        <v>24.72</v>
      </c>
      <c r="U740">
        <v>10193</v>
      </c>
      <c r="V740">
        <v>839.94</v>
      </c>
      <c r="W740">
        <v>11032.94</v>
      </c>
    </row>
    <row r="741" spans="1:23" hidden="1" x14ac:dyDescent="0.25">
      <c r="A741">
        <v>15741</v>
      </c>
      <c r="B741">
        <v>455955050</v>
      </c>
      <c r="C741" t="s">
        <v>4293</v>
      </c>
      <c r="D741" s="8" t="s">
        <v>4294</v>
      </c>
      <c r="E741" t="s">
        <v>644</v>
      </c>
      <c r="G741" t="s">
        <v>62</v>
      </c>
      <c r="H741" t="s">
        <v>63</v>
      </c>
      <c r="I741" t="s">
        <v>30</v>
      </c>
      <c r="J741" t="s">
        <v>64</v>
      </c>
      <c r="K741" t="s">
        <v>27</v>
      </c>
      <c r="L741" t="s">
        <v>65</v>
      </c>
      <c r="M741" t="s">
        <v>4295</v>
      </c>
      <c r="N741" t="s">
        <v>646</v>
      </c>
      <c r="O741" t="s">
        <v>83</v>
      </c>
      <c r="P741" t="s">
        <v>4296</v>
      </c>
      <c r="Q741" t="s">
        <v>100</v>
      </c>
      <c r="R741" s="23" t="s">
        <v>333</v>
      </c>
      <c r="S741" s="23">
        <v>46176</v>
      </c>
      <c r="T741">
        <v>23.25</v>
      </c>
      <c r="U741">
        <v>9721</v>
      </c>
      <c r="V741">
        <v>839.94</v>
      </c>
      <c r="W741">
        <v>10560.94</v>
      </c>
    </row>
    <row r="742" spans="1:23" hidden="1" x14ac:dyDescent="0.25">
      <c r="A742">
        <v>15741</v>
      </c>
      <c r="B742">
        <v>455955045</v>
      </c>
      <c r="C742" t="s">
        <v>4297</v>
      </c>
      <c r="D742" s="8" t="s">
        <v>4298</v>
      </c>
      <c r="E742" t="s">
        <v>644</v>
      </c>
      <c r="G742" t="s">
        <v>62</v>
      </c>
      <c r="H742" t="s">
        <v>63</v>
      </c>
      <c r="I742" t="s">
        <v>30</v>
      </c>
      <c r="J742" t="s">
        <v>64</v>
      </c>
      <c r="K742" t="s">
        <v>132</v>
      </c>
      <c r="L742" t="s">
        <v>274</v>
      </c>
      <c r="M742" t="s">
        <v>4299</v>
      </c>
      <c r="N742" t="s">
        <v>646</v>
      </c>
      <c r="O742" t="s">
        <v>83</v>
      </c>
      <c r="P742" t="s">
        <v>4300</v>
      </c>
      <c r="Q742" t="s">
        <v>51</v>
      </c>
      <c r="R742" s="23" t="s">
        <v>333</v>
      </c>
      <c r="S742" s="23">
        <v>46176</v>
      </c>
      <c r="T742">
        <v>24.64</v>
      </c>
      <c r="U742">
        <v>10193</v>
      </c>
      <c r="V742">
        <v>779.94</v>
      </c>
      <c r="W742">
        <v>10972.94</v>
      </c>
    </row>
    <row r="743" spans="1:23" hidden="1" x14ac:dyDescent="0.25">
      <c r="A743">
        <v>15741</v>
      </c>
      <c r="B743">
        <v>455955038</v>
      </c>
      <c r="C743" t="s">
        <v>4301</v>
      </c>
      <c r="D743" s="8" t="s">
        <v>4302</v>
      </c>
      <c r="E743" t="s">
        <v>644</v>
      </c>
      <c r="G743" t="s">
        <v>62</v>
      </c>
      <c r="H743" t="s">
        <v>63</v>
      </c>
      <c r="I743" t="s">
        <v>30</v>
      </c>
      <c r="J743" t="s">
        <v>64</v>
      </c>
      <c r="K743" t="s">
        <v>27</v>
      </c>
      <c r="L743" t="s">
        <v>65</v>
      </c>
      <c r="M743" t="s">
        <v>4303</v>
      </c>
      <c r="N743" t="s">
        <v>646</v>
      </c>
      <c r="O743" t="s">
        <v>83</v>
      </c>
      <c r="P743" t="s">
        <v>4304</v>
      </c>
      <c r="Q743" t="s">
        <v>57</v>
      </c>
      <c r="R743" s="23" t="s">
        <v>333</v>
      </c>
      <c r="S743" s="23">
        <v>46176</v>
      </c>
      <c r="T743">
        <v>24.51</v>
      </c>
      <c r="U743">
        <v>15625</v>
      </c>
      <c r="V743">
        <v>0</v>
      </c>
      <c r="W743">
        <v>15625</v>
      </c>
    </row>
    <row r="744" spans="1:23" hidden="1" x14ac:dyDescent="0.25">
      <c r="A744">
        <v>15741</v>
      </c>
      <c r="B744">
        <v>455955037</v>
      </c>
      <c r="C744" t="s">
        <v>4305</v>
      </c>
      <c r="D744" s="8" t="s">
        <v>4306</v>
      </c>
      <c r="E744" t="s">
        <v>644</v>
      </c>
      <c r="G744" t="s">
        <v>62</v>
      </c>
      <c r="H744" t="s">
        <v>63</v>
      </c>
      <c r="I744" t="s">
        <v>30</v>
      </c>
      <c r="J744" t="s">
        <v>64</v>
      </c>
      <c r="K744" t="s">
        <v>196</v>
      </c>
      <c r="L744" t="s">
        <v>217</v>
      </c>
      <c r="M744" t="s">
        <v>4307</v>
      </c>
      <c r="N744" t="s">
        <v>646</v>
      </c>
      <c r="O744" t="s">
        <v>83</v>
      </c>
      <c r="P744" t="s">
        <v>4308</v>
      </c>
      <c r="Q744" t="s">
        <v>67</v>
      </c>
      <c r="R744" s="23" t="s">
        <v>333</v>
      </c>
      <c r="S744" s="23">
        <v>46176</v>
      </c>
      <c r="T744">
        <v>48.35</v>
      </c>
      <c r="U744">
        <v>31861</v>
      </c>
      <c r="V744">
        <v>839.88</v>
      </c>
      <c r="W744">
        <v>32700.880000000001</v>
      </c>
    </row>
    <row r="745" spans="1:23" hidden="1" x14ac:dyDescent="0.25">
      <c r="A745">
        <v>15741</v>
      </c>
      <c r="B745">
        <v>455955032</v>
      </c>
      <c r="C745" t="s">
        <v>4309</v>
      </c>
      <c r="D745" s="8" t="s">
        <v>4310</v>
      </c>
      <c r="E745" t="s">
        <v>644</v>
      </c>
      <c r="G745" t="s">
        <v>62</v>
      </c>
      <c r="H745" t="s">
        <v>63</v>
      </c>
      <c r="I745" t="s">
        <v>30</v>
      </c>
      <c r="J745" t="s">
        <v>64</v>
      </c>
      <c r="K745" t="s">
        <v>27</v>
      </c>
      <c r="L745" t="s">
        <v>65</v>
      </c>
      <c r="M745" t="s">
        <v>4311</v>
      </c>
      <c r="N745" t="s">
        <v>646</v>
      </c>
      <c r="O745" t="s">
        <v>83</v>
      </c>
      <c r="P745" t="s">
        <v>4312</v>
      </c>
      <c r="Q745" t="s">
        <v>69</v>
      </c>
      <c r="R745" s="23" t="s">
        <v>333</v>
      </c>
      <c r="S745" s="23">
        <v>46176</v>
      </c>
      <c r="T745">
        <v>23.52</v>
      </c>
      <c r="U745">
        <v>9721</v>
      </c>
      <c r="V745">
        <v>779.94</v>
      </c>
      <c r="W745">
        <v>10500.94</v>
      </c>
    </row>
    <row r="746" spans="1:23" hidden="1" x14ac:dyDescent="0.25">
      <c r="A746">
        <v>15741</v>
      </c>
      <c r="B746">
        <v>455955028</v>
      </c>
      <c r="C746" t="s">
        <v>4313</v>
      </c>
      <c r="D746" s="8" t="s">
        <v>4314</v>
      </c>
      <c r="E746" t="s">
        <v>644</v>
      </c>
      <c r="G746" t="s">
        <v>62</v>
      </c>
      <c r="H746" t="s">
        <v>63</v>
      </c>
      <c r="I746" t="s">
        <v>30</v>
      </c>
      <c r="J746" t="s">
        <v>64</v>
      </c>
      <c r="K746" t="s">
        <v>27</v>
      </c>
      <c r="L746" t="s">
        <v>65</v>
      </c>
      <c r="M746" t="s">
        <v>4315</v>
      </c>
      <c r="N746" t="s">
        <v>646</v>
      </c>
      <c r="O746" t="s">
        <v>83</v>
      </c>
      <c r="P746" t="s">
        <v>4316</v>
      </c>
      <c r="Q746" t="s">
        <v>68</v>
      </c>
      <c r="R746" s="23" t="s">
        <v>333</v>
      </c>
      <c r="S746" s="23">
        <v>46176</v>
      </c>
      <c r="T746">
        <v>24.08</v>
      </c>
      <c r="U746">
        <v>10193</v>
      </c>
      <c r="V746">
        <v>839.94</v>
      </c>
      <c r="W746">
        <v>11032.94</v>
      </c>
    </row>
    <row r="747" spans="1:23" hidden="1" x14ac:dyDescent="0.25">
      <c r="A747">
        <v>15741</v>
      </c>
      <c r="B747">
        <v>455955020</v>
      </c>
      <c r="C747" t="s">
        <v>4317</v>
      </c>
      <c r="D747" s="8" t="s">
        <v>4318</v>
      </c>
      <c r="E747" t="s">
        <v>644</v>
      </c>
      <c r="G747" t="s">
        <v>62</v>
      </c>
      <c r="H747" t="s">
        <v>63</v>
      </c>
      <c r="I747" t="s">
        <v>30</v>
      </c>
      <c r="J747" t="s">
        <v>64</v>
      </c>
      <c r="K747" t="s">
        <v>27</v>
      </c>
      <c r="L747" t="s">
        <v>65</v>
      </c>
      <c r="M747" t="s">
        <v>4319</v>
      </c>
      <c r="N747" t="s">
        <v>646</v>
      </c>
      <c r="O747" t="s">
        <v>83</v>
      </c>
      <c r="P747" t="s">
        <v>4320</v>
      </c>
      <c r="Q747" t="s">
        <v>100</v>
      </c>
      <c r="R747" s="23" t="s">
        <v>333</v>
      </c>
      <c r="S747" s="23">
        <v>46176</v>
      </c>
      <c r="T747">
        <v>24.4</v>
      </c>
      <c r="U747">
        <v>10193</v>
      </c>
      <c r="V747">
        <v>1559.94</v>
      </c>
      <c r="W747">
        <v>11752.94</v>
      </c>
    </row>
    <row r="748" spans="1:23" hidden="1" x14ac:dyDescent="0.25">
      <c r="A748">
        <v>15741</v>
      </c>
      <c r="B748">
        <v>455955018</v>
      </c>
      <c r="C748" t="s">
        <v>4321</v>
      </c>
      <c r="D748" s="8" t="s">
        <v>4322</v>
      </c>
      <c r="E748" t="s">
        <v>644</v>
      </c>
      <c r="G748" t="s">
        <v>62</v>
      </c>
      <c r="H748" t="s">
        <v>63</v>
      </c>
      <c r="I748" t="s">
        <v>30</v>
      </c>
      <c r="J748" t="s">
        <v>64</v>
      </c>
      <c r="K748" t="s">
        <v>27</v>
      </c>
      <c r="L748" t="s">
        <v>65</v>
      </c>
      <c r="M748" t="s">
        <v>4323</v>
      </c>
      <c r="N748" t="s">
        <v>646</v>
      </c>
      <c r="O748" t="s">
        <v>83</v>
      </c>
      <c r="P748" t="s">
        <v>4324</v>
      </c>
      <c r="Q748" t="s">
        <v>78</v>
      </c>
      <c r="R748" s="23" t="s">
        <v>333</v>
      </c>
      <c r="S748" s="23">
        <v>46176</v>
      </c>
      <c r="T748">
        <v>24.2</v>
      </c>
      <c r="U748">
        <v>10193</v>
      </c>
      <c r="V748">
        <v>0</v>
      </c>
      <c r="W748">
        <v>10193</v>
      </c>
    </row>
    <row r="749" spans="1:23" hidden="1" x14ac:dyDescent="0.25">
      <c r="A749">
        <v>15741</v>
      </c>
      <c r="B749">
        <v>455955006</v>
      </c>
      <c r="C749" t="s">
        <v>4325</v>
      </c>
      <c r="D749" s="8" t="s">
        <v>4326</v>
      </c>
      <c r="E749" t="s">
        <v>644</v>
      </c>
      <c r="G749" t="s">
        <v>62</v>
      </c>
      <c r="H749" t="s">
        <v>63</v>
      </c>
      <c r="I749" t="s">
        <v>30</v>
      </c>
      <c r="J749" t="s">
        <v>64</v>
      </c>
      <c r="K749" t="s">
        <v>27</v>
      </c>
      <c r="L749" t="s">
        <v>65</v>
      </c>
      <c r="M749" t="s">
        <v>4327</v>
      </c>
      <c r="N749" t="s">
        <v>646</v>
      </c>
      <c r="O749" t="s">
        <v>83</v>
      </c>
      <c r="P749" t="s">
        <v>4328</v>
      </c>
      <c r="Q749" t="s">
        <v>316</v>
      </c>
      <c r="R749" s="23" t="s">
        <v>333</v>
      </c>
      <c r="S749" s="23">
        <v>46176</v>
      </c>
      <c r="T749">
        <v>24.83</v>
      </c>
      <c r="U749">
        <v>16806</v>
      </c>
      <c r="V749">
        <v>1799.94</v>
      </c>
      <c r="W749">
        <v>18605.939999999999</v>
      </c>
    </row>
    <row r="750" spans="1:23" hidden="1" x14ac:dyDescent="0.25">
      <c r="A750">
        <v>15741</v>
      </c>
      <c r="B750">
        <v>455955001</v>
      </c>
      <c r="C750" t="s">
        <v>4329</v>
      </c>
      <c r="D750" s="8" t="s">
        <v>4330</v>
      </c>
      <c r="E750" t="s">
        <v>644</v>
      </c>
      <c r="G750" t="s">
        <v>62</v>
      </c>
      <c r="H750" t="s">
        <v>63</v>
      </c>
      <c r="I750" t="s">
        <v>30</v>
      </c>
      <c r="J750" t="s">
        <v>64</v>
      </c>
      <c r="K750" t="s">
        <v>27</v>
      </c>
      <c r="L750" t="s">
        <v>65</v>
      </c>
      <c r="M750" t="s">
        <v>4331</v>
      </c>
      <c r="N750" t="s">
        <v>646</v>
      </c>
      <c r="O750" t="s">
        <v>83</v>
      </c>
      <c r="P750" t="s">
        <v>4332</v>
      </c>
      <c r="Q750" t="s">
        <v>43</v>
      </c>
      <c r="R750" s="23" t="s">
        <v>333</v>
      </c>
      <c r="S750" s="23">
        <v>46176</v>
      </c>
      <c r="T750">
        <v>23.45</v>
      </c>
      <c r="U750">
        <v>9721</v>
      </c>
      <c r="V750">
        <v>779.94</v>
      </c>
      <c r="W750">
        <v>10500.94</v>
      </c>
    </row>
    <row r="751" spans="1:23" hidden="1" x14ac:dyDescent="0.25">
      <c r="A751">
        <v>15741</v>
      </c>
      <c r="B751">
        <v>455954997</v>
      </c>
      <c r="C751" t="s">
        <v>4333</v>
      </c>
      <c r="D751" s="8" t="s">
        <v>4334</v>
      </c>
      <c r="E751" t="s">
        <v>644</v>
      </c>
      <c r="G751" t="s">
        <v>62</v>
      </c>
      <c r="H751" t="s">
        <v>63</v>
      </c>
      <c r="I751" t="s">
        <v>30</v>
      </c>
      <c r="J751" t="s">
        <v>64</v>
      </c>
      <c r="K751" t="s">
        <v>27</v>
      </c>
      <c r="L751" t="s">
        <v>65</v>
      </c>
      <c r="M751" t="s">
        <v>454</v>
      </c>
      <c r="N751" t="s">
        <v>646</v>
      </c>
      <c r="O751" t="s">
        <v>83</v>
      </c>
      <c r="P751" t="s">
        <v>4335</v>
      </c>
      <c r="Q751" t="s">
        <v>45</v>
      </c>
      <c r="R751" s="23" t="s">
        <v>333</v>
      </c>
      <c r="S751" s="23">
        <v>46176</v>
      </c>
      <c r="T751">
        <v>23.67</v>
      </c>
      <c r="U751">
        <v>9721</v>
      </c>
      <c r="V751">
        <v>839.94</v>
      </c>
      <c r="W751">
        <v>10560.94</v>
      </c>
    </row>
    <row r="752" spans="1:23" hidden="1" x14ac:dyDescent="0.25">
      <c r="A752">
        <v>15741</v>
      </c>
      <c r="B752">
        <v>455954992</v>
      </c>
      <c r="C752" t="s">
        <v>4336</v>
      </c>
      <c r="D752" s="8" t="s">
        <v>4337</v>
      </c>
      <c r="E752" t="s">
        <v>644</v>
      </c>
      <c r="G752" t="s">
        <v>62</v>
      </c>
      <c r="H752" t="s">
        <v>63</v>
      </c>
      <c r="I752" t="s">
        <v>30</v>
      </c>
      <c r="J752" t="s">
        <v>64</v>
      </c>
      <c r="K752" t="s">
        <v>27</v>
      </c>
      <c r="L752" t="s">
        <v>215</v>
      </c>
      <c r="M752" t="s">
        <v>4338</v>
      </c>
      <c r="N752" t="s">
        <v>646</v>
      </c>
      <c r="O752" t="s">
        <v>83</v>
      </c>
      <c r="P752" t="s">
        <v>4339</v>
      </c>
      <c r="Q752" t="s">
        <v>108</v>
      </c>
      <c r="R752" s="23" t="s">
        <v>333</v>
      </c>
      <c r="S752" s="23">
        <v>46176</v>
      </c>
      <c r="T752">
        <v>46.65</v>
      </c>
      <c r="U752">
        <v>38046</v>
      </c>
      <c r="V752">
        <v>839.88</v>
      </c>
      <c r="W752">
        <v>38885.879999999997</v>
      </c>
    </row>
    <row r="753" spans="1:23" hidden="1" x14ac:dyDescent="0.25">
      <c r="A753">
        <v>15741</v>
      </c>
      <c r="B753">
        <v>455954987</v>
      </c>
      <c r="C753" t="s">
        <v>4340</v>
      </c>
      <c r="D753" s="8" t="s">
        <v>4341</v>
      </c>
      <c r="E753" t="s">
        <v>644</v>
      </c>
      <c r="G753" t="s">
        <v>62</v>
      </c>
      <c r="H753" t="s">
        <v>63</v>
      </c>
      <c r="I753" t="s">
        <v>30</v>
      </c>
      <c r="J753" t="s">
        <v>64</v>
      </c>
      <c r="K753" t="s">
        <v>27</v>
      </c>
      <c r="L753" t="s">
        <v>65</v>
      </c>
      <c r="M753" t="s">
        <v>4342</v>
      </c>
      <c r="N753" t="s">
        <v>646</v>
      </c>
      <c r="O753" t="s">
        <v>83</v>
      </c>
      <c r="P753" t="s">
        <v>4343</v>
      </c>
      <c r="Q753" t="s">
        <v>59</v>
      </c>
      <c r="R753" s="23" t="s">
        <v>333</v>
      </c>
      <c r="S753" s="23">
        <v>46176</v>
      </c>
      <c r="T753">
        <v>24.11</v>
      </c>
      <c r="U753">
        <v>17535</v>
      </c>
      <c r="V753">
        <v>779.94</v>
      </c>
      <c r="W753">
        <v>18314.939999999999</v>
      </c>
    </row>
    <row r="754" spans="1:23" hidden="1" x14ac:dyDescent="0.25">
      <c r="A754">
        <v>15741</v>
      </c>
      <c r="B754">
        <v>455954985</v>
      </c>
      <c r="C754" t="s">
        <v>4344</v>
      </c>
      <c r="D754" s="8" t="s">
        <v>4345</v>
      </c>
      <c r="E754" t="s">
        <v>644</v>
      </c>
      <c r="G754" t="s">
        <v>62</v>
      </c>
      <c r="H754" t="s">
        <v>63</v>
      </c>
      <c r="I754" t="s">
        <v>30</v>
      </c>
      <c r="J754" t="s">
        <v>64</v>
      </c>
      <c r="K754" t="s">
        <v>27</v>
      </c>
      <c r="L754" t="s">
        <v>65</v>
      </c>
      <c r="M754" t="s">
        <v>550</v>
      </c>
      <c r="N754" t="s">
        <v>646</v>
      </c>
      <c r="O754" t="s">
        <v>83</v>
      </c>
      <c r="P754" t="s">
        <v>4346</v>
      </c>
      <c r="Q754" t="s">
        <v>104</v>
      </c>
      <c r="R754" s="23" t="s">
        <v>333</v>
      </c>
      <c r="S754" s="23">
        <v>46176</v>
      </c>
      <c r="T754">
        <v>24.11</v>
      </c>
      <c r="U754">
        <v>10193</v>
      </c>
      <c r="V754">
        <v>1559.94</v>
      </c>
      <c r="W754">
        <v>11752.94</v>
      </c>
    </row>
    <row r="755" spans="1:23" hidden="1" x14ac:dyDescent="0.25">
      <c r="A755">
        <v>15741</v>
      </c>
      <c r="B755">
        <v>455954981</v>
      </c>
      <c r="C755" t="s">
        <v>4347</v>
      </c>
      <c r="D755" s="8" t="s">
        <v>4348</v>
      </c>
      <c r="E755" t="s">
        <v>644</v>
      </c>
      <c r="G755" t="s">
        <v>62</v>
      </c>
      <c r="H755" t="s">
        <v>63</v>
      </c>
      <c r="I755" t="s">
        <v>30</v>
      </c>
      <c r="J755" t="s">
        <v>64</v>
      </c>
      <c r="K755" t="s">
        <v>27</v>
      </c>
      <c r="L755" t="s">
        <v>65</v>
      </c>
      <c r="M755" t="s">
        <v>4349</v>
      </c>
      <c r="N755" t="s">
        <v>646</v>
      </c>
      <c r="O755" t="s">
        <v>83</v>
      </c>
      <c r="P755" t="s">
        <v>4350</v>
      </c>
      <c r="Q755" t="s">
        <v>256</v>
      </c>
      <c r="R755" s="23" t="s">
        <v>333</v>
      </c>
      <c r="S755" s="23">
        <v>46176</v>
      </c>
      <c r="T755">
        <v>21.16</v>
      </c>
      <c r="U755">
        <v>22387</v>
      </c>
      <c r="V755">
        <v>1799.94</v>
      </c>
      <c r="W755">
        <v>24186.94</v>
      </c>
    </row>
    <row r="756" spans="1:23" hidden="1" x14ac:dyDescent="0.25">
      <c r="A756">
        <v>15741</v>
      </c>
      <c r="B756">
        <v>455954980</v>
      </c>
      <c r="C756" t="s">
        <v>4351</v>
      </c>
      <c r="D756" s="8" t="s">
        <v>4352</v>
      </c>
      <c r="E756" t="s">
        <v>644</v>
      </c>
      <c r="G756" t="s">
        <v>62</v>
      </c>
      <c r="H756" t="s">
        <v>63</v>
      </c>
      <c r="I756" t="s">
        <v>30</v>
      </c>
      <c r="J756" t="s">
        <v>64</v>
      </c>
      <c r="K756" t="s">
        <v>27</v>
      </c>
      <c r="L756" t="s">
        <v>65</v>
      </c>
      <c r="M756" t="s">
        <v>4353</v>
      </c>
      <c r="N756" t="s">
        <v>646</v>
      </c>
      <c r="O756" t="s">
        <v>83</v>
      </c>
      <c r="P756" t="s">
        <v>4354</v>
      </c>
      <c r="Q756" t="s">
        <v>81</v>
      </c>
      <c r="R756" s="23" t="s">
        <v>333</v>
      </c>
      <c r="S756" s="23">
        <v>46176</v>
      </c>
      <c r="T756">
        <v>22.92</v>
      </c>
      <c r="U756">
        <v>9248</v>
      </c>
      <c r="V756">
        <v>779.94</v>
      </c>
      <c r="W756">
        <v>10027.94</v>
      </c>
    </row>
    <row r="757" spans="1:23" hidden="1" x14ac:dyDescent="0.25">
      <c r="A757">
        <v>15741</v>
      </c>
      <c r="B757">
        <v>455954973</v>
      </c>
      <c r="C757" t="s">
        <v>4355</v>
      </c>
      <c r="D757" s="8" t="s">
        <v>4356</v>
      </c>
      <c r="E757" t="s">
        <v>644</v>
      </c>
      <c r="G757" t="s">
        <v>62</v>
      </c>
      <c r="H757" t="s">
        <v>63</v>
      </c>
      <c r="I757" t="s">
        <v>30</v>
      </c>
      <c r="J757" t="s">
        <v>64</v>
      </c>
      <c r="K757" t="s">
        <v>27</v>
      </c>
      <c r="L757" t="s">
        <v>65</v>
      </c>
      <c r="M757" t="s">
        <v>616</v>
      </c>
      <c r="N757" t="s">
        <v>646</v>
      </c>
      <c r="O757" t="s">
        <v>83</v>
      </c>
      <c r="P757" t="s">
        <v>4357</v>
      </c>
      <c r="Q757" t="s">
        <v>208</v>
      </c>
      <c r="R757" s="23" t="s">
        <v>333</v>
      </c>
      <c r="S757" s="23">
        <v>46176</v>
      </c>
      <c r="T757">
        <v>23.3</v>
      </c>
      <c r="U757">
        <v>9721</v>
      </c>
      <c r="V757">
        <v>3779.94</v>
      </c>
      <c r="W757">
        <v>13500.94</v>
      </c>
    </row>
    <row r="758" spans="1:23" hidden="1" x14ac:dyDescent="0.25">
      <c r="A758">
        <v>15741</v>
      </c>
      <c r="B758">
        <v>455954972</v>
      </c>
      <c r="C758" t="s">
        <v>4358</v>
      </c>
      <c r="D758" s="8" t="s">
        <v>4359</v>
      </c>
      <c r="E758" t="s">
        <v>644</v>
      </c>
      <c r="G758" t="s">
        <v>62</v>
      </c>
      <c r="H758" t="s">
        <v>63</v>
      </c>
      <c r="I758" t="s">
        <v>30</v>
      </c>
      <c r="J758" t="s">
        <v>64</v>
      </c>
      <c r="K758" t="s">
        <v>27</v>
      </c>
      <c r="L758" t="s">
        <v>65</v>
      </c>
      <c r="M758" t="s">
        <v>4360</v>
      </c>
      <c r="N758" t="s">
        <v>646</v>
      </c>
      <c r="O758" t="s">
        <v>83</v>
      </c>
      <c r="P758" t="s">
        <v>4361</v>
      </c>
      <c r="Q758" t="s">
        <v>108</v>
      </c>
      <c r="R758" s="23" t="s">
        <v>333</v>
      </c>
      <c r="S758" s="23">
        <v>46176</v>
      </c>
      <c r="T758">
        <v>24.7</v>
      </c>
      <c r="U758">
        <v>20646</v>
      </c>
      <c r="V758">
        <v>779.94</v>
      </c>
      <c r="W758">
        <v>21425.94</v>
      </c>
    </row>
    <row r="759" spans="1:23" hidden="1" x14ac:dyDescent="0.25">
      <c r="A759">
        <v>15741</v>
      </c>
      <c r="B759">
        <v>455954971</v>
      </c>
      <c r="C759" t="s">
        <v>4362</v>
      </c>
      <c r="D759" s="8" t="s">
        <v>4363</v>
      </c>
      <c r="E759" t="s">
        <v>644</v>
      </c>
      <c r="G759" t="s">
        <v>62</v>
      </c>
      <c r="H759" t="s">
        <v>63</v>
      </c>
      <c r="I759" t="s">
        <v>30</v>
      </c>
      <c r="J759" t="s">
        <v>64</v>
      </c>
      <c r="K759" t="s">
        <v>27</v>
      </c>
      <c r="L759" t="s">
        <v>65</v>
      </c>
      <c r="M759" t="s">
        <v>4364</v>
      </c>
      <c r="N759" t="s">
        <v>646</v>
      </c>
      <c r="O759" t="s">
        <v>83</v>
      </c>
      <c r="P759" t="s">
        <v>4365</v>
      </c>
      <c r="Q759" t="s">
        <v>81</v>
      </c>
      <c r="R759" s="23" t="s">
        <v>333</v>
      </c>
      <c r="S759" s="23">
        <v>46176</v>
      </c>
      <c r="T759">
        <v>24.32</v>
      </c>
      <c r="U759">
        <v>10193</v>
      </c>
      <c r="V759">
        <v>779.94</v>
      </c>
      <c r="W759">
        <v>10972.94</v>
      </c>
    </row>
    <row r="760" spans="1:23" hidden="1" x14ac:dyDescent="0.25">
      <c r="A760">
        <v>15741</v>
      </c>
      <c r="B760">
        <v>455954960</v>
      </c>
      <c r="C760" t="s">
        <v>4366</v>
      </c>
      <c r="D760" s="8" t="s">
        <v>4367</v>
      </c>
      <c r="E760" t="s">
        <v>644</v>
      </c>
      <c r="G760" t="s">
        <v>62</v>
      </c>
      <c r="H760" t="s">
        <v>63</v>
      </c>
      <c r="I760" t="s">
        <v>30</v>
      </c>
      <c r="J760" t="s">
        <v>64</v>
      </c>
      <c r="K760" t="s">
        <v>27</v>
      </c>
      <c r="L760" t="s">
        <v>65</v>
      </c>
      <c r="M760" t="s">
        <v>4368</v>
      </c>
      <c r="N760" t="s">
        <v>646</v>
      </c>
      <c r="O760" t="s">
        <v>83</v>
      </c>
      <c r="P760" t="s">
        <v>4369</v>
      </c>
      <c r="Q760" t="s">
        <v>47</v>
      </c>
      <c r="R760" s="23" t="s">
        <v>334</v>
      </c>
      <c r="S760" s="23">
        <v>46176</v>
      </c>
      <c r="T760">
        <v>41.88</v>
      </c>
      <c r="U760">
        <v>18222</v>
      </c>
      <c r="V760">
        <v>3779.94</v>
      </c>
      <c r="W760">
        <v>22001.94</v>
      </c>
    </row>
    <row r="761" spans="1:23" hidden="1" x14ac:dyDescent="0.25">
      <c r="A761">
        <v>15741</v>
      </c>
      <c r="B761">
        <v>455954958</v>
      </c>
      <c r="C761" t="s">
        <v>4370</v>
      </c>
      <c r="D761" s="8" t="s">
        <v>4371</v>
      </c>
      <c r="E761" t="s">
        <v>644</v>
      </c>
      <c r="G761" t="s">
        <v>62</v>
      </c>
      <c r="H761" t="s">
        <v>63</v>
      </c>
      <c r="I761" t="s">
        <v>30</v>
      </c>
      <c r="J761" t="s">
        <v>64</v>
      </c>
      <c r="K761" t="s">
        <v>196</v>
      </c>
      <c r="L761" t="s">
        <v>217</v>
      </c>
      <c r="M761" t="s">
        <v>4372</v>
      </c>
      <c r="N761" t="s">
        <v>646</v>
      </c>
      <c r="O761" t="s">
        <v>83</v>
      </c>
      <c r="P761" t="s">
        <v>4373</v>
      </c>
      <c r="Q761" t="s">
        <v>43</v>
      </c>
      <c r="R761" s="23" t="s">
        <v>334</v>
      </c>
      <c r="S761" s="23">
        <v>46176</v>
      </c>
      <c r="T761">
        <v>48.14</v>
      </c>
      <c r="U761">
        <v>21527</v>
      </c>
      <c r="V761">
        <v>1679.88</v>
      </c>
      <c r="W761">
        <v>23206.880000000001</v>
      </c>
    </row>
    <row r="762" spans="1:23" hidden="1" x14ac:dyDescent="0.25">
      <c r="A762">
        <v>15741</v>
      </c>
      <c r="B762">
        <v>455954950</v>
      </c>
      <c r="C762" t="s">
        <v>4374</v>
      </c>
      <c r="D762" s="8" t="s">
        <v>4375</v>
      </c>
      <c r="E762" t="s">
        <v>644</v>
      </c>
      <c r="G762" t="s">
        <v>62</v>
      </c>
      <c r="H762" t="s">
        <v>63</v>
      </c>
      <c r="I762" t="s">
        <v>30</v>
      </c>
      <c r="J762" t="s">
        <v>64</v>
      </c>
      <c r="K762" t="s">
        <v>27</v>
      </c>
      <c r="L762" t="s">
        <v>65</v>
      </c>
      <c r="M762" t="s">
        <v>4376</v>
      </c>
      <c r="N762" t="s">
        <v>646</v>
      </c>
      <c r="O762" t="s">
        <v>83</v>
      </c>
      <c r="P762" t="s">
        <v>4377</v>
      </c>
      <c r="Q762" t="s">
        <v>48</v>
      </c>
      <c r="R762" s="23" t="s">
        <v>334</v>
      </c>
      <c r="S762" s="23">
        <v>46176</v>
      </c>
      <c r="T762">
        <v>80</v>
      </c>
      <c r="U762">
        <v>34267</v>
      </c>
      <c r="V762">
        <v>8999.94</v>
      </c>
      <c r="W762">
        <v>43266.94</v>
      </c>
    </row>
    <row r="763" spans="1:23" hidden="1" x14ac:dyDescent="0.25">
      <c r="A763">
        <v>15741</v>
      </c>
      <c r="B763">
        <v>455954943</v>
      </c>
      <c r="C763" t="s">
        <v>4378</v>
      </c>
      <c r="D763" s="8" t="s">
        <v>4379</v>
      </c>
      <c r="E763" t="s">
        <v>644</v>
      </c>
      <c r="G763" t="s">
        <v>62</v>
      </c>
      <c r="H763" t="s">
        <v>63</v>
      </c>
      <c r="I763" t="s">
        <v>30</v>
      </c>
      <c r="J763" t="s">
        <v>64</v>
      </c>
      <c r="K763" t="s">
        <v>27</v>
      </c>
      <c r="L763" t="s">
        <v>65</v>
      </c>
      <c r="M763" t="s">
        <v>4380</v>
      </c>
      <c r="N763" t="s">
        <v>646</v>
      </c>
      <c r="O763" t="s">
        <v>83</v>
      </c>
      <c r="P763" t="s">
        <v>4381</v>
      </c>
      <c r="Q763" t="s">
        <v>83</v>
      </c>
      <c r="R763" s="23" t="s">
        <v>334</v>
      </c>
      <c r="S763" s="23">
        <v>46176</v>
      </c>
      <c r="T763">
        <v>23.26</v>
      </c>
      <c r="U763">
        <v>9721</v>
      </c>
      <c r="V763">
        <v>779.94</v>
      </c>
      <c r="W763">
        <v>10500.94</v>
      </c>
    </row>
    <row r="764" spans="1:23" hidden="1" x14ac:dyDescent="0.25">
      <c r="A764">
        <v>15741</v>
      </c>
      <c r="B764">
        <v>455954938</v>
      </c>
      <c r="C764" t="s">
        <v>4382</v>
      </c>
      <c r="D764" s="8" t="s">
        <v>4383</v>
      </c>
      <c r="E764" t="s">
        <v>644</v>
      </c>
      <c r="G764" t="s">
        <v>62</v>
      </c>
      <c r="H764" t="s">
        <v>63</v>
      </c>
      <c r="I764" t="s">
        <v>30</v>
      </c>
      <c r="J764" t="s">
        <v>64</v>
      </c>
      <c r="K764" t="s">
        <v>27</v>
      </c>
      <c r="L764" t="s">
        <v>65</v>
      </c>
      <c r="M764" t="s">
        <v>4384</v>
      </c>
      <c r="N764" t="s">
        <v>646</v>
      </c>
      <c r="O764" t="s">
        <v>83</v>
      </c>
      <c r="P764" t="s">
        <v>4385</v>
      </c>
      <c r="Q764" t="s">
        <v>43</v>
      </c>
      <c r="R764" s="23" t="s">
        <v>334</v>
      </c>
      <c r="S764" s="23">
        <v>46176</v>
      </c>
      <c r="T764">
        <v>40</v>
      </c>
      <c r="U764">
        <v>17278</v>
      </c>
      <c r="V764">
        <v>5099.9399999999996</v>
      </c>
      <c r="W764">
        <v>22377.94</v>
      </c>
    </row>
    <row r="765" spans="1:23" hidden="1" x14ac:dyDescent="0.25">
      <c r="A765">
        <v>15741</v>
      </c>
      <c r="B765">
        <v>455954936</v>
      </c>
      <c r="C765" t="s">
        <v>4386</v>
      </c>
      <c r="D765" s="8" t="s">
        <v>4387</v>
      </c>
      <c r="E765" t="s">
        <v>644</v>
      </c>
      <c r="G765" t="s">
        <v>62</v>
      </c>
      <c r="H765" t="s">
        <v>63</v>
      </c>
      <c r="I765" t="s">
        <v>30</v>
      </c>
      <c r="J765" t="s">
        <v>64</v>
      </c>
      <c r="K765" t="s">
        <v>27</v>
      </c>
      <c r="L765" t="s">
        <v>65</v>
      </c>
      <c r="M765" t="s">
        <v>4388</v>
      </c>
      <c r="N765" t="s">
        <v>646</v>
      </c>
      <c r="O765" t="s">
        <v>83</v>
      </c>
      <c r="P765" t="s">
        <v>4389</v>
      </c>
      <c r="Q765" t="s">
        <v>205</v>
      </c>
      <c r="R765" s="23" t="s">
        <v>334</v>
      </c>
      <c r="S765" s="23">
        <v>46176</v>
      </c>
      <c r="T765">
        <v>22.92</v>
      </c>
      <c r="U765">
        <v>15552</v>
      </c>
      <c r="V765">
        <v>1559.94</v>
      </c>
      <c r="W765">
        <v>17111.939999999999</v>
      </c>
    </row>
    <row r="766" spans="1:23" hidden="1" x14ac:dyDescent="0.25">
      <c r="A766">
        <v>15741</v>
      </c>
      <c r="B766">
        <v>455954931</v>
      </c>
      <c r="C766" t="s">
        <v>4390</v>
      </c>
      <c r="D766" s="8" t="s">
        <v>4391</v>
      </c>
      <c r="E766" t="s">
        <v>644</v>
      </c>
      <c r="G766" t="s">
        <v>62</v>
      </c>
      <c r="H766" t="s">
        <v>63</v>
      </c>
      <c r="I766" t="s">
        <v>30</v>
      </c>
      <c r="J766" t="s">
        <v>64</v>
      </c>
      <c r="K766" t="s">
        <v>27</v>
      </c>
      <c r="L766" t="s">
        <v>65</v>
      </c>
      <c r="M766" t="s">
        <v>4392</v>
      </c>
      <c r="N766" t="s">
        <v>646</v>
      </c>
      <c r="O766" t="s">
        <v>83</v>
      </c>
      <c r="P766" t="s">
        <v>4393</v>
      </c>
      <c r="Q766" t="s">
        <v>45</v>
      </c>
      <c r="R766" s="23" t="s">
        <v>334</v>
      </c>
      <c r="S766" s="23">
        <v>46176</v>
      </c>
      <c r="T766">
        <v>24.19</v>
      </c>
      <c r="U766">
        <v>10193</v>
      </c>
      <c r="V766">
        <v>779.94</v>
      </c>
      <c r="W766">
        <v>10972.94</v>
      </c>
    </row>
    <row r="767" spans="1:23" hidden="1" x14ac:dyDescent="0.25">
      <c r="A767">
        <v>15741</v>
      </c>
      <c r="B767">
        <v>455954926</v>
      </c>
      <c r="C767" t="s">
        <v>4394</v>
      </c>
      <c r="D767" s="8" t="s">
        <v>4395</v>
      </c>
      <c r="E767" t="s">
        <v>644</v>
      </c>
      <c r="G767" t="s">
        <v>62</v>
      </c>
      <c r="H767" t="s">
        <v>63</v>
      </c>
      <c r="I767" t="s">
        <v>30</v>
      </c>
      <c r="J767" t="s">
        <v>64</v>
      </c>
      <c r="K767" t="s">
        <v>27</v>
      </c>
      <c r="L767" t="s">
        <v>65</v>
      </c>
      <c r="M767" t="s">
        <v>4396</v>
      </c>
      <c r="N767" t="s">
        <v>646</v>
      </c>
      <c r="O767" t="s">
        <v>83</v>
      </c>
      <c r="P767" t="s">
        <v>4397</v>
      </c>
      <c r="Q767" t="s">
        <v>98</v>
      </c>
      <c r="R767" s="23" t="s">
        <v>334</v>
      </c>
      <c r="S767" s="23">
        <v>46176</v>
      </c>
      <c r="T767">
        <v>24.19</v>
      </c>
      <c r="U767">
        <v>18988</v>
      </c>
      <c r="V767">
        <v>1559.94</v>
      </c>
      <c r="W767">
        <v>20547.939999999999</v>
      </c>
    </row>
    <row r="768" spans="1:23" hidden="1" x14ac:dyDescent="0.25">
      <c r="A768">
        <v>15741</v>
      </c>
      <c r="B768">
        <v>455804403</v>
      </c>
      <c r="C768" t="s">
        <v>4398</v>
      </c>
      <c r="D768" s="8" t="s">
        <v>4399</v>
      </c>
      <c r="E768" t="s">
        <v>644</v>
      </c>
      <c r="G768" t="s">
        <v>62</v>
      </c>
      <c r="H768" t="s">
        <v>63</v>
      </c>
      <c r="I768" t="s">
        <v>30</v>
      </c>
      <c r="J768" t="s">
        <v>64</v>
      </c>
      <c r="K768" t="s">
        <v>37</v>
      </c>
      <c r="L768" t="s">
        <v>60</v>
      </c>
      <c r="M768" t="s">
        <v>4400</v>
      </c>
      <c r="N768" t="s">
        <v>646</v>
      </c>
      <c r="O768" t="s">
        <v>83</v>
      </c>
      <c r="P768" t="s">
        <v>4401</v>
      </c>
      <c r="Q768" t="s">
        <v>105</v>
      </c>
      <c r="R768" s="23" t="s">
        <v>241</v>
      </c>
      <c r="S768" s="23">
        <v>46175</v>
      </c>
      <c r="T768">
        <v>13.52</v>
      </c>
      <c r="U768">
        <v>12046</v>
      </c>
      <c r="V768">
        <v>539.94000000000005</v>
      </c>
      <c r="W768">
        <v>12585.94</v>
      </c>
    </row>
    <row r="769" spans="1:23" hidden="1" x14ac:dyDescent="0.25">
      <c r="A769">
        <v>15741</v>
      </c>
      <c r="B769">
        <v>455804401</v>
      </c>
      <c r="C769" t="s">
        <v>4402</v>
      </c>
      <c r="D769" s="8" t="s">
        <v>4403</v>
      </c>
      <c r="E769" t="s">
        <v>644</v>
      </c>
      <c r="G769" t="s">
        <v>62</v>
      </c>
      <c r="H769" t="s">
        <v>63</v>
      </c>
      <c r="I769" t="s">
        <v>30</v>
      </c>
      <c r="J769" t="s">
        <v>64</v>
      </c>
      <c r="K769" t="s">
        <v>27</v>
      </c>
      <c r="L769" t="s">
        <v>65</v>
      </c>
      <c r="M769" t="s">
        <v>4404</v>
      </c>
      <c r="N769" t="s">
        <v>646</v>
      </c>
      <c r="O769" t="s">
        <v>83</v>
      </c>
      <c r="P769" t="s">
        <v>4405</v>
      </c>
      <c r="Q769" t="s">
        <v>45</v>
      </c>
      <c r="R769" s="23" t="s">
        <v>241</v>
      </c>
      <c r="S769" s="23">
        <v>46175</v>
      </c>
      <c r="T769">
        <v>9.8699999999999992</v>
      </c>
      <c r="U769">
        <v>5465</v>
      </c>
      <c r="V769">
        <v>0</v>
      </c>
      <c r="W769">
        <v>5465</v>
      </c>
    </row>
    <row r="770" spans="1:23" hidden="1" x14ac:dyDescent="0.25">
      <c r="A770">
        <v>15741</v>
      </c>
      <c r="B770">
        <v>455804387</v>
      </c>
      <c r="C770" t="s">
        <v>4406</v>
      </c>
      <c r="D770" s="8" t="s">
        <v>4407</v>
      </c>
      <c r="E770" t="s">
        <v>644</v>
      </c>
      <c r="G770" t="s">
        <v>62</v>
      </c>
      <c r="H770" t="s">
        <v>63</v>
      </c>
      <c r="I770" t="s">
        <v>30</v>
      </c>
      <c r="J770" t="s">
        <v>64</v>
      </c>
      <c r="K770" t="s">
        <v>196</v>
      </c>
      <c r="L770" t="s">
        <v>301</v>
      </c>
      <c r="M770" t="s">
        <v>4408</v>
      </c>
      <c r="N770" t="s">
        <v>646</v>
      </c>
      <c r="O770" t="s">
        <v>83</v>
      </c>
      <c r="P770" t="s">
        <v>4409</v>
      </c>
      <c r="Q770" t="s">
        <v>46</v>
      </c>
      <c r="R770" s="23" t="s">
        <v>241</v>
      </c>
      <c r="S770" s="23">
        <v>46175</v>
      </c>
      <c r="T770">
        <v>128.35</v>
      </c>
      <c r="U770">
        <v>60426.5</v>
      </c>
      <c r="V770">
        <v>3479.64</v>
      </c>
      <c r="W770">
        <v>63906.14</v>
      </c>
    </row>
    <row r="771" spans="1:23" hidden="1" x14ac:dyDescent="0.25">
      <c r="A771">
        <v>15741</v>
      </c>
      <c r="B771">
        <v>455804392</v>
      </c>
      <c r="C771" t="s">
        <v>4410</v>
      </c>
      <c r="D771" s="8" t="s">
        <v>4411</v>
      </c>
      <c r="E771" t="s">
        <v>644</v>
      </c>
      <c r="G771" t="s">
        <v>62</v>
      </c>
      <c r="H771" t="s">
        <v>63</v>
      </c>
      <c r="I771" t="s">
        <v>30</v>
      </c>
      <c r="J771" t="s">
        <v>64</v>
      </c>
      <c r="K771" t="s">
        <v>27</v>
      </c>
      <c r="L771" t="s">
        <v>65</v>
      </c>
      <c r="M771" t="s">
        <v>4412</v>
      </c>
      <c r="N771" t="s">
        <v>646</v>
      </c>
      <c r="O771" t="s">
        <v>83</v>
      </c>
      <c r="P771" t="s">
        <v>4413</v>
      </c>
      <c r="Q771" t="s">
        <v>93</v>
      </c>
      <c r="R771" s="23" t="s">
        <v>241</v>
      </c>
      <c r="S771" s="23">
        <v>46175</v>
      </c>
      <c r="T771">
        <v>9.86</v>
      </c>
      <c r="U771">
        <v>9209</v>
      </c>
      <c r="V771">
        <v>0</v>
      </c>
      <c r="W771">
        <v>9209</v>
      </c>
    </row>
    <row r="772" spans="1:23" hidden="1" x14ac:dyDescent="0.25">
      <c r="A772">
        <v>15741</v>
      </c>
      <c r="B772">
        <v>455804391</v>
      </c>
      <c r="C772" t="s">
        <v>4414</v>
      </c>
      <c r="D772" s="8" t="s">
        <v>4415</v>
      </c>
      <c r="E772" t="s">
        <v>644</v>
      </c>
      <c r="G772" t="s">
        <v>62</v>
      </c>
      <c r="H772" t="s">
        <v>63</v>
      </c>
      <c r="I772" t="s">
        <v>30</v>
      </c>
      <c r="J772" t="s">
        <v>64</v>
      </c>
      <c r="K772" t="s">
        <v>27</v>
      </c>
      <c r="L772" t="s">
        <v>65</v>
      </c>
      <c r="M772" t="s">
        <v>4416</v>
      </c>
      <c r="N772" t="s">
        <v>646</v>
      </c>
      <c r="O772" t="s">
        <v>83</v>
      </c>
      <c r="P772" t="s">
        <v>4417</v>
      </c>
      <c r="Q772" t="s">
        <v>45</v>
      </c>
      <c r="R772" s="23" t="s">
        <v>241</v>
      </c>
      <c r="S772" s="23">
        <v>46175</v>
      </c>
      <c r="T772">
        <v>11.07</v>
      </c>
      <c r="U772">
        <v>5943</v>
      </c>
      <c r="V772">
        <v>719.94</v>
      </c>
      <c r="W772">
        <v>6662.9400000000005</v>
      </c>
    </row>
    <row r="773" spans="1:23" hidden="1" x14ac:dyDescent="0.25">
      <c r="A773">
        <v>15741</v>
      </c>
      <c r="B773">
        <v>455804386</v>
      </c>
      <c r="C773" t="s">
        <v>4418</v>
      </c>
      <c r="D773" s="8" t="s">
        <v>4419</v>
      </c>
      <c r="E773" t="s">
        <v>644</v>
      </c>
      <c r="G773" t="s">
        <v>62</v>
      </c>
      <c r="H773" t="s">
        <v>63</v>
      </c>
      <c r="I773" t="s">
        <v>30</v>
      </c>
      <c r="J773" t="s">
        <v>64</v>
      </c>
      <c r="K773" t="s">
        <v>27</v>
      </c>
      <c r="L773" t="s">
        <v>215</v>
      </c>
      <c r="M773" t="s">
        <v>4420</v>
      </c>
      <c r="N773" t="s">
        <v>646</v>
      </c>
      <c r="O773" t="s">
        <v>83</v>
      </c>
      <c r="P773" t="s">
        <v>4421</v>
      </c>
      <c r="Q773" t="s">
        <v>46</v>
      </c>
      <c r="R773" s="23" t="s">
        <v>241</v>
      </c>
      <c r="S773" s="23">
        <v>46175</v>
      </c>
      <c r="T773">
        <v>48.26</v>
      </c>
      <c r="U773">
        <v>21527</v>
      </c>
      <c r="V773">
        <v>6659.88</v>
      </c>
      <c r="W773">
        <v>28186.880000000001</v>
      </c>
    </row>
    <row r="774" spans="1:23" hidden="1" x14ac:dyDescent="0.25">
      <c r="A774">
        <v>15741</v>
      </c>
      <c r="B774">
        <v>455804383</v>
      </c>
      <c r="C774" t="s">
        <v>4422</v>
      </c>
      <c r="D774" s="8" t="s">
        <v>4423</v>
      </c>
      <c r="E774" t="s">
        <v>644</v>
      </c>
      <c r="G774" t="s">
        <v>62</v>
      </c>
      <c r="H774" t="s">
        <v>63</v>
      </c>
      <c r="I774" t="s">
        <v>30</v>
      </c>
      <c r="J774" t="s">
        <v>64</v>
      </c>
      <c r="K774" t="s">
        <v>27</v>
      </c>
      <c r="L774" t="s">
        <v>65</v>
      </c>
      <c r="M774" t="s">
        <v>4424</v>
      </c>
      <c r="N774" t="s">
        <v>646</v>
      </c>
      <c r="O774" t="s">
        <v>83</v>
      </c>
      <c r="P774" t="s">
        <v>4425</v>
      </c>
      <c r="Q774" t="s">
        <v>95</v>
      </c>
      <c r="R774" s="23" t="s">
        <v>241</v>
      </c>
      <c r="S774" s="23">
        <v>46175</v>
      </c>
      <c r="T774">
        <v>24.09</v>
      </c>
      <c r="U774">
        <v>17520</v>
      </c>
      <c r="V774">
        <v>779.94</v>
      </c>
      <c r="W774">
        <v>18299.939999999999</v>
      </c>
    </row>
    <row r="775" spans="1:23" hidden="1" x14ac:dyDescent="0.25">
      <c r="A775">
        <v>15741</v>
      </c>
      <c r="B775">
        <v>455853264</v>
      </c>
      <c r="C775" t="s">
        <v>4426</v>
      </c>
      <c r="D775" s="8" t="s">
        <v>4427</v>
      </c>
      <c r="E775" t="s">
        <v>644</v>
      </c>
      <c r="G775" t="s">
        <v>62</v>
      </c>
      <c r="H775" t="s">
        <v>63</v>
      </c>
      <c r="I775" t="s">
        <v>30</v>
      </c>
      <c r="J775" t="s">
        <v>64</v>
      </c>
      <c r="K775" t="s">
        <v>27</v>
      </c>
      <c r="L775" t="s">
        <v>65</v>
      </c>
      <c r="M775" t="s">
        <v>4428</v>
      </c>
      <c r="N775" t="s">
        <v>646</v>
      </c>
      <c r="O775" t="s">
        <v>83</v>
      </c>
      <c r="P775" t="s">
        <v>4429</v>
      </c>
      <c r="Q775" t="s">
        <v>133</v>
      </c>
      <c r="R775" s="23" t="s">
        <v>4430</v>
      </c>
      <c r="S775" s="23">
        <v>46175</v>
      </c>
      <c r="T775">
        <v>9.81</v>
      </c>
      <c r="U775">
        <v>10262</v>
      </c>
      <c r="V775">
        <v>0</v>
      </c>
      <c r="W775">
        <v>10262</v>
      </c>
    </row>
    <row r="776" spans="1:23" hidden="1" x14ac:dyDescent="0.25">
      <c r="A776">
        <v>15741</v>
      </c>
      <c r="B776">
        <v>455853262</v>
      </c>
      <c r="C776" t="s">
        <v>4431</v>
      </c>
      <c r="D776" s="8" t="s">
        <v>4432</v>
      </c>
      <c r="E776" t="s">
        <v>644</v>
      </c>
      <c r="G776" t="s">
        <v>62</v>
      </c>
      <c r="H776" t="s">
        <v>63</v>
      </c>
      <c r="I776" t="s">
        <v>30</v>
      </c>
      <c r="J776" t="s">
        <v>64</v>
      </c>
      <c r="K776" t="s">
        <v>196</v>
      </c>
      <c r="L776" t="s">
        <v>217</v>
      </c>
      <c r="M776" t="s">
        <v>4433</v>
      </c>
      <c r="N776" t="s">
        <v>646</v>
      </c>
      <c r="O776" t="s">
        <v>83</v>
      </c>
      <c r="P776" t="s">
        <v>4434</v>
      </c>
      <c r="Q776" t="s">
        <v>57</v>
      </c>
      <c r="R776" s="23" t="s">
        <v>4430</v>
      </c>
      <c r="S776" s="23">
        <v>46175</v>
      </c>
      <c r="T776">
        <v>13.75</v>
      </c>
      <c r="U776">
        <v>10408</v>
      </c>
      <c r="V776">
        <v>839.88</v>
      </c>
      <c r="W776">
        <v>11247.88</v>
      </c>
    </row>
    <row r="777" spans="1:23" hidden="1" x14ac:dyDescent="0.25">
      <c r="A777">
        <v>15741</v>
      </c>
      <c r="B777">
        <v>455853258</v>
      </c>
      <c r="C777" t="s">
        <v>4435</v>
      </c>
      <c r="D777" s="8" t="s">
        <v>4436</v>
      </c>
      <c r="E777" t="s">
        <v>644</v>
      </c>
      <c r="G777" t="s">
        <v>62</v>
      </c>
      <c r="H777" t="s">
        <v>63</v>
      </c>
      <c r="I777" t="s">
        <v>30</v>
      </c>
      <c r="J777" t="s">
        <v>64</v>
      </c>
      <c r="K777" t="s">
        <v>27</v>
      </c>
      <c r="L777" t="s">
        <v>65</v>
      </c>
      <c r="M777" t="s">
        <v>4437</v>
      </c>
      <c r="N777" t="s">
        <v>646</v>
      </c>
      <c r="O777" t="s">
        <v>83</v>
      </c>
      <c r="P777" t="s">
        <v>4438</v>
      </c>
      <c r="Q777" t="s">
        <v>94</v>
      </c>
      <c r="R777" s="23" t="s">
        <v>4430</v>
      </c>
      <c r="S777" s="23">
        <v>46175</v>
      </c>
      <c r="T777">
        <v>24.68</v>
      </c>
      <c r="U777">
        <v>20394</v>
      </c>
      <c r="V777">
        <v>779.94</v>
      </c>
      <c r="W777">
        <v>21173.94</v>
      </c>
    </row>
    <row r="778" spans="1:23" hidden="1" x14ac:dyDescent="0.25">
      <c r="A778">
        <v>15741</v>
      </c>
      <c r="B778">
        <v>455853250</v>
      </c>
      <c r="C778" t="s">
        <v>4439</v>
      </c>
      <c r="D778" s="8" t="s">
        <v>4440</v>
      </c>
      <c r="E778" t="s">
        <v>644</v>
      </c>
      <c r="G778" t="s">
        <v>62</v>
      </c>
      <c r="H778" t="s">
        <v>63</v>
      </c>
      <c r="I778" t="s">
        <v>30</v>
      </c>
      <c r="J778" t="s">
        <v>64</v>
      </c>
      <c r="K778" t="s">
        <v>27</v>
      </c>
      <c r="L778" t="s">
        <v>65</v>
      </c>
      <c r="M778" t="s">
        <v>4441</v>
      </c>
      <c r="N778" t="s">
        <v>646</v>
      </c>
      <c r="O778" t="s">
        <v>83</v>
      </c>
      <c r="P778" t="s">
        <v>4442</v>
      </c>
      <c r="Q778" t="s">
        <v>111</v>
      </c>
      <c r="R778" s="23" t="s">
        <v>4430</v>
      </c>
      <c r="S778" s="23">
        <v>46175</v>
      </c>
      <c r="T778">
        <v>20.78</v>
      </c>
      <c r="U778">
        <v>14298</v>
      </c>
      <c r="V778">
        <v>1559.94</v>
      </c>
      <c r="W778">
        <v>15857.94</v>
      </c>
    </row>
    <row r="779" spans="1:23" hidden="1" x14ac:dyDescent="0.25">
      <c r="A779">
        <v>15741</v>
      </c>
      <c r="B779">
        <v>455853268</v>
      </c>
      <c r="C779" t="s">
        <v>4443</v>
      </c>
      <c r="D779" s="8" t="s">
        <v>4444</v>
      </c>
      <c r="E779" t="s">
        <v>644</v>
      </c>
      <c r="G779" t="s">
        <v>62</v>
      </c>
      <c r="H779" t="s">
        <v>63</v>
      </c>
      <c r="I779" t="s">
        <v>30</v>
      </c>
      <c r="J779" t="s">
        <v>64</v>
      </c>
      <c r="K779" t="s">
        <v>27</v>
      </c>
      <c r="L779" t="s">
        <v>65</v>
      </c>
      <c r="M779" t="s">
        <v>4445</v>
      </c>
      <c r="N779" t="s">
        <v>646</v>
      </c>
      <c r="O779" t="s">
        <v>83</v>
      </c>
      <c r="P779" t="s">
        <v>4446</v>
      </c>
      <c r="Q779" t="s">
        <v>86</v>
      </c>
      <c r="R779" s="23" t="s">
        <v>4430</v>
      </c>
      <c r="S779" s="23">
        <v>46175</v>
      </c>
      <c r="T779">
        <v>11.02</v>
      </c>
      <c r="U779">
        <v>5943</v>
      </c>
      <c r="V779">
        <v>779.94</v>
      </c>
      <c r="W779">
        <v>6722.9400000000005</v>
      </c>
    </row>
    <row r="780" spans="1:23" hidden="1" x14ac:dyDescent="0.25">
      <c r="A780">
        <v>15741</v>
      </c>
      <c r="B780">
        <v>455853246</v>
      </c>
      <c r="C780" t="s">
        <v>4447</v>
      </c>
      <c r="D780" s="8" t="s">
        <v>4448</v>
      </c>
      <c r="E780" t="s">
        <v>644</v>
      </c>
      <c r="G780" t="s">
        <v>62</v>
      </c>
      <c r="H780" t="s">
        <v>63</v>
      </c>
      <c r="I780" t="s">
        <v>30</v>
      </c>
      <c r="J780" t="s">
        <v>64</v>
      </c>
      <c r="K780" t="s">
        <v>27</v>
      </c>
      <c r="L780" t="s">
        <v>215</v>
      </c>
      <c r="M780" t="s">
        <v>4449</v>
      </c>
      <c r="N780" t="s">
        <v>646</v>
      </c>
      <c r="O780" t="s">
        <v>83</v>
      </c>
      <c r="P780" t="s">
        <v>4450</v>
      </c>
      <c r="Q780" t="s">
        <v>57</v>
      </c>
      <c r="R780" s="23" t="s">
        <v>4430</v>
      </c>
      <c r="S780" s="23">
        <v>46175</v>
      </c>
      <c r="T780">
        <v>36.590000000000003</v>
      </c>
      <c r="U780">
        <v>22580</v>
      </c>
      <c r="V780">
        <v>1079.8800000000001</v>
      </c>
      <c r="W780">
        <v>23659.88</v>
      </c>
    </row>
    <row r="781" spans="1:23" hidden="1" x14ac:dyDescent="0.25">
      <c r="A781">
        <v>15741</v>
      </c>
      <c r="B781">
        <v>455853241</v>
      </c>
      <c r="C781" t="s">
        <v>4451</v>
      </c>
      <c r="D781" s="8" t="s">
        <v>4452</v>
      </c>
      <c r="E781" t="s">
        <v>644</v>
      </c>
      <c r="G781" t="s">
        <v>62</v>
      </c>
      <c r="H781" t="s">
        <v>63</v>
      </c>
      <c r="I781" t="s">
        <v>30</v>
      </c>
      <c r="J781" t="s">
        <v>64</v>
      </c>
      <c r="K781" t="s">
        <v>27</v>
      </c>
      <c r="L781" t="s">
        <v>65</v>
      </c>
      <c r="M781" t="s">
        <v>4453</v>
      </c>
      <c r="N781" t="s">
        <v>646</v>
      </c>
      <c r="O781" t="s">
        <v>83</v>
      </c>
      <c r="P781" t="s">
        <v>4454</v>
      </c>
      <c r="Q781" t="s">
        <v>104</v>
      </c>
      <c r="R781" s="23" t="s">
        <v>4430</v>
      </c>
      <c r="S781" s="23">
        <v>46175</v>
      </c>
      <c r="T781">
        <v>63</v>
      </c>
      <c r="U781">
        <v>27315</v>
      </c>
      <c r="V781">
        <v>2159.94</v>
      </c>
      <c r="W781">
        <v>29474.94</v>
      </c>
    </row>
    <row r="782" spans="1:23" hidden="1" x14ac:dyDescent="0.25">
      <c r="A782">
        <v>15741</v>
      </c>
      <c r="B782">
        <v>455853238</v>
      </c>
      <c r="C782" t="s">
        <v>4455</v>
      </c>
      <c r="D782" s="8" t="s">
        <v>4456</v>
      </c>
      <c r="E782" t="s">
        <v>644</v>
      </c>
      <c r="G782" t="s">
        <v>62</v>
      </c>
      <c r="H782" t="s">
        <v>63</v>
      </c>
      <c r="I782" t="s">
        <v>30</v>
      </c>
      <c r="J782" t="s">
        <v>64</v>
      </c>
      <c r="K782" t="s">
        <v>196</v>
      </c>
      <c r="L782" t="s">
        <v>298</v>
      </c>
      <c r="M782" t="s">
        <v>4457</v>
      </c>
      <c r="N782" t="s">
        <v>646</v>
      </c>
      <c r="O782" t="s">
        <v>83</v>
      </c>
      <c r="P782" t="s">
        <v>4458</v>
      </c>
      <c r="Q782" t="s">
        <v>45</v>
      </c>
      <c r="R782" s="23" t="s">
        <v>4430</v>
      </c>
      <c r="S782" s="23">
        <v>46175</v>
      </c>
      <c r="T782">
        <v>59.09</v>
      </c>
      <c r="U782">
        <v>26088</v>
      </c>
      <c r="V782">
        <v>2159.8200000000002</v>
      </c>
      <c r="W782">
        <v>28247.82</v>
      </c>
    </row>
    <row r="783" spans="1:23" hidden="1" x14ac:dyDescent="0.25">
      <c r="A783">
        <v>15741</v>
      </c>
      <c r="B783">
        <v>455853236</v>
      </c>
      <c r="C783" t="s">
        <v>4459</v>
      </c>
      <c r="D783" s="8" t="s">
        <v>4460</v>
      </c>
      <c r="E783" t="s">
        <v>644</v>
      </c>
      <c r="G783" t="s">
        <v>62</v>
      </c>
      <c r="H783" t="s">
        <v>63</v>
      </c>
      <c r="I783" t="s">
        <v>30</v>
      </c>
      <c r="J783" t="s">
        <v>64</v>
      </c>
      <c r="K783" t="s">
        <v>196</v>
      </c>
      <c r="L783" t="s">
        <v>299</v>
      </c>
      <c r="M783" t="s">
        <v>4461</v>
      </c>
      <c r="N783" t="s">
        <v>646</v>
      </c>
      <c r="O783" t="s">
        <v>83</v>
      </c>
      <c r="P783" t="s">
        <v>4462</v>
      </c>
      <c r="Q783" t="s">
        <v>47</v>
      </c>
      <c r="R783" s="23" t="s">
        <v>317</v>
      </c>
      <c r="S783" s="23">
        <v>46175</v>
      </c>
      <c r="T783">
        <v>59.07</v>
      </c>
      <c r="U783">
        <v>26088</v>
      </c>
      <c r="V783">
        <v>1979.82</v>
      </c>
      <c r="W783">
        <v>28067.82</v>
      </c>
    </row>
    <row r="784" spans="1:23" hidden="1" x14ac:dyDescent="0.25">
      <c r="A784">
        <v>15741</v>
      </c>
      <c r="B784">
        <v>455853233</v>
      </c>
      <c r="C784" t="s">
        <v>4463</v>
      </c>
      <c r="D784" s="8" t="s">
        <v>4464</v>
      </c>
      <c r="E784" t="s">
        <v>644</v>
      </c>
      <c r="G784" t="s">
        <v>62</v>
      </c>
      <c r="H784" t="s">
        <v>63</v>
      </c>
      <c r="I784" t="s">
        <v>30</v>
      </c>
      <c r="J784" t="s">
        <v>64</v>
      </c>
      <c r="K784" t="s">
        <v>27</v>
      </c>
      <c r="L784" t="s">
        <v>65</v>
      </c>
      <c r="M784" t="s">
        <v>4465</v>
      </c>
      <c r="N784" t="s">
        <v>646</v>
      </c>
      <c r="O784" t="s">
        <v>83</v>
      </c>
      <c r="P784" t="s">
        <v>4466</v>
      </c>
      <c r="Q784" t="s">
        <v>50</v>
      </c>
      <c r="R784" s="23" t="s">
        <v>317</v>
      </c>
      <c r="S784" s="23">
        <v>46175</v>
      </c>
      <c r="T784">
        <v>9.81</v>
      </c>
      <c r="U784">
        <v>5465</v>
      </c>
      <c r="V784">
        <v>0</v>
      </c>
      <c r="W784">
        <v>5465</v>
      </c>
    </row>
    <row r="785" spans="1:23" hidden="1" x14ac:dyDescent="0.25">
      <c r="A785">
        <v>15741</v>
      </c>
      <c r="B785">
        <v>455853230</v>
      </c>
      <c r="C785" t="s">
        <v>4467</v>
      </c>
      <c r="D785" s="8" t="s">
        <v>4468</v>
      </c>
      <c r="E785" t="s">
        <v>644</v>
      </c>
      <c r="G785" t="s">
        <v>62</v>
      </c>
      <c r="H785" t="s">
        <v>63</v>
      </c>
      <c r="I785" t="s">
        <v>30</v>
      </c>
      <c r="J785" t="s">
        <v>64</v>
      </c>
      <c r="K785" t="s">
        <v>27</v>
      </c>
      <c r="L785" t="s">
        <v>65</v>
      </c>
      <c r="M785" t="s">
        <v>4469</v>
      </c>
      <c r="N785" t="s">
        <v>646</v>
      </c>
      <c r="O785" t="s">
        <v>83</v>
      </c>
      <c r="P785" t="s">
        <v>4470</v>
      </c>
      <c r="Q785" t="s">
        <v>57</v>
      </c>
      <c r="R785" s="23" t="s">
        <v>317</v>
      </c>
      <c r="S785" s="23">
        <v>46175</v>
      </c>
      <c r="T785">
        <v>9.56</v>
      </c>
      <c r="U785">
        <v>9209</v>
      </c>
      <c r="V785">
        <v>0</v>
      </c>
      <c r="W785">
        <v>9209</v>
      </c>
    </row>
    <row r="786" spans="1:23" hidden="1" x14ac:dyDescent="0.25">
      <c r="A786">
        <v>15741</v>
      </c>
      <c r="B786">
        <v>455853228</v>
      </c>
      <c r="C786" t="s">
        <v>4471</v>
      </c>
      <c r="D786" s="8" t="s">
        <v>4472</v>
      </c>
      <c r="E786" t="s">
        <v>644</v>
      </c>
      <c r="G786" t="s">
        <v>62</v>
      </c>
      <c r="H786" t="s">
        <v>63</v>
      </c>
      <c r="I786" t="s">
        <v>30</v>
      </c>
      <c r="J786" t="s">
        <v>64</v>
      </c>
      <c r="K786" t="s">
        <v>27</v>
      </c>
      <c r="L786" t="s">
        <v>65</v>
      </c>
      <c r="M786" t="s">
        <v>4473</v>
      </c>
      <c r="N786" t="s">
        <v>646</v>
      </c>
      <c r="O786" t="s">
        <v>83</v>
      </c>
      <c r="P786" t="s">
        <v>4474</v>
      </c>
      <c r="Q786" t="s">
        <v>47</v>
      </c>
      <c r="R786" s="23" t="s">
        <v>317</v>
      </c>
      <c r="S786" s="23">
        <v>46175</v>
      </c>
      <c r="T786">
        <v>15.14</v>
      </c>
      <c r="U786">
        <v>5943</v>
      </c>
      <c r="V786">
        <v>839.94</v>
      </c>
      <c r="W786">
        <v>6782.9400000000005</v>
      </c>
    </row>
    <row r="787" spans="1:23" hidden="1" x14ac:dyDescent="0.25">
      <c r="A787">
        <v>15741</v>
      </c>
      <c r="B787">
        <v>455853234</v>
      </c>
      <c r="C787" t="s">
        <v>4475</v>
      </c>
      <c r="D787" s="8" t="s">
        <v>4476</v>
      </c>
      <c r="E787" t="s">
        <v>644</v>
      </c>
      <c r="G787" t="s">
        <v>62</v>
      </c>
      <c r="H787" t="s">
        <v>63</v>
      </c>
      <c r="I787" t="s">
        <v>30</v>
      </c>
      <c r="J787" t="s">
        <v>64</v>
      </c>
      <c r="K787" t="s">
        <v>27</v>
      </c>
      <c r="L787" t="s">
        <v>65</v>
      </c>
      <c r="M787" t="s">
        <v>4477</v>
      </c>
      <c r="N787" t="s">
        <v>646</v>
      </c>
      <c r="O787" t="s">
        <v>83</v>
      </c>
      <c r="P787" t="s">
        <v>4478</v>
      </c>
      <c r="Q787" t="s">
        <v>105</v>
      </c>
      <c r="R787" s="23" t="s">
        <v>317</v>
      </c>
      <c r="S787" s="23">
        <v>46175</v>
      </c>
      <c r="T787">
        <v>11.18</v>
      </c>
      <c r="U787">
        <v>12046</v>
      </c>
      <c r="V787">
        <v>779.94</v>
      </c>
      <c r="W787">
        <v>12825.94</v>
      </c>
    </row>
    <row r="788" spans="1:23" hidden="1" x14ac:dyDescent="0.25">
      <c r="A788">
        <v>15741</v>
      </c>
      <c r="B788">
        <v>455853223</v>
      </c>
      <c r="C788" t="s">
        <v>4479</v>
      </c>
      <c r="D788" s="8" t="s">
        <v>4480</v>
      </c>
      <c r="E788" t="s">
        <v>644</v>
      </c>
      <c r="G788" t="s">
        <v>62</v>
      </c>
      <c r="H788" t="s">
        <v>63</v>
      </c>
      <c r="I788" t="s">
        <v>30</v>
      </c>
      <c r="J788" t="s">
        <v>64</v>
      </c>
      <c r="K788" t="s">
        <v>27</v>
      </c>
      <c r="L788" t="s">
        <v>65</v>
      </c>
      <c r="M788" t="s">
        <v>4481</v>
      </c>
      <c r="N788" t="s">
        <v>646</v>
      </c>
      <c r="O788" t="s">
        <v>83</v>
      </c>
      <c r="P788" t="s">
        <v>4482</v>
      </c>
      <c r="Q788" t="s">
        <v>44</v>
      </c>
      <c r="R788" s="23" t="s">
        <v>317</v>
      </c>
      <c r="S788" s="23">
        <v>46175</v>
      </c>
      <c r="T788">
        <v>20.6</v>
      </c>
      <c r="U788">
        <v>8303</v>
      </c>
      <c r="V788">
        <v>1559.94</v>
      </c>
      <c r="W788">
        <v>9862.94</v>
      </c>
    </row>
    <row r="789" spans="1:23" hidden="1" x14ac:dyDescent="0.25">
      <c r="A789">
        <v>15741</v>
      </c>
      <c r="B789">
        <v>455853224</v>
      </c>
      <c r="C789" t="s">
        <v>4483</v>
      </c>
      <c r="D789" s="8" t="s">
        <v>4484</v>
      </c>
      <c r="E789" t="s">
        <v>644</v>
      </c>
      <c r="G789" t="s">
        <v>62</v>
      </c>
      <c r="H789" t="s">
        <v>63</v>
      </c>
      <c r="I789" t="s">
        <v>30</v>
      </c>
      <c r="J789" t="s">
        <v>64</v>
      </c>
      <c r="K789" t="s">
        <v>27</v>
      </c>
      <c r="L789" t="s">
        <v>65</v>
      </c>
      <c r="M789" t="s">
        <v>4485</v>
      </c>
      <c r="N789" t="s">
        <v>646</v>
      </c>
      <c r="O789" t="s">
        <v>83</v>
      </c>
      <c r="P789" t="s">
        <v>4486</v>
      </c>
      <c r="Q789" t="s">
        <v>47</v>
      </c>
      <c r="R789" s="23" t="s">
        <v>317</v>
      </c>
      <c r="S789" s="23">
        <v>46175</v>
      </c>
      <c r="T789">
        <v>11.04</v>
      </c>
      <c r="U789">
        <v>5943</v>
      </c>
      <c r="V789">
        <v>719.94</v>
      </c>
      <c r="W789">
        <v>6662.9400000000005</v>
      </c>
    </row>
    <row r="790" spans="1:23" hidden="1" x14ac:dyDescent="0.25">
      <c r="A790">
        <v>15741</v>
      </c>
      <c r="B790">
        <v>456014696</v>
      </c>
      <c r="C790" t="s">
        <v>4487</v>
      </c>
      <c r="D790" s="8" t="s">
        <v>4488</v>
      </c>
      <c r="E790" t="s">
        <v>644</v>
      </c>
      <c r="G790" t="s">
        <v>62</v>
      </c>
      <c r="H790" t="s">
        <v>63</v>
      </c>
      <c r="I790" t="s">
        <v>30</v>
      </c>
      <c r="J790" t="s">
        <v>64</v>
      </c>
      <c r="K790" t="s">
        <v>27</v>
      </c>
      <c r="L790" t="s">
        <v>215</v>
      </c>
      <c r="M790" t="s">
        <v>4489</v>
      </c>
      <c r="N790" t="s">
        <v>646</v>
      </c>
      <c r="O790" t="s">
        <v>83</v>
      </c>
      <c r="P790" t="s">
        <v>4490</v>
      </c>
      <c r="Q790" t="s">
        <v>254</v>
      </c>
      <c r="R790" s="23" t="s">
        <v>309</v>
      </c>
      <c r="S790" s="23">
        <v>46176</v>
      </c>
      <c r="T790">
        <v>54.34</v>
      </c>
      <c r="U790">
        <v>35518</v>
      </c>
      <c r="V790">
        <v>2399.8200000000002</v>
      </c>
      <c r="W790">
        <v>37917.82</v>
      </c>
    </row>
    <row r="791" spans="1:23" hidden="1" x14ac:dyDescent="0.25">
      <c r="A791">
        <v>15741</v>
      </c>
      <c r="B791">
        <v>455782410</v>
      </c>
      <c r="C791" t="s">
        <v>4491</v>
      </c>
      <c r="D791" s="8" t="s">
        <v>4492</v>
      </c>
      <c r="E791" t="s">
        <v>644</v>
      </c>
      <c r="G791" t="s">
        <v>62</v>
      </c>
      <c r="H791" t="s">
        <v>63</v>
      </c>
      <c r="I791" t="s">
        <v>30</v>
      </c>
      <c r="J791" t="s">
        <v>64</v>
      </c>
      <c r="K791" t="s">
        <v>27</v>
      </c>
      <c r="L791" t="s">
        <v>65</v>
      </c>
      <c r="M791" t="s">
        <v>4493</v>
      </c>
      <c r="N791" t="s">
        <v>646</v>
      </c>
      <c r="O791" t="s">
        <v>83</v>
      </c>
      <c r="P791" t="s">
        <v>4494</v>
      </c>
      <c r="Q791" t="s">
        <v>86</v>
      </c>
      <c r="R791" s="23" t="s">
        <v>631</v>
      </c>
      <c r="S791" s="23">
        <v>46175</v>
      </c>
      <c r="T791">
        <v>4</v>
      </c>
      <c r="U791">
        <v>4718</v>
      </c>
      <c r="V791">
        <v>839.94</v>
      </c>
      <c r="W791">
        <v>5557.9400000000005</v>
      </c>
    </row>
    <row r="792" spans="1:23" hidden="1" x14ac:dyDescent="0.25">
      <c r="A792">
        <v>15741</v>
      </c>
      <c r="B792">
        <v>455779625</v>
      </c>
      <c r="C792" t="s">
        <v>4495</v>
      </c>
      <c r="D792" s="8" t="s">
        <v>4496</v>
      </c>
      <c r="E792" t="s">
        <v>644</v>
      </c>
      <c r="G792" t="s">
        <v>62</v>
      </c>
      <c r="H792" t="s">
        <v>63</v>
      </c>
      <c r="I792" t="s">
        <v>30</v>
      </c>
      <c r="J792" t="s">
        <v>64</v>
      </c>
      <c r="K792" t="s">
        <v>27</v>
      </c>
      <c r="L792" t="s">
        <v>65</v>
      </c>
      <c r="M792" t="s">
        <v>4497</v>
      </c>
      <c r="N792" t="s">
        <v>646</v>
      </c>
      <c r="O792" t="s">
        <v>83</v>
      </c>
      <c r="P792" t="s">
        <v>4498</v>
      </c>
      <c r="Q792" t="s">
        <v>75</v>
      </c>
      <c r="R792" s="23" t="s">
        <v>177</v>
      </c>
      <c r="S792" s="23">
        <v>46175</v>
      </c>
      <c r="T792">
        <v>23.03</v>
      </c>
      <c r="U792">
        <v>9721</v>
      </c>
      <c r="V792">
        <v>839.94</v>
      </c>
      <c r="W792">
        <v>10560.94</v>
      </c>
    </row>
    <row r="793" spans="1:23" hidden="1" x14ac:dyDescent="0.25">
      <c r="A793">
        <v>15741</v>
      </c>
      <c r="B793">
        <v>455779619</v>
      </c>
      <c r="C793" t="s">
        <v>4499</v>
      </c>
      <c r="D793" s="8" t="s">
        <v>4500</v>
      </c>
      <c r="E793" t="s">
        <v>644</v>
      </c>
      <c r="G793" t="s">
        <v>62</v>
      </c>
      <c r="H793" t="s">
        <v>63</v>
      </c>
      <c r="I793" t="s">
        <v>30</v>
      </c>
      <c r="J793" t="s">
        <v>64</v>
      </c>
      <c r="K793" t="s">
        <v>27</v>
      </c>
      <c r="L793" t="s">
        <v>215</v>
      </c>
      <c r="M793" t="s">
        <v>4501</v>
      </c>
      <c r="N793" t="s">
        <v>646</v>
      </c>
      <c r="O793" t="s">
        <v>83</v>
      </c>
      <c r="P793" t="s">
        <v>4502</v>
      </c>
      <c r="Q793" t="s">
        <v>43</v>
      </c>
      <c r="R793" s="23" t="s">
        <v>177</v>
      </c>
      <c r="S793" s="23">
        <v>46175</v>
      </c>
      <c r="T793">
        <v>48.2</v>
      </c>
      <c r="U793">
        <v>21527</v>
      </c>
      <c r="V793">
        <v>1439.88</v>
      </c>
      <c r="W793">
        <v>22966.880000000001</v>
      </c>
    </row>
    <row r="794" spans="1:23" hidden="1" x14ac:dyDescent="0.25">
      <c r="A794">
        <v>15741</v>
      </c>
      <c r="B794">
        <v>455779610</v>
      </c>
      <c r="C794" t="s">
        <v>4503</v>
      </c>
      <c r="D794" s="8" t="s">
        <v>4504</v>
      </c>
      <c r="E794" t="s">
        <v>644</v>
      </c>
      <c r="G794" t="s">
        <v>62</v>
      </c>
      <c r="H794" t="s">
        <v>63</v>
      </c>
      <c r="I794" t="s">
        <v>30</v>
      </c>
      <c r="J794" t="s">
        <v>64</v>
      </c>
      <c r="K794" t="s">
        <v>27</v>
      </c>
      <c r="L794" t="s">
        <v>65</v>
      </c>
      <c r="M794" t="s">
        <v>4505</v>
      </c>
      <c r="N794" t="s">
        <v>646</v>
      </c>
      <c r="O794" t="s">
        <v>83</v>
      </c>
      <c r="P794" t="s">
        <v>4506</v>
      </c>
      <c r="Q794" t="s">
        <v>106</v>
      </c>
      <c r="R794" s="23" t="s">
        <v>177</v>
      </c>
      <c r="S794" s="23">
        <v>46175</v>
      </c>
      <c r="T794">
        <v>23.71</v>
      </c>
      <c r="U794">
        <v>9721</v>
      </c>
      <c r="V794">
        <v>1559.94</v>
      </c>
      <c r="W794">
        <v>11280.94</v>
      </c>
    </row>
    <row r="795" spans="1:23" hidden="1" x14ac:dyDescent="0.25">
      <c r="A795">
        <v>15741</v>
      </c>
      <c r="B795">
        <v>455779604</v>
      </c>
      <c r="C795" t="s">
        <v>4507</v>
      </c>
      <c r="D795" s="8" t="s">
        <v>4508</v>
      </c>
      <c r="E795" t="s">
        <v>644</v>
      </c>
      <c r="G795" t="s">
        <v>62</v>
      </c>
      <c r="H795" t="s">
        <v>63</v>
      </c>
      <c r="I795" t="s">
        <v>30</v>
      </c>
      <c r="J795" t="s">
        <v>64</v>
      </c>
      <c r="K795" t="s">
        <v>27</v>
      </c>
      <c r="L795" t="s">
        <v>65</v>
      </c>
      <c r="M795" t="s">
        <v>4509</v>
      </c>
      <c r="N795" t="s">
        <v>646</v>
      </c>
      <c r="O795" t="s">
        <v>83</v>
      </c>
      <c r="P795" t="s">
        <v>4510</v>
      </c>
      <c r="Q795" t="s">
        <v>200</v>
      </c>
      <c r="R795" s="23" t="s">
        <v>177</v>
      </c>
      <c r="S795" s="23">
        <v>46175</v>
      </c>
      <c r="T795">
        <v>11.17</v>
      </c>
      <c r="U795">
        <v>11161</v>
      </c>
      <c r="V795">
        <v>719.94</v>
      </c>
      <c r="W795">
        <v>11880.94</v>
      </c>
    </row>
    <row r="796" spans="1:23" hidden="1" x14ac:dyDescent="0.25">
      <c r="A796">
        <v>15741</v>
      </c>
      <c r="B796">
        <v>455779602</v>
      </c>
      <c r="C796" t="s">
        <v>4511</v>
      </c>
      <c r="D796" s="8" t="s">
        <v>4512</v>
      </c>
      <c r="E796" t="s">
        <v>644</v>
      </c>
      <c r="G796" t="s">
        <v>62</v>
      </c>
      <c r="H796" t="s">
        <v>63</v>
      </c>
      <c r="I796" t="s">
        <v>30</v>
      </c>
      <c r="J796" t="s">
        <v>64</v>
      </c>
      <c r="K796" t="s">
        <v>27</v>
      </c>
      <c r="L796" t="s">
        <v>65</v>
      </c>
      <c r="M796" t="s">
        <v>4513</v>
      </c>
      <c r="N796" t="s">
        <v>646</v>
      </c>
      <c r="O796" t="s">
        <v>83</v>
      </c>
      <c r="P796" t="s">
        <v>4514</v>
      </c>
      <c r="Q796" t="s">
        <v>50</v>
      </c>
      <c r="R796" s="23" t="s">
        <v>177</v>
      </c>
      <c r="S796" s="23">
        <v>46175</v>
      </c>
      <c r="T796">
        <v>30</v>
      </c>
      <c r="U796">
        <v>12555</v>
      </c>
      <c r="V796">
        <v>3299.94</v>
      </c>
      <c r="W796">
        <v>15854.94</v>
      </c>
    </row>
    <row r="797" spans="1:23" hidden="1" x14ac:dyDescent="0.25">
      <c r="A797">
        <v>15741</v>
      </c>
      <c r="B797">
        <v>455779595</v>
      </c>
      <c r="C797" t="s">
        <v>4515</v>
      </c>
      <c r="D797" s="8" t="s">
        <v>4516</v>
      </c>
      <c r="E797" t="s">
        <v>644</v>
      </c>
      <c r="G797" t="s">
        <v>62</v>
      </c>
      <c r="H797" t="s">
        <v>63</v>
      </c>
      <c r="I797" t="s">
        <v>30</v>
      </c>
      <c r="J797" t="s">
        <v>64</v>
      </c>
      <c r="K797" t="s">
        <v>27</v>
      </c>
      <c r="L797" t="s">
        <v>65</v>
      </c>
      <c r="M797" t="s">
        <v>259</v>
      </c>
      <c r="N797" t="s">
        <v>646</v>
      </c>
      <c r="O797" t="s">
        <v>83</v>
      </c>
      <c r="P797" t="s">
        <v>4517</v>
      </c>
      <c r="Q797" t="s">
        <v>190</v>
      </c>
      <c r="R797" s="23" t="s">
        <v>177</v>
      </c>
      <c r="S797" s="23">
        <v>46175</v>
      </c>
      <c r="T797">
        <v>11.23</v>
      </c>
      <c r="U797">
        <v>12046</v>
      </c>
      <c r="V797">
        <v>719.94</v>
      </c>
      <c r="W797">
        <v>12765.94</v>
      </c>
    </row>
    <row r="798" spans="1:23" hidden="1" x14ac:dyDescent="0.25">
      <c r="A798">
        <v>15741</v>
      </c>
      <c r="B798">
        <v>455779590</v>
      </c>
      <c r="C798" t="s">
        <v>4518</v>
      </c>
      <c r="D798" s="8" t="s">
        <v>4519</v>
      </c>
      <c r="E798" t="s">
        <v>644</v>
      </c>
      <c r="G798" t="s">
        <v>62</v>
      </c>
      <c r="H798" t="s">
        <v>63</v>
      </c>
      <c r="I798" t="s">
        <v>30</v>
      </c>
      <c r="J798" t="s">
        <v>64</v>
      </c>
      <c r="K798" t="s">
        <v>27</v>
      </c>
      <c r="L798" t="s">
        <v>215</v>
      </c>
      <c r="M798" t="s">
        <v>4520</v>
      </c>
      <c r="N798" t="s">
        <v>646</v>
      </c>
      <c r="O798" t="s">
        <v>83</v>
      </c>
      <c r="P798" t="s">
        <v>4521</v>
      </c>
      <c r="Q798" t="s">
        <v>44</v>
      </c>
      <c r="R798" s="23" t="s">
        <v>177</v>
      </c>
      <c r="S798" s="23">
        <v>46175</v>
      </c>
      <c r="T798">
        <v>47.73</v>
      </c>
      <c r="U798">
        <v>21055</v>
      </c>
      <c r="V798">
        <v>3119.88</v>
      </c>
      <c r="W798">
        <v>24174.880000000001</v>
      </c>
    </row>
    <row r="799" spans="1:23" hidden="1" x14ac:dyDescent="0.25">
      <c r="A799">
        <v>15741</v>
      </c>
      <c r="B799">
        <v>455779581</v>
      </c>
      <c r="C799" t="s">
        <v>4522</v>
      </c>
      <c r="D799" s="8" t="s">
        <v>4523</v>
      </c>
      <c r="E799" t="s">
        <v>644</v>
      </c>
      <c r="G799" t="s">
        <v>62</v>
      </c>
      <c r="H799" t="s">
        <v>63</v>
      </c>
      <c r="I799" t="s">
        <v>30</v>
      </c>
      <c r="J799" t="s">
        <v>64</v>
      </c>
      <c r="K799" t="s">
        <v>27</v>
      </c>
      <c r="L799" t="s">
        <v>65</v>
      </c>
      <c r="M799" t="s">
        <v>4524</v>
      </c>
      <c r="N799" t="s">
        <v>646</v>
      </c>
      <c r="O799" t="s">
        <v>83</v>
      </c>
      <c r="P799" t="s">
        <v>4525</v>
      </c>
      <c r="Q799" t="s">
        <v>52</v>
      </c>
      <c r="R799" s="23" t="s">
        <v>177</v>
      </c>
      <c r="S799" s="23">
        <v>46175</v>
      </c>
      <c r="T799">
        <v>23.59</v>
      </c>
      <c r="U799">
        <v>9721</v>
      </c>
      <c r="V799">
        <v>779.94</v>
      </c>
      <c r="W799">
        <v>10500.94</v>
      </c>
    </row>
    <row r="800" spans="1:23" hidden="1" x14ac:dyDescent="0.25">
      <c r="A800">
        <v>15741</v>
      </c>
      <c r="B800">
        <v>455779577</v>
      </c>
      <c r="C800" t="s">
        <v>4526</v>
      </c>
      <c r="D800" s="8" t="s">
        <v>4527</v>
      </c>
      <c r="E800" t="s">
        <v>644</v>
      </c>
      <c r="G800" t="s">
        <v>62</v>
      </c>
      <c r="H800" t="s">
        <v>63</v>
      </c>
      <c r="I800" t="s">
        <v>30</v>
      </c>
      <c r="J800" t="s">
        <v>64</v>
      </c>
      <c r="K800" t="s">
        <v>27</v>
      </c>
      <c r="L800" t="s">
        <v>65</v>
      </c>
      <c r="M800" t="s">
        <v>4528</v>
      </c>
      <c r="N800" t="s">
        <v>646</v>
      </c>
      <c r="O800" t="s">
        <v>83</v>
      </c>
      <c r="P800" t="s">
        <v>4529</v>
      </c>
      <c r="Q800" t="s">
        <v>47</v>
      </c>
      <c r="R800" s="23" t="s">
        <v>177</v>
      </c>
      <c r="S800" s="23">
        <v>46175</v>
      </c>
      <c r="T800">
        <v>23.95</v>
      </c>
      <c r="U800">
        <v>9721</v>
      </c>
      <c r="V800">
        <v>779.94</v>
      </c>
      <c r="W800">
        <v>10500.94</v>
      </c>
    </row>
    <row r="801" spans="1:23" hidden="1" x14ac:dyDescent="0.25">
      <c r="A801">
        <v>15741</v>
      </c>
      <c r="B801">
        <v>455779591</v>
      </c>
      <c r="C801" t="s">
        <v>4530</v>
      </c>
      <c r="D801" s="8" t="s">
        <v>4531</v>
      </c>
      <c r="E801" t="s">
        <v>644</v>
      </c>
      <c r="G801" t="s">
        <v>62</v>
      </c>
      <c r="H801" t="s">
        <v>63</v>
      </c>
      <c r="I801" t="s">
        <v>30</v>
      </c>
      <c r="J801" t="s">
        <v>64</v>
      </c>
      <c r="K801" t="s">
        <v>27</v>
      </c>
      <c r="L801" t="s">
        <v>65</v>
      </c>
      <c r="M801" t="s">
        <v>4532</v>
      </c>
      <c r="N801" t="s">
        <v>646</v>
      </c>
      <c r="O801" t="s">
        <v>83</v>
      </c>
      <c r="P801" t="s">
        <v>4533</v>
      </c>
      <c r="Q801" t="s">
        <v>100</v>
      </c>
      <c r="R801" s="23" t="s">
        <v>177</v>
      </c>
      <c r="S801" s="23">
        <v>46175</v>
      </c>
      <c r="T801">
        <v>23.95</v>
      </c>
      <c r="U801">
        <v>9721</v>
      </c>
      <c r="V801">
        <v>839.94</v>
      </c>
      <c r="W801">
        <v>10560.94</v>
      </c>
    </row>
    <row r="802" spans="1:23" hidden="1" x14ac:dyDescent="0.25">
      <c r="A802">
        <v>15741</v>
      </c>
      <c r="B802">
        <v>455779562</v>
      </c>
      <c r="C802" t="s">
        <v>4534</v>
      </c>
      <c r="D802" s="8" t="s">
        <v>4535</v>
      </c>
      <c r="E802" t="s">
        <v>644</v>
      </c>
      <c r="G802" t="s">
        <v>62</v>
      </c>
      <c r="H802" t="s">
        <v>63</v>
      </c>
      <c r="I802" t="s">
        <v>30</v>
      </c>
      <c r="J802" t="s">
        <v>64</v>
      </c>
      <c r="K802" t="s">
        <v>27</v>
      </c>
      <c r="L802" t="s">
        <v>65</v>
      </c>
      <c r="M802" t="s">
        <v>4536</v>
      </c>
      <c r="N802" t="s">
        <v>646</v>
      </c>
      <c r="O802" t="s">
        <v>83</v>
      </c>
      <c r="P802" t="s">
        <v>4537</v>
      </c>
      <c r="Q802" t="s">
        <v>87</v>
      </c>
      <c r="R802" s="23" t="s">
        <v>177</v>
      </c>
      <c r="S802" s="23">
        <v>46175</v>
      </c>
      <c r="T802">
        <v>23.93</v>
      </c>
      <c r="U802">
        <v>9721</v>
      </c>
      <c r="V802">
        <v>1559.94</v>
      </c>
      <c r="W802">
        <v>11280.94</v>
      </c>
    </row>
    <row r="803" spans="1:23" hidden="1" x14ac:dyDescent="0.25">
      <c r="A803">
        <v>15741</v>
      </c>
      <c r="B803">
        <v>455779558</v>
      </c>
      <c r="C803" t="s">
        <v>4538</v>
      </c>
      <c r="D803" s="8" t="s">
        <v>4539</v>
      </c>
      <c r="E803" t="s">
        <v>644</v>
      </c>
      <c r="G803" t="s">
        <v>62</v>
      </c>
      <c r="H803" t="s">
        <v>63</v>
      </c>
      <c r="I803" t="s">
        <v>30</v>
      </c>
      <c r="J803" t="s">
        <v>64</v>
      </c>
      <c r="K803" t="s">
        <v>27</v>
      </c>
      <c r="L803" t="s">
        <v>65</v>
      </c>
      <c r="M803" t="s">
        <v>4540</v>
      </c>
      <c r="N803" t="s">
        <v>646</v>
      </c>
      <c r="O803" t="s">
        <v>83</v>
      </c>
      <c r="P803" t="s">
        <v>4541</v>
      </c>
      <c r="Q803" t="s">
        <v>93</v>
      </c>
      <c r="R803" s="23" t="s">
        <v>177</v>
      </c>
      <c r="S803" s="23">
        <v>46175</v>
      </c>
      <c r="T803">
        <v>63.51</v>
      </c>
      <c r="U803">
        <v>37380</v>
      </c>
      <c r="V803">
        <v>5999.94</v>
      </c>
      <c r="W803">
        <v>43379.94</v>
      </c>
    </row>
    <row r="804" spans="1:23" hidden="1" x14ac:dyDescent="0.25">
      <c r="A804">
        <v>15741</v>
      </c>
      <c r="B804">
        <v>455779552</v>
      </c>
      <c r="C804" t="s">
        <v>4542</v>
      </c>
      <c r="D804" s="8" t="s">
        <v>4543</v>
      </c>
      <c r="E804" t="s">
        <v>644</v>
      </c>
      <c r="G804" t="s">
        <v>62</v>
      </c>
      <c r="H804" t="s">
        <v>63</v>
      </c>
      <c r="I804" t="s">
        <v>30</v>
      </c>
      <c r="J804" t="s">
        <v>64</v>
      </c>
      <c r="K804" t="s">
        <v>27</v>
      </c>
      <c r="L804" t="s">
        <v>65</v>
      </c>
      <c r="M804" t="s">
        <v>4544</v>
      </c>
      <c r="N804" t="s">
        <v>646</v>
      </c>
      <c r="O804" t="s">
        <v>83</v>
      </c>
      <c r="P804" t="s">
        <v>4545</v>
      </c>
      <c r="Q804" t="s">
        <v>68</v>
      </c>
      <c r="R804" s="23" t="s">
        <v>177</v>
      </c>
      <c r="S804" s="23">
        <v>46175</v>
      </c>
      <c r="T804">
        <v>24.72</v>
      </c>
      <c r="U804">
        <v>10193</v>
      </c>
      <c r="V804">
        <v>719.94</v>
      </c>
      <c r="W804">
        <v>10912.94</v>
      </c>
    </row>
    <row r="805" spans="1:23" hidden="1" x14ac:dyDescent="0.25">
      <c r="A805">
        <v>15741</v>
      </c>
      <c r="B805">
        <v>455779548</v>
      </c>
      <c r="C805" t="s">
        <v>4546</v>
      </c>
      <c r="D805" s="8" t="s">
        <v>4547</v>
      </c>
      <c r="E805" t="s">
        <v>644</v>
      </c>
      <c r="G805" t="s">
        <v>62</v>
      </c>
      <c r="H805" t="s">
        <v>63</v>
      </c>
      <c r="I805" t="s">
        <v>30</v>
      </c>
      <c r="J805" t="s">
        <v>64</v>
      </c>
      <c r="K805" t="s">
        <v>27</v>
      </c>
      <c r="L805" t="s">
        <v>65</v>
      </c>
      <c r="M805" t="s">
        <v>4548</v>
      </c>
      <c r="N805" t="s">
        <v>646</v>
      </c>
      <c r="O805" t="s">
        <v>83</v>
      </c>
      <c r="P805" t="s">
        <v>4549</v>
      </c>
      <c r="Q805" t="s">
        <v>66</v>
      </c>
      <c r="R805" s="23" t="s">
        <v>177</v>
      </c>
      <c r="S805" s="23">
        <v>46175</v>
      </c>
      <c r="T805">
        <v>23.94</v>
      </c>
      <c r="U805">
        <v>9721</v>
      </c>
      <c r="V805">
        <v>839.94</v>
      </c>
      <c r="W805">
        <v>10560.94</v>
      </c>
    </row>
    <row r="806" spans="1:23" hidden="1" x14ac:dyDescent="0.25">
      <c r="A806">
        <v>15741</v>
      </c>
      <c r="B806">
        <v>455779537</v>
      </c>
      <c r="C806" t="s">
        <v>4550</v>
      </c>
      <c r="D806" s="8" t="s">
        <v>4551</v>
      </c>
      <c r="E806" t="s">
        <v>644</v>
      </c>
      <c r="G806" t="s">
        <v>62</v>
      </c>
      <c r="H806" t="s">
        <v>63</v>
      </c>
      <c r="I806" t="s">
        <v>30</v>
      </c>
      <c r="J806" t="s">
        <v>64</v>
      </c>
      <c r="K806" t="s">
        <v>196</v>
      </c>
      <c r="L806" t="s">
        <v>217</v>
      </c>
      <c r="M806" t="s">
        <v>4552</v>
      </c>
      <c r="N806" t="s">
        <v>646</v>
      </c>
      <c r="O806" t="s">
        <v>83</v>
      </c>
      <c r="P806" t="s">
        <v>4553</v>
      </c>
      <c r="Q806" t="s">
        <v>43</v>
      </c>
      <c r="R806" s="23" t="s">
        <v>177</v>
      </c>
      <c r="S806" s="23">
        <v>46175</v>
      </c>
      <c r="T806">
        <v>48.07</v>
      </c>
      <c r="U806">
        <v>21527</v>
      </c>
      <c r="V806">
        <v>839.88</v>
      </c>
      <c r="W806">
        <v>22366.880000000001</v>
      </c>
    </row>
    <row r="807" spans="1:23" hidden="1" x14ac:dyDescent="0.25">
      <c r="A807">
        <v>15741</v>
      </c>
      <c r="B807">
        <v>455779534</v>
      </c>
      <c r="C807" t="s">
        <v>4554</v>
      </c>
      <c r="D807" s="8" t="s">
        <v>4555</v>
      </c>
      <c r="E807" t="s">
        <v>644</v>
      </c>
      <c r="G807" t="s">
        <v>62</v>
      </c>
      <c r="H807" t="s">
        <v>63</v>
      </c>
      <c r="I807" t="s">
        <v>30</v>
      </c>
      <c r="J807" t="s">
        <v>64</v>
      </c>
      <c r="K807" t="s">
        <v>27</v>
      </c>
      <c r="L807" t="s">
        <v>215</v>
      </c>
      <c r="M807" t="s">
        <v>435</v>
      </c>
      <c r="N807" t="s">
        <v>646</v>
      </c>
      <c r="O807" t="s">
        <v>83</v>
      </c>
      <c r="P807" t="s">
        <v>4556</v>
      </c>
      <c r="Q807" t="s">
        <v>201</v>
      </c>
      <c r="R807" s="23" t="s">
        <v>177</v>
      </c>
      <c r="S807" s="23">
        <v>46175</v>
      </c>
      <c r="T807">
        <v>83.56</v>
      </c>
      <c r="U807">
        <v>47757</v>
      </c>
      <c r="V807">
        <v>2999.76</v>
      </c>
      <c r="W807">
        <v>50756.76</v>
      </c>
    </row>
    <row r="808" spans="1:23" hidden="1" x14ac:dyDescent="0.25">
      <c r="A808">
        <v>15741</v>
      </c>
      <c r="B808">
        <v>455779525</v>
      </c>
      <c r="C808" t="s">
        <v>4557</v>
      </c>
      <c r="D808" s="8" t="s">
        <v>4558</v>
      </c>
      <c r="E808" t="s">
        <v>644</v>
      </c>
      <c r="G808" t="s">
        <v>62</v>
      </c>
      <c r="H808" t="s">
        <v>63</v>
      </c>
      <c r="I808" t="s">
        <v>30</v>
      </c>
      <c r="J808" t="s">
        <v>64</v>
      </c>
      <c r="K808" t="s">
        <v>27</v>
      </c>
      <c r="L808" t="s">
        <v>65</v>
      </c>
      <c r="M808" t="s">
        <v>4559</v>
      </c>
      <c r="N808" t="s">
        <v>646</v>
      </c>
      <c r="O808" t="s">
        <v>83</v>
      </c>
      <c r="P808" t="s">
        <v>4560</v>
      </c>
      <c r="Q808" t="s">
        <v>178</v>
      </c>
      <c r="R808" s="23" t="s">
        <v>177</v>
      </c>
      <c r="S808" s="23">
        <v>46175</v>
      </c>
      <c r="T808">
        <v>11.42</v>
      </c>
      <c r="U808">
        <v>11761</v>
      </c>
      <c r="V808">
        <v>779.94</v>
      </c>
      <c r="W808">
        <v>12540.94</v>
      </c>
    </row>
    <row r="809" spans="1:23" hidden="1" x14ac:dyDescent="0.25">
      <c r="A809">
        <v>15741</v>
      </c>
      <c r="B809">
        <v>455779522</v>
      </c>
      <c r="C809" t="s">
        <v>4561</v>
      </c>
      <c r="D809" s="8" t="s">
        <v>4562</v>
      </c>
      <c r="E809" t="s">
        <v>644</v>
      </c>
      <c r="G809" t="s">
        <v>62</v>
      </c>
      <c r="H809" t="s">
        <v>63</v>
      </c>
      <c r="I809" t="s">
        <v>30</v>
      </c>
      <c r="J809" t="s">
        <v>64</v>
      </c>
      <c r="K809" t="s">
        <v>27</v>
      </c>
      <c r="L809" t="s">
        <v>65</v>
      </c>
      <c r="M809" t="s">
        <v>4563</v>
      </c>
      <c r="N809" t="s">
        <v>646</v>
      </c>
      <c r="O809" t="s">
        <v>83</v>
      </c>
      <c r="P809" t="s">
        <v>4564</v>
      </c>
      <c r="Q809" t="s">
        <v>263</v>
      </c>
      <c r="R809" s="23" t="s">
        <v>177</v>
      </c>
      <c r="S809" s="23">
        <v>46175</v>
      </c>
      <c r="T809">
        <v>23.48</v>
      </c>
      <c r="U809">
        <v>19032</v>
      </c>
      <c r="V809">
        <v>539.94000000000005</v>
      </c>
      <c r="W809">
        <v>19571.939999999999</v>
      </c>
    </row>
    <row r="810" spans="1:23" hidden="1" x14ac:dyDescent="0.25">
      <c r="A810">
        <v>15741</v>
      </c>
      <c r="B810">
        <v>455779521</v>
      </c>
      <c r="C810" t="s">
        <v>4565</v>
      </c>
      <c r="D810" s="8" t="s">
        <v>4566</v>
      </c>
      <c r="E810" t="s">
        <v>644</v>
      </c>
      <c r="G810" t="s">
        <v>62</v>
      </c>
      <c r="H810" t="s">
        <v>63</v>
      </c>
      <c r="I810" t="s">
        <v>30</v>
      </c>
      <c r="J810" t="s">
        <v>64</v>
      </c>
      <c r="K810" t="s">
        <v>27</v>
      </c>
      <c r="L810" t="s">
        <v>65</v>
      </c>
      <c r="M810" t="s">
        <v>4567</v>
      </c>
      <c r="N810" t="s">
        <v>646</v>
      </c>
      <c r="O810" t="s">
        <v>83</v>
      </c>
      <c r="P810" t="s">
        <v>4568</v>
      </c>
      <c r="Q810" t="s">
        <v>105</v>
      </c>
      <c r="R810" s="23" t="s">
        <v>177</v>
      </c>
      <c r="S810" s="23">
        <v>46175</v>
      </c>
      <c r="T810">
        <v>23.03</v>
      </c>
      <c r="U810">
        <v>18218</v>
      </c>
      <c r="V810">
        <v>779.94</v>
      </c>
      <c r="W810">
        <v>18997.939999999999</v>
      </c>
    </row>
    <row r="811" spans="1:23" hidden="1" x14ac:dyDescent="0.25">
      <c r="A811">
        <v>15741</v>
      </c>
      <c r="B811">
        <v>455779513</v>
      </c>
      <c r="C811" t="s">
        <v>4569</v>
      </c>
      <c r="D811" s="8" t="s">
        <v>4570</v>
      </c>
      <c r="E811" t="s">
        <v>644</v>
      </c>
      <c r="G811" t="s">
        <v>62</v>
      </c>
      <c r="H811" t="s">
        <v>63</v>
      </c>
      <c r="I811" t="s">
        <v>30</v>
      </c>
      <c r="J811" t="s">
        <v>64</v>
      </c>
      <c r="K811" t="s">
        <v>27</v>
      </c>
      <c r="L811" t="s">
        <v>65</v>
      </c>
      <c r="M811" t="s">
        <v>4571</v>
      </c>
      <c r="N811" t="s">
        <v>646</v>
      </c>
      <c r="O811" t="s">
        <v>83</v>
      </c>
      <c r="P811" t="s">
        <v>4572</v>
      </c>
      <c r="Q811" t="s">
        <v>48</v>
      </c>
      <c r="R811" s="23" t="s">
        <v>177</v>
      </c>
      <c r="S811" s="23">
        <v>46175</v>
      </c>
      <c r="T811">
        <v>24.86</v>
      </c>
      <c r="U811">
        <v>10193</v>
      </c>
      <c r="V811">
        <v>719.94</v>
      </c>
      <c r="W811">
        <v>10912.94</v>
      </c>
    </row>
    <row r="812" spans="1:23" hidden="1" x14ac:dyDescent="0.25">
      <c r="A812">
        <v>15741</v>
      </c>
      <c r="B812">
        <v>455779510</v>
      </c>
      <c r="C812" t="s">
        <v>4573</v>
      </c>
      <c r="D812" s="8" t="s">
        <v>4574</v>
      </c>
      <c r="E812" t="s">
        <v>644</v>
      </c>
      <c r="G812" t="s">
        <v>62</v>
      </c>
      <c r="H812" t="s">
        <v>63</v>
      </c>
      <c r="I812" t="s">
        <v>30</v>
      </c>
      <c r="J812" t="s">
        <v>64</v>
      </c>
      <c r="K812" t="s">
        <v>27</v>
      </c>
      <c r="L812" t="s">
        <v>65</v>
      </c>
      <c r="M812" t="s">
        <v>4575</v>
      </c>
      <c r="N812" t="s">
        <v>646</v>
      </c>
      <c r="O812" t="s">
        <v>83</v>
      </c>
      <c r="P812" t="s">
        <v>4576</v>
      </c>
      <c r="Q812" t="s">
        <v>50</v>
      </c>
      <c r="R812" s="23" t="s">
        <v>177</v>
      </c>
      <c r="S812" s="23">
        <v>46175</v>
      </c>
      <c r="T812">
        <v>23.22</v>
      </c>
      <c r="U812">
        <v>9721</v>
      </c>
      <c r="V812">
        <v>719.94</v>
      </c>
      <c r="W812">
        <v>10440.94</v>
      </c>
    </row>
    <row r="813" spans="1:23" hidden="1" x14ac:dyDescent="0.25">
      <c r="A813">
        <v>15741</v>
      </c>
      <c r="B813">
        <v>455779502</v>
      </c>
      <c r="C813" t="s">
        <v>4577</v>
      </c>
      <c r="D813" s="8" t="s">
        <v>4578</v>
      </c>
      <c r="E813" t="s">
        <v>644</v>
      </c>
      <c r="G813" t="s">
        <v>62</v>
      </c>
      <c r="H813" t="s">
        <v>63</v>
      </c>
      <c r="I813" t="s">
        <v>30</v>
      </c>
      <c r="J813" t="s">
        <v>64</v>
      </c>
      <c r="K813" t="s">
        <v>27</v>
      </c>
      <c r="L813" t="s">
        <v>65</v>
      </c>
      <c r="M813" t="s">
        <v>4579</v>
      </c>
      <c r="N813" t="s">
        <v>646</v>
      </c>
      <c r="O813" t="s">
        <v>83</v>
      </c>
      <c r="P813" t="s">
        <v>4580</v>
      </c>
      <c r="Q813" t="s">
        <v>117</v>
      </c>
      <c r="R813" s="23" t="s">
        <v>177</v>
      </c>
      <c r="S813" s="23">
        <v>46175</v>
      </c>
      <c r="T813">
        <v>6.69</v>
      </c>
      <c r="U813">
        <v>9380</v>
      </c>
      <c r="V813">
        <v>0</v>
      </c>
      <c r="W813">
        <v>9380</v>
      </c>
    </row>
    <row r="814" spans="1:23" hidden="1" x14ac:dyDescent="0.25">
      <c r="A814">
        <v>15741</v>
      </c>
      <c r="B814">
        <v>455777803</v>
      </c>
      <c r="C814" t="s">
        <v>4581</v>
      </c>
      <c r="D814" s="8" t="s">
        <v>4582</v>
      </c>
      <c r="E814" t="s">
        <v>644</v>
      </c>
      <c r="G814" t="s">
        <v>62</v>
      </c>
      <c r="H814" t="s">
        <v>63</v>
      </c>
      <c r="I814" t="s">
        <v>30</v>
      </c>
      <c r="J814" t="s">
        <v>64</v>
      </c>
      <c r="K814" t="s">
        <v>27</v>
      </c>
      <c r="L814" t="s">
        <v>65</v>
      </c>
      <c r="M814" t="s">
        <v>4469</v>
      </c>
      <c r="N814" t="s">
        <v>646</v>
      </c>
      <c r="O814" t="s">
        <v>83</v>
      </c>
      <c r="P814" t="s">
        <v>4583</v>
      </c>
      <c r="Q814" t="s">
        <v>57</v>
      </c>
      <c r="R814" s="23" t="s">
        <v>385</v>
      </c>
      <c r="S814" s="23">
        <v>46175</v>
      </c>
      <c r="T814">
        <v>24.04</v>
      </c>
      <c r="U814">
        <v>15625</v>
      </c>
      <c r="V814">
        <v>839.94</v>
      </c>
      <c r="W814">
        <v>16464.939999999999</v>
      </c>
    </row>
    <row r="815" spans="1:23" hidden="1" x14ac:dyDescent="0.25">
      <c r="A815">
        <v>15741</v>
      </c>
      <c r="B815">
        <v>455779506</v>
      </c>
      <c r="C815" t="s">
        <v>4584</v>
      </c>
      <c r="D815" s="8" t="s">
        <v>4585</v>
      </c>
      <c r="E815" t="s">
        <v>644</v>
      </c>
      <c r="G815" t="s">
        <v>62</v>
      </c>
      <c r="H815" t="s">
        <v>63</v>
      </c>
      <c r="I815" t="s">
        <v>30</v>
      </c>
      <c r="J815" t="s">
        <v>64</v>
      </c>
      <c r="K815" t="s">
        <v>27</v>
      </c>
      <c r="L815" t="s">
        <v>65</v>
      </c>
      <c r="M815" t="s">
        <v>4586</v>
      </c>
      <c r="N815" t="s">
        <v>646</v>
      </c>
      <c r="O815" t="s">
        <v>83</v>
      </c>
      <c r="P815" t="s">
        <v>4587</v>
      </c>
      <c r="Q815" t="s">
        <v>56</v>
      </c>
      <c r="R815" s="23" t="s">
        <v>177</v>
      </c>
      <c r="S815" s="23">
        <v>46175</v>
      </c>
      <c r="T815">
        <v>24.12</v>
      </c>
      <c r="U815">
        <v>25397</v>
      </c>
      <c r="V815">
        <v>539.94000000000005</v>
      </c>
      <c r="W815">
        <v>25936.94</v>
      </c>
    </row>
    <row r="816" spans="1:23" hidden="1" x14ac:dyDescent="0.25">
      <c r="A816">
        <v>15741</v>
      </c>
      <c r="B816">
        <v>455779496</v>
      </c>
      <c r="C816" t="s">
        <v>4588</v>
      </c>
      <c r="D816" s="8" t="s">
        <v>4589</v>
      </c>
      <c r="E816" t="s">
        <v>644</v>
      </c>
      <c r="G816" t="s">
        <v>62</v>
      </c>
      <c r="H816" t="s">
        <v>63</v>
      </c>
      <c r="I816" t="s">
        <v>30</v>
      </c>
      <c r="J816" t="s">
        <v>64</v>
      </c>
      <c r="K816" t="s">
        <v>27</v>
      </c>
      <c r="L816" t="s">
        <v>65</v>
      </c>
      <c r="M816" t="s">
        <v>4590</v>
      </c>
      <c r="N816" t="s">
        <v>646</v>
      </c>
      <c r="O816" t="s">
        <v>83</v>
      </c>
      <c r="P816" t="s">
        <v>4591</v>
      </c>
      <c r="Q816" t="s">
        <v>107</v>
      </c>
      <c r="R816" s="23" t="s">
        <v>177</v>
      </c>
      <c r="S816" s="23">
        <v>46175</v>
      </c>
      <c r="T816">
        <v>23.02</v>
      </c>
      <c r="U816">
        <v>16180</v>
      </c>
      <c r="V816">
        <v>779.94</v>
      </c>
      <c r="W816">
        <v>16959.939999999999</v>
      </c>
    </row>
    <row r="817" spans="1:23" hidden="1" x14ac:dyDescent="0.25">
      <c r="A817">
        <v>15741</v>
      </c>
      <c r="B817">
        <v>455779497</v>
      </c>
      <c r="C817" t="s">
        <v>4592</v>
      </c>
      <c r="D817" s="8" t="s">
        <v>4593</v>
      </c>
      <c r="E817" t="s">
        <v>644</v>
      </c>
      <c r="G817" t="s">
        <v>62</v>
      </c>
      <c r="H817" t="s">
        <v>63</v>
      </c>
      <c r="I817" t="s">
        <v>30</v>
      </c>
      <c r="J817" t="s">
        <v>64</v>
      </c>
      <c r="K817" t="s">
        <v>27</v>
      </c>
      <c r="L817" t="s">
        <v>65</v>
      </c>
      <c r="M817" t="s">
        <v>4594</v>
      </c>
      <c r="N817" t="s">
        <v>646</v>
      </c>
      <c r="O817" t="s">
        <v>83</v>
      </c>
      <c r="P817" t="s">
        <v>4595</v>
      </c>
      <c r="Q817" t="s">
        <v>97</v>
      </c>
      <c r="R817" s="23" t="s">
        <v>177</v>
      </c>
      <c r="S817" s="23">
        <v>46175</v>
      </c>
      <c r="T817">
        <v>11.58</v>
      </c>
      <c r="U817">
        <v>12046</v>
      </c>
      <c r="V817">
        <v>719.94</v>
      </c>
      <c r="W817">
        <v>12765.94</v>
      </c>
    </row>
    <row r="818" spans="1:23" hidden="1" x14ac:dyDescent="0.25">
      <c r="A818">
        <v>15741</v>
      </c>
      <c r="B818">
        <v>455779487</v>
      </c>
      <c r="C818" t="s">
        <v>4596</v>
      </c>
      <c r="D818" s="8" t="s">
        <v>4597</v>
      </c>
      <c r="E818" t="s">
        <v>644</v>
      </c>
      <c r="G818" t="s">
        <v>62</v>
      </c>
      <c r="H818" t="s">
        <v>63</v>
      </c>
      <c r="I818" t="s">
        <v>30</v>
      </c>
      <c r="J818" t="s">
        <v>64</v>
      </c>
      <c r="K818" t="s">
        <v>27</v>
      </c>
      <c r="L818" t="s">
        <v>65</v>
      </c>
      <c r="M818" t="s">
        <v>4598</v>
      </c>
      <c r="N818" t="s">
        <v>646</v>
      </c>
      <c r="O818" t="s">
        <v>83</v>
      </c>
      <c r="P818" t="s">
        <v>4599</v>
      </c>
      <c r="Q818" t="s">
        <v>58</v>
      </c>
      <c r="R818" s="23" t="s">
        <v>177</v>
      </c>
      <c r="S818" s="23">
        <v>46175</v>
      </c>
      <c r="T818">
        <v>11.1</v>
      </c>
      <c r="U818">
        <v>10408</v>
      </c>
      <c r="V818">
        <v>719.94</v>
      </c>
      <c r="W818">
        <v>11127.94</v>
      </c>
    </row>
    <row r="819" spans="1:23" hidden="1" x14ac:dyDescent="0.25">
      <c r="A819">
        <v>15741</v>
      </c>
      <c r="B819">
        <v>455779480</v>
      </c>
      <c r="C819" t="s">
        <v>4600</v>
      </c>
      <c r="D819" s="8" t="s">
        <v>4601</v>
      </c>
      <c r="E819" t="s">
        <v>644</v>
      </c>
      <c r="G819" t="s">
        <v>62</v>
      </c>
      <c r="H819" t="s">
        <v>63</v>
      </c>
      <c r="I819" t="s">
        <v>30</v>
      </c>
      <c r="J819" t="s">
        <v>64</v>
      </c>
      <c r="K819" t="s">
        <v>27</v>
      </c>
      <c r="L819" t="s">
        <v>65</v>
      </c>
      <c r="M819" t="s">
        <v>353</v>
      </c>
      <c r="N819" t="s">
        <v>646</v>
      </c>
      <c r="O819" t="s">
        <v>83</v>
      </c>
      <c r="P819" t="s">
        <v>4602</v>
      </c>
      <c r="Q819" t="s">
        <v>144</v>
      </c>
      <c r="R819" s="23" t="s">
        <v>177</v>
      </c>
      <c r="S819" s="23">
        <v>46175</v>
      </c>
      <c r="T819">
        <v>23.63</v>
      </c>
      <c r="U819">
        <v>9721</v>
      </c>
      <c r="V819">
        <v>779.94</v>
      </c>
      <c r="W819">
        <v>10500.94</v>
      </c>
    </row>
    <row r="820" spans="1:23" hidden="1" x14ac:dyDescent="0.25">
      <c r="A820">
        <v>15741</v>
      </c>
      <c r="B820">
        <v>455779475</v>
      </c>
      <c r="C820" t="s">
        <v>4603</v>
      </c>
      <c r="D820" s="8" t="s">
        <v>4604</v>
      </c>
      <c r="E820" t="s">
        <v>644</v>
      </c>
      <c r="G820" t="s">
        <v>62</v>
      </c>
      <c r="H820" t="s">
        <v>63</v>
      </c>
      <c r="I820" t="s">
        <v>30</v>
      </c>
      <c r="J820" t="s">
        <v>64</v>
      </c>
      <c r="K820" t="s">
        <v>27</v>
      </c>
      <c r="L820" t="s">
        <v>65</v>
      </c>
      <c r="M820" t="s">
        <v>4605</v>
      </c>
      <c r="N820" t="s">
        <v>646</v>
      </c>
      <c r="O820" t="s">
        <v>83</v>
      </c>
      <c r="P820" t="s">
        <v>4606</v>
      </c>
      <c r="Q820" t="s">
        <v>166</v>
      </c>
      <c r="R820" s="23" t="s">
        <v>177</v>
      </c>
      <c r="S820" s="23">
        <v>46175</v>
      </c>
      <c r="T820">
        <v>11.08</v>
      </c>
      <c r="U820">
        <v>12046</v>
      </c>
      <c r="V820">
        <v>779.94</v>
      </c>
      <c r="W820">
        <v>12825.94</v>
      </c>
    </row>
    <row r="821" spans="1:23" hidden="1" x14ac:dyDescent="0.25">
      <c r="A821">
        <v>15741</v>
      </c>
      <c r="B821">
        <v>455779465</v>
      </c>
      <c r="C821" t="s">
        <v>4607</v>
      </c>
      <c r="D821" s="8" t="s">
        <v>4608</v>
      </c>
      <c r="E821" t="s">
        <v>644</v>
      </c>
      <c r="G821" t="s">
        <v>62</v>
      </c>
      <c r="H821" t="s">
        <v>63</v>
      </c>
      <c r="I821" t="s">
        <v>30</v>
      </c>
      <c r="J821" t="s">
        <v>64</v>
      </c>
      <c r="K821" t="s">
        <v>27</v>
      </c>
      <c r="L821" t="s">
        <v>65</v>
      </c>
      <c r="M821" t="s">
        <v>4609</v>
      </c>
      <c r="N821" t="s">
        <v>646</v>
      </c>
      <c r="O821" t="s">
        <v>83</v>
      </c>
      <c r="P821" t="s">
        <v>4610</v>
      </c>
      <c r="Q821" t="s">
        <v>94</v>
      </c>
      <c r="R821" s="23" t="s">
        <v>177</v>
      </c>
      <c r="S821" s="23">
        <v>46175</v>
      </c>
      <c r="T821">
        <v>11.14</v>
      </c>
      <c r="U821">
        <v>13253</v>
      </c>
      <c r="V821">
        <v>719.94</v>
      </c>
      <c r="W821">
        <v>13972.94</v>
      </c>
    </row>
    <row r="822" spans="1:23" hidden="1" x14ac:dyDescent="0.25">
      <c r="A822">
        <v>15741</v>
      </c>
      <c r="B822">
        <v>455779456</v>
      </c>
      <c r="C822" t="s">
        <v>4611</v>
      </c>
      <c r="D822" s="8" t="s">
        <v>4612</v>
      </c>
      <c r="E822" t="s">
        <v>644</v>
      </c>
      <c r="G822" t="s">
        <v>62</v>
      </c>
      <c r="H822" t="s">
        <v>63</v>
      </c>
      <c r="I822" t="s">
        <v>30</v>
      </c>
      <c r="J822" t="s">
        <v>64</v>
      </c>
      <c r="K822" t="s">
        <v>27</v>
      </c>
      <c r="L822" t="s">
        <v>65</v>
      </c>
      <c r="M822" t="s">
        <v>4613</v>
      </c>
      <c r="N822" t="s">
        <v>646</v>
      </c>
      <c r="O822" t="s">
        <v>83</v>
      </c>
      <c r="P822" t="s">
        <v>4614</v>
      </c>
      <c r="Q822" t="s">
        <v>50</v>
      </c>
      <c r="R822" s="23" t="s">
        <v>177</v>
      </c>
      <c r="S822" s="23">
        <v>46175</v>
      </c>
      <c r="T822">
        <v>24.42</v>
      </c>
      <c r="U822">
        <v>10193</v>
      </c>
      <c r="V822">
        <v>719.94</v>
      </c>
      <c r="W822">
        <v>10912.94</v>
      </c>
    </row>
    <row r="823" spans="1:23" hidden="1" x14ac:dyDescent="0.25">
      <c r="A823">
        <v>15741</v>
      </c>
      <c r="B823">
        <v>455779451</v>
      </c>
      <c r="C823" t="s">
        <v>4615</v>
      </c>
      <c r="D823" s="8" t="s">
        <v>4616</v>
      </c>
      <c r="E823" t="s">
        <v>644</v>
      </c>
      <c r="G823" t="s">
        <v>62</v>
      </c>
      <c r="H823" t="s">
        <v>63</v>
      </c>
      <c r="I823" t="s">
        <v>30</v>
      </c>
      <c r="J823" t="s">
        <v>64</v>
      </c>
      <c r="K823" t="s">
        <v>27</v>
      </c>
      <c r="L823" t="s">
        <v>65</v>
      </c>
      <c r="M823" t="s">
        <v>4617</v>
      </c>
      <c r="N823" t="s">
        <v>646</v>
      </c>
      <c r="O823" t="s">
        <v>83</v>
      </c>
      <c r="P823" t="s">
        <v>4618</v>
      </c>
      <c r="Q823" t="s">
        <v>106</v>
      </c>
      <c r="R823" s="23" t="s">
        <v>177</v>
      </c>
      <c r="S823" s="23">
        <v>46175</v>
      </c>
      <c r="T823">
        <v>16.18</v>
      </c>
      <c r="U823">
        <v>6414</v>
      </c>
      <c r="V823">
        <v>839.94</v>
      </c>
      <c r="W823">
        <v>7253.9400000000005</v>
      </c>
    </row>
    <row r="824" spans="1:23" hidden="1" x14ac:dyDescent="0.25">
      <c r="A824">
        <v>15741</v>
      </c>
      <c r="B824">
        <v>455779463</v>
      </c>
      <c r="C824" t="s">
        <v>4619</v>
      </c>
      <c r="D824" s="8" t="s">
        <v>4620</v>
      </c>
      <c r="E824" t="s">
        <v>644</v>
      </c>
      <c r="G824" t="s">
        <v>62</v>
      </c>
      <c r="H824" t="s">
        <v>63</v>
      </c>
      <c r="I824" t="s">
        <v>30</v>
      </c>
      <c r="J824" t="s">
        <v>64</v>
      </c>
      <c r="K824" t="s">
        <v>27</v>
      </c>
      <c r="L824" t="s">
        <v>65</v>
      </c>
      <c r="M824" t="s">
        <v>499</v>
      </c>
      <c r="N824" t="s">
        <v>646</v>
      </c>
      <c r="O824" t="s">
        <v>83</v>
      </c>
      <c r="P824" t="s">
        <v>4621</v>
      </c>
      <c r="Q824" t="s">
        <v>187</v>
      </c>
      <c r="R824" s="23" t="s">
        <v>177</v>
      </c>
      <c r="S824" s="23">
        <v>46175</v>
      </c>
      <c r="T824">
        <v>24.31</v>
      </c>
      <c r="U824">
        <v>10193</v>
      </c>
      <c r="V824">
        <v>839.94</v>
      </c>
      <c r="W824">
        <v>11032.94</v>
      </c>
    </row>
    <row r="825" spans="1:23" hidden="1" x14ac:dyDescent="0.25">
      <c r="A825">
        <v>15741</v>
      </c>
      <c r="B825">
        <v>455779447</v>
      </c>
      <c r="C825" t="s">
        <v>4622</v>
      </c>
      <c r="D825" s="8" t="s">
        <v>4623</v>
      </c>
      <c r="E825" t="s">
        <v>644</v>
      </c>
      <c r="G825" t="s">
        <v>62</v>
      </c>
      <c r="H825" t="s">
        <v>63</v>
      </c>
      <c r="I825" t="s">
        <v>30</v>
      </c>
      <c r="J825" t="s">
        <v>64</v>
      </c>
      <c r="K825" t="s">
        <v>27</v>
      </c>
      <c r="L825" t="s">
        <v>65</v>
      </c>
      <c r="M825" t="s">
        <v>4624</v>
      </c>
      <c r="N825" t="s">
        <v>646</v>
      </c>
      <c r="O825" t="s">
        <v>83</v>
      </c>
      <c r="P825" t="s">
        <v>4625</v>
      </c>
      <c r="Q825" t="s">
        <v>45</v>
      </c>
      <c r="R825" s="23" t="s">
        <v>177</v>
      </c>
      <c r="S825" s="23">
        <v>46175</v>
      </c>
      <c r="T825">
        <v>32</v>
      </c>
      <c r="U825">
        <v>13499</v>
      </c>
      <c r="V825">
        <v>4499.9399999999996</v>
      </c>
      <c r="W825">
        <v>17998.939999999999</v>
      </c>
    </row>
    <row r="826" spans="1:23" hidden="1" x14ac:dyDescent="0.25">
      <c r="A826">
        <v>15741</v>
      </c>
      <c r="B826">
        <v>455777821</v>
      </c>
      <c r="C826" t="s">
        <v>4626</v>
      </c>
      <c r="D826" s="8" t="s">
        <v>4627</v>
      </c>
      <c r="E826" t="s">
        <v>644</v>
      </c>
      <c r="G826" t="s">
        <v>62</v>
      </c>
      <c r="H826" t="s">
        <v>63</v>
      </c>
      <c r="I826" t="s">
        <v>30</v>
      </c>
      <c r="J826" t="s">
        <v>64</v>
      </c>
      <c r="K826" t="s">
        <v>27</v>
      </c>
      <c r="L826" t="s">
        <v>65</v>
      </c>
      <c r="M826" t="s">
        <v>4628</v>
      </c>
      <c r="N826" t="s">
        <v>646</v>
      </c>
      <c r="O826" t="s">
        <v>83</v>
      </c>
      <c r="P826" t="s">
        <v>4629</v>
      </c>
      <c r="Q826" t="s">
        <v>45</v>
      </c>
      <c r="R826" s="23" t="s">
        <v>2889</v>
      </c>
      <c r="S826" s="23">
        <v>46175</v>
      </c>
      <c r="T826">
        <v>23.92</v>
      </c>
      <c r="U826">
        <v>9721</v>
      </c>
      <c r="V826">
        <v>539.94000000000005</v>
      </c>
      <c r="W826">
        <v>10260.94</v>
      </c>
    </row>
    <row r="827" spans="1:23" hidden="1" x14ac:dyDescent="0.25">
      <c r="A827">
        <v>15741</v>
      </c>
      <c r="B827">
        <v>455777819</v>
      </c>
      <c r="C827" t="s">
        <v>4630</v>
      </c>
      <c r="D827" s="8" t="s">
        <v>4631</v>
      </c>
      <c r="E827" t="s">
        <v>644</v>
      </c>
      <c r="G827" t="s">
        <v>62</v>
      </c>
      <c r="H827" t="s">
        <v>63</v>
      </c>
      <c r="I827" t="s">
        <v>30</v>
      </c>
      <c r="J827" t="s">
        <v>64</v>
      </c>
      <c r="K827" t="s">
        <v>27</v>
      </c>
      <c r="L827" t="s">
        <v>65</v>
      </c>
      <c r="M827" t="s">
        <v>4632</v>
      </c>
      <c r="N827" t="s">
        <v>646</v>
      </c>
      <c r="O827" t="s">
        <v>83</v>
      </c>
      <c r="P827" t="s">
        <v>4633</v>
      </c>
      <c r="Q827" t="s">
        <v>93</v>
      </c>
      <c r="R827" s="23" t="s">
        <v>2889</v>
      </c>
      <c r="S827" s="23">
        <v>46175</v>
      </c>
      <c r="T827">
        <v>11.72</v>
      </c>
      <c r="U827">
        <v>10408</v>
      </c>
      <c r="V827">
        <v>719.94</v>
      </c>
      <c r="W827">
        <v>11127.94</v>
      </c>
    </row>
    <row r="828" spans="1:23" hidden="1" x14ac:dyDescent="0.25">
      <c r="A828">
        <v>15741</v>
      </c>
      <c r="B828">
        <v>455777837</v>
      </c>
      <c r="C828" t="s">
        <v>4634</v>
      </c>
      <c r="D828" s="8" t="s">
        <v>4635</v>
      </c>
      <c r="E828" t="s">
        <v>644</v>
      </c>
      <c r="G828" t="s">
        <v>62</v>
      </c>
      <c r="H828" t="s">
        <v>63</v>
      </c>
      <c r="I828" t="s">
        <v>30</v>
      </c>
      <c r="J828" t="s">
        <v>64</v>
      </c>
      <c r="K828" t="s">
        <v>196</v>
      </c>
      <c r="L828" t="s">
        <v>217</v>
      </c>
      <c r="M828" t="s">
        <v>4636</v>
      </c>
      <c r="N828" t="s">
        <v>646</v>
      </c>
      <c r="O828" t="s">
        <v>83</v>
      </c>
      <c r="P828" t="s">
        <v>4637</v>
      </c>
      <c r="Q828" t="s">
        <v>45</v>
      </c>
      <c r="R828" s="23" t="s">
        <v>2889</v>
      </c>
      <c r="S828" s="23">
        <v>46175</v>
      </c>
      <c r="T828">
        <v>48.23</v>
      </c>
      <c r="U828">
        <v>21527</v>
      </c>
      <c r="V828">
        <v>1559.88</v>
      </c>
      <c r="W828">
        <v>23086.880000000001</v>
      </c>
    </row>
    <row r="829" spans="1:23" hidden="1" x14ac:dyDescent="0.25">
      <c r="A829">
        <v>15741</v>
      </c>
      <c r="B829">
        <v>455777811</v>
      </c>
      <c r="C829" t="s">
        <v>4638</v>
      </c>
      <c r="D829" s="8" t="s">
        <v>4639</v>
      </c>
      <c r="E829" t="s">
        <v>644</v>
      </c>
      <c r="G829" t="s">
        <v>62</v>
      </c>
      <c r="H829" t="s">
        <v>63</v>
      </c>
      <c r="I829" t="s">
        <v>30</v>
      </c>
      <c r="J829" t="s">
        <v>64</v>
      </c>
      <c r="K829" t="s">
        <v>27</v>
      </c>
      <c r="L829" t="s">
        <v>65</v>
      </c>
      <c r="M829" t="s">
        <v>4640</v>
      </c>
      <c r="N829" t="s">
        <v>646</v>
      </c>
      <c r="O829" t="s">
        <v>83</v>
      </c>
      <c r="P829" t="s">
        <v>4641</v>
      </c>
      <c r="Q829" t="s">
        <v>43</v>
      </c>
      <c r="R829" s="23" t="s">
        <v>2889</v>
      </c>
      <c r="S829" s="23">
        <v>46175</v>
      </c>
      <c r="T829">
        <v>24.73</v>
      </c>
      <c r="U829">
        <v>10193</v>
      </c>
      <c r="V829">
        <v>839.94</v>
      </c>
      <c r="W829">
        <v>11032.94</v>
      </c>
    </row>
    <row r="830" spans="1:23" hidden="1" x14ac:dyDescent="0.25">
      <c r="A830">
        <v>15741</v>
      </c>
      <c r="B830">
        <v>455777805</v>
      </c>
      <c r="C830" t="s">
        <v>4642</v>
      </c>
      <c r="D830" s="8" t="s">
        <v>4643</v>
      </c>
      <c r="E830" t="s">
        <v>644</v>
      </c>
      <c r="G830" t="s">
        <v>62</v>
      </c>
      <c r="H830" t="s">
        <v>63</v>
      </c>
      <c r="I830" t="s">
        <v>30</v>
      </c>
      <c r="J830" t="s">
        <v>64</v>
      </c>
      <c r="K830" t="s">
        <v>27</v>
      </c>
      <c r="L830" t="s">
        <v>65</v>
      </c>
      <c r="M830" t="s">
        <v>4644</v>
      </c>
      <c r="N830" t="s">
        <v>646</v>
      </c>
      <c r="O830" t="s">
        <v>83</v>
      </c>
      <c r="P830" t="s">
        <v>4645</v>
      </c>
      <c r="Q830" t="s">
        <v>44</v>
      </c>
      <c r="R830" s="23" t="s">
        <v>385</v>
      </c>
      <c r="S830" s="23">
        <v>46175</v>
      </c>
      <c r="T830">
        <v>23.64</v>
      </c>
      <c r="U830">
        <v>9721</v>
      </c>
      <c r="V830">
        <v>839.94</v>
      </c>
      <c r="W830">
        <v>10560.94</v>
      </c>
    </row>
    <row r="831" spans="1:23" hidden="1" x14ac:dyDescent="0.25">
      <c r="A831">
        <v>15741</v>
      </c>
      <c r="B831">
        <v>455777810</v>
      </c>
      <c r="C831" t="s">
        <v>4646</v>
      </c>
      <c r="D831" s="8" t="s">
        <v>4647</v>
      </c>
      <c r="E831" t="s">
        <v>644</v>
      </c>
      <c r="G831" t="s">
        <v>62</v>
      </c>
      <c r="H831" t="s">
        <v>63</v>
      </c>
      <c r="I831" t="s">
        <v>30</v>
      </c>
      <c r="J831" t="s">
        <v>64</v>
      </c>
      <c r="K831" t="s">
        <v>27</v>
      </c>
      <c r="L831" t="s">
        <v>65</v>
      </c>
      <c r="M831" t="s">
        <v>4648</v>
      </c>
      <c r="N831" t="s">
        <v>646</v>
      </c>
      <c r="O831" t="s">
        <v>83</v>
      </c>
      <c r="P831" t="s">
        <v>4649</v>
      </c>
      <c r="Q831" t="s">
        <v>168</v>
      </c>
      <c r="R831" s="23" t="s">
        <v>385</v>
      </c>
      <c r="S831" s="23">
        <v>46175</v>
      </c>
      <c r="T831">
        <v>12.19</v>
      </c>
      <c r="U831">
        <v>11761</v>
      </c>
      <c r="V831">
        <v>719.94</v>
      </c>
      <c r="W831">
        <v>12480.94</v>
      </c>
    </row>
    <row r="832" spans="1:23" hidden="1" x14ac:dyDescent="0.25">
      <c r="A832">
        <v>15741</v>
      </c>
      <c r="B832">
        <v>455777799</v>
      </c>
      <c r="C832" t="s">
        <v>4650</v>
      </c>
      <c r="D832" s="8" t="s">
        <v>4651</v>
      </c>
      <c r="E832" t="s">
        <v>644</v>
      </c>
      <c r="G832" t="s">
        <v>62</v>
      </c>
      <c r="H832" t="s">
        <v>63</v>
      </c>
      <c r="I832" t="s">
        <v>30</v>
      </c>
      <c r="J832" t="s">
        <v>64</v>
      </c>
      <c r="K832" t="s">
        <v>27</v>
      </c>
      <c r="L832" t="s">
        <v>65</v>
      </c>
      <c r="M832" t="s">
        <v>4652</v>
      </c>
      <c r="N832" t="s">
        <v>646</v>
      </c>
      <c r="O832" t="s">
        <v>83</v>
      </c>
      <c r="P832" t="s">
        <v>4653</v>
      </c>
      <c r="Q832" t="s">
        <v>43</v>
      </c>
      <c r="R832" s="23" t="s">
        <v>385</v>
      </c>
      <c r="S832" s="23">
        <v>46175</v>
      </c>
      <c r="T832">
        <v>23.16</v>
      </c>
      <c r="U832">
        <v>9721</v>
      </c>
      <c r="V832">
        <v>719.94</v>
      </c>
      <c r="W832">
        <v>10440.94</v>
      </c>
    </row>
    <row r="833" spans="1:23" hidden="1" x14ac:dyDescent="0.25">
      <c r="A833">
        <v>15741</v>
      </c>
      <c r="B833">
        <v>455777789</v>
      </c>
      <c r="C833" t="s">
        <v>4654</v>
      </c>
      <c r="D833" s="8" t="s">
        <v>4655</v>
      </c>
      <c r="E833" t="s">
        <v>644</v>
      </c>
      <c r="G833" t="s">
        <v>62</v>
      </c>
      <c r="H833" t="s">
        <v>63</v>
      </c>
      <c r="I833" t="s">
        <v>30</v>
      </c>
      <c r="J833" t="s">
        <v>64</v>
      </c>
      <c r="K833" t="s">
        <v>27</v>
      </c>
      <c r="L833" t="s">
        <v>65</v>
      </c>
      <c r="M833" t="s">
        <v>4656</v>
      </c>
      <c r="N833" t="s">
        <v>646</v>
      </c>
      <c r="O833" t="s">
        <v>83</v>
      </c>
      <c r="P833" t="s">
        <v>4657</v>
      </c>
      <c r="Q833" t="s">
        <v>72</v>
      </c>
      <c r="R833" s="23" t="s">
        <v>385</v>
      </c>
      <c r="S833" s="23">
        <v>46175</v>
      </c>
      <c r="T833">
        <v>7.33</v>
      </c>
      <c r="U833">
        <v>10513</v>
      </c>
      <c r="V833">
        <v>0</v>
      </c>
      <c r="W833">
        <v>10513</v>
      </c>
    </row>
    <row r="834" spans="1:23" hidden="1" x14ac:dyDescent="0.25">
      <c r="A834">
        <v>15741</v>
      </c>
      <c r="B834">
        <v>455777785</v>
      </c>
      <c r="C834" t="s">
        <v>4658</v>
      </c>
      <c r="D834" s="8" t="s">
        <v>4659</v>
      </c>
      <c r="E834" t="s">
        <v>644</v>
      </c>
      <c r="G834" t="s">
        <v>62</v>
      </c>
      <c r="H834" t="s">
        <v>63</v>
      </c>
      <c r="I834" t="s">
        <v>30</v>
      </c>
      <c r="J834" t="s">
        <v>64</v>
      </c>
      <c r="K834" t="s">
        <v>27</v>
      </c>
      <c r="L834" t="s">
        <v>65</v>
      </c>
      <c r="M834" t="s">
        <v>4660</v>
      </c>
      <c r="N834" t="s">
        <v>646</v>
      </c>
      <c r="O834" t="s">
        <v>83</v>
      </c>
      <c r="P834" t="s">
        <v>4661</v>
      </c>
      <c r="Q834" t="s">
        <v>43</v>
      </c>
      <c r="R834" s="23" t="s">
        <v>385</v>
      </c>
      <c r="S834" s="23">
        <v>46175</v>
      </c>
      <c r="T834">
        <v>24.76</v>
      </c>
      <c r="U834">
        <v>10193</v>
      </c>
      <c r="V834">
        <v>1559.94</v>
      </c>
      <c r="W834">
        <v>11752.94</v>
      </c>
    </row>
    <row r="835" spans="1:23" hidden="1" x14ac:dyDescent="0.25">
      <c r="A835">
        <v>15741</v>
      </c>
      <c r="B835">
        <v>455777780</v>
      </c>
      <c r="C835" t="s">
        <v>4662</v>
      </c>
      <c r="D835" s="8" t="s">
        <v>4663</v>
      </c>
      <c r="E835" t="s">
        <v>644</v>
      </c>
      <c r="G835" t="s">
        <v>62</v>
      </c>
      <c r="H835" t="s">
        <v>63</v>
      </c>
      <c r="I835" t="s">
        <v>30</v>
      </c>
      <c r="J835" t="s">
        <v>64</v>
      </c>
      <c r="K835" t="s">
        <v>27</v>
      </c>
      <c r="L835" t="s">
        <v>65</v>
      </c>
      <c r="M835" t="s">
        <v>4664</v>
      </c>
      <c r="N835" t="s">
        <v>646</v>
      </c>
      <c r="O835" t="s">
        <v>83</v>
      </c>
      <c r="P835" t="s">
        <v>4665</v>
      </c>
      <c r="Q835" t="s">
        <v>148</v>
      </c>
      <c r="R835" s="23" t="s">
        <v>385</v>
      </c>
      <c r="S835" s="23">
        <v>46175</v>
      </c>
      <c r="T835">
        <v>6.52</v>
      </c>
      <c r="U835">
        <v>5465</v>
      </c>
      <c r="V835">
        <v>0</v>
      </c>
      <c r="W835">
        <v>5465</v>
      </c>
    </row>
    <row r="836" spans="1:23" hidden="1" x14ac:dyDescent="0.25">
      <c r="A836">
        <v>15741</v>
      </c>
      <c r="B836">
        <v>455777775</v>
      </c>
      <c r="C836" t="s">
        <v>4666</v>
      </c>
      <c r="D836" s="8" t="s">
        <v>4667</v>
      </c>
      <c r="E836" t="s">
        <v>644</v>
      </c>
      <c r="G836" t="s">
        <v>62</v>
      </c>
      <c r="H836" t="s">
        <v>63</v>
      </c>
      <c r="I836" t="s">
        <v>30</v>
      </c>
      <c r="J836" t="s">
        <v>64</v>
      </c>
      <c r="K836" t="s">
        <v>234</v>
      </c>
      <c r="L836" t="s">
        <v>620</v>
      </c>
      <c r="M836" t="s">
        <v>4668</v>
      </c>
      <c r="N836" t="s">
        <v>646</v>
      </c>
      <c r="O836" t="s">
        <v>83</v>
      </c>
      <c r="P836" t="s">
        <v>4669</v>
      </c>
      <c r="Q836" t="s">
        <v>86</v>
      </c>
      <c r="R836" s="23" t="s">
        <v>385</v>
      </c>
      <c r="S836" s="23">
        <v>46175</v>
      </c>
      <c r="T836">
        <v>24.37</v>
      </c>
      <c r="U836">
        <v>16806</v>
      </c>
      <c r="V836">
        <v>719.94</v>
      </c>
      <c r="W836">
        <v>17525.939999999999</v>
      </c>
    </row>
    <row r="837" spans="1:23" hidden="1" x14ac:dyDescent="0.25">
      <c r="A837">
        <v>15741</v>
      </c>
      <c r="B837">
        <v>455777771</v>
      </c>
      <c r="C837" t="s">
        <v>4670</v>
      </c>
      <c r="D837" s="8" t="s">
        <v>4671</v>
      </c>
      <c r="E837" t="s">
        <v>644</v>
      </c>
      <c r="G837" t="s">
        <v>62</v>
      </c>
      <c r="H837" t="s">
        <v>63</v>
      </c>
      <c r="I837" t="s">
        <v>30</v>
      </c>
      <c r="J837" t="s">
        <v>64</v>
      </c>
      <c r="K837" t="s">
        <v>27</v>
      </c>
      <c r="L837" t="s">
        <v>65</v>
      </c>
      <c r="M837" t="s">
        <v>4672</v>
      </c>
      <c r="N837" t="s">
        <v>646</v>
      </c>
      <c r="O837" t="s">
        <v>83</v>
      </c>
      <c r="P837" t="s">
        <v>4673</v>
      </c>
      <c r="Q837" t="s">
        <v>51</v>
      </c>
      <c r="R837" s="23" t="s">
        <v>385</v>
      </c>
      <c r="S837" s="23">
        <v>46175</v>
      </c>
      <c r="T837">
        <v>23.23</v>
      </c>
      <c r="U837">
        <v>9721</v>
      </c>
      <c r="V837">
        <v>779.94</v>
      </c>
      <c r="W837">
        <v>10500.94</v>
      </c>
    </row>
    <row r="838" spans="1:23" hidden="1" x14ac:dyDescent="0.25">
      <c r="A838">
        <v>15741</v>
      </c>
      <c r="B838">
        <v>455777762</v>
      </c>
      <c r="C838" t="s">
        <v>4674</v>
      </c>
      <c r="D838" s="8" t="s">
        <v>4675</v>
      </c>
      <c r="E838" t="s">
        <v>644</v>
      </c>
      <c r="G838" t="s">
        <v>62</v>
      </c>
      <c r="H838" t="s">
        <v>63</v>
      </c>
      <c r="I838" t="s">
        <v>30</v>
      </c>
      <c r="J838" t="s">
        <v>64</v>
      </c>
      <c r="K838" t="s">
        <v>27</v>
      </c>
      <c r="L838" t="s">
        <v>65</v>
      </c>
      <c r="M838" t="s">
        <v>4676</v>
      </c>
      <c r="N838" t="s">
        <v>646</v>
      </c>
      <c r="O838" t="s">
        <v>83</v>
      </c>
      <c r="P838" t="s">
        <v>4677</v>
      </c>
      <c r="Q838" t="s">
        <v>138</v>
      </c>
      <c r="R838" s="23" t="s">
        <v>385</v>
      </c>
      <c r="S838" s="23">
        <v>46175</v>
      </c>
      <c r="T838">
        <v>10.98</v>
      </c>
      <c r="U838">
        <v>12809</v>
      </c>
      <c r="V838">
        <v>719.94</v>
      </c>
      <c r="W838">
        <v>13528.94</v>
      </c>
    </row>
    <row r="839" spans="1:23" hidden="1" x14ac:dyDescent="0.25">
      <c r="A839">
        <v>15741</v>
      </c>
      <c r="B839">
        <v>455670607</v>
      </c>
      <c r="C839" t="s">
        <v>4678</v>
      </c>
      <c r="D839" s="8" t="s">
        <v>4679</v>
      </c>
      <c r="E839" t="s">
        <v>644</v>
      </c>
      <c r="G839" t="s">
        <v>62</v>
      </c>
      <c r="H839" t="s">
        <v>63</v>
      </c>
      <c r="I839" t="s">
        <v>30</v>
      </c>
      <c r="J839" t="s">
        <v>64</v>
      </c>
      <c r="K839" t="s">
        <v>27</v>
      </c>
      <c r="L839" t="s">
        <v>65</v>
      </c>
      <c r="M839" t="s">
        <v>4680</v>
      </c>
      <c r="N839" t="s">
        <v>646</v>
      </c>
      <c r="O839" t="s">
        <v>83</v>
      </c>
      <c r="P839" t="s">
        <v>4681</v>
      </c>
      <c r="Q839" t="s">
        <v>49</v>
      </c>
      <c r="R839" s="23" t="s">
        <v>4682</v>
      </c>
      <c r="S839" s="23">
        <v>46174</v>
      </c>
      <c r="T839">
        <v>11.17</v>
      </c>
      <c r="U839">
        <v>5943</v>
      </c>
      <c r="V839">
        <v>839.94</v>
      </c>
      <c r="W839">
        <v>6782.9400000000005</v>
      </c>
    </row>
    <row r="840" spans="1:23" hidden="1" x14ac:dyDescent="0.25">
      <c r="A840">
        <v>15741</v>
      </c>
      <c r="B840">
        <v>455810892</v>
      </c>
      <c r="C840" t="s">
        <v>4683</v>
      </c>
      <c r="D840" s="8" t="s">
        <v>4684</v>
      </c>
      <c r="E840" t="s">
        <v>644</v>
      </c>
      <c r="G840" t="s">
        <v>62</v>
      </c>
      <c r="H840" t="s">
        <v>63</v>
      </c>
      <c r="I840" t="s">
        <v>30</v>
      </c>
      <c r="J840" t="s">
        <v>64</v>
      </c>
      <c r="K840" t="s">
        <v>27</v>
      </c>
      <c r="L840" t="s">
        <v>65</v>
      </c>
      <c r="M840" t="s">
        <v>4685</v>
      </c>
      <c r="N840" t="s">
        <v>646</v>
      </c>
      <c r="O840" t="s">
        <v>83</v>
      </c>
      <c r="P840" t="s">
        <v>4686</v>
      </c>
      <c r="Q840" t="s">
        <v>178</v>
      </c>
      <c r="R840" s="23" t="s">
        <v>157</v>
      </c>
      <c r="S840" s="23">
        <v>46175</v>
      </c>
      <c r="T840">
        <v>66.37</v>
      </c>
      <c r="U840">
        <v>43352</v>
      </c>
      <c r="V840">
        <v>7109.87</v>
      </c>
      <c r="W840">
        <v>50461.87</v>
      </c>
    </row>
    <row r="841" spans="1:23" hidden="1" x14ac:dyDescent="0.25">
      <c r="A841">
        <v>15741</v>
      </c>
      <c r="B841">
        <v>455661222</v>
      </c>
      <c r="C841" t="s">
        <v>4687</v>
      </c>
      <c r="D841" s="8" t="s">
        <v>4688</v>
      </c>
      <c r="E841" t="s">
        <v>644</v>
      </c>
      <c r="G841" t="s">
        <v>62</v>
      </c>
      <c r="H841" t="s">
        <v>63</v>
      </c>
      <c r="I841" t="s">
        <v>30</v>
      </c>
      <c r="J841" t="s">
        <v>64</v>
      </c>
      <c r="K841" t="s">
        <v>27</v>
      </c>
      <c r="L841" t="s">
        <v>215</v>
      </c>
      <c r="M841" t="s">
        <v>4689</v>
      </c>
      <c r="N841" t="s">
        <v>646</v>
      </c>
      <c r="O841" t="s">
        <v>83</v>
      </c>
      <c r="P841" t="s">
        <v>4690</v>
      </c>
      <c r="Q841" t="s">
        <v>178</v>
      </c>
      <c r="R841" s="23" t="s">
        <v>2868</v>
      </c>
      <c r="S841" s="23">
        <v>46174</v>
      </c>
      <c r="T841">
        <v>72.08</v>
      </c>
      <c r="U841">
        <v>46804</v>
      </c>
      <c r="V841">
        <v>2159.8200000000002</v>
      </c>
      <c r="W841">
        <v>48963.82</v>
      </c>
    </row>
    <row r="842" spans="1:23" hidden="1" x14ac:dyDescent="0.25">
      <c r="A842">
        <v>15741</v>
      </c>
      <c r="B842">
        <v>455661219</v>
      </c>
      <c r="C842" t="s">
        <v>4691</v>
      </c>
      <c r="D842" s="8" t="s">
        <v>4692</v>
      </c>
      <c r="E842" t="s">
        <v>644</v>
      </c>
      <c r="G842" t="s">
        <v>62</v>
      </c>
      <c r="H842" t="s">
        <v>63</v>
      </c>
      <c r="I842" t="s">
        <v>30</v>
      </c>
      <c r="J842" t="s">
        <v>64</v>
      </c>
      <c r="K842" t="s">
        <v>27</v>
      </c>
      <c r="L842" t="s">
        <v>65</v>
      </c>
      <c r="M842" t="s">
        <v>4693</v>
      </c>
      <c r="N842" t="s">
        <v>646</v>
      </c>
      <c r="O842" t="s">
        <v>83</v>
      </c>
      <c r="P842" t="s">
        <v>4694</v>
      </c>
      <c r="Q842" t="s">
        <v>46</v>
      </c>
      <c r="R842" s="23" t="s">
        <v>2868</v>
      </c>
      <c r="S842" s="23">
        <v>46174</v>
      </c>
      <c r="T842">
        <v>23.65</v>
      </c>
      <c r="U842">
        <v>9721</v>
      </c>
      <c r="V842">
        <v>839.94</v>
      </c>
      <c r="W842">
        <v>10560.94</v>
      </c>
    </row>
    <row r="843" spans="1:23" hidden="1" x14ac:dyDescent="0.25">
      <c r="A843">
        <v>15741</v>
      </c>
      <c r="B843">
        <v>455661210</v>
      </c>
      <c r="C843" t="s">
        <v>4695</v>
      </c>
      <c r="D843" s="8" t="s">
        <v>4696</v>
      </c>
      <c r="E843" t="s">
        <v>644</v>
      </c>
      <c r="G843" t="s">
        <v>62</v>
      </c>
      <c r="H843" t="s">
        <v>63</v>
      </c>
      <c r="I843" t="s">
        <v>30</v>
      </c>
      <c r="J843" t="s">
        <v>64</v>
      </c>
      <c r="K843" t="s">
        <v>27</v>
      </c>
      <c r="L843" t="s">
        <v>65</v>
      </c>
      <c r="M843" t="s">
        <v>4697</v>
      </c>
      <c r="N843" t="s">
        <v>646</v>
      </c>
      <c r="O843" t="s">
        <v>83</v>
      </c>
      <c r="P843" t="s">
        <v>4698</v>
      </c>
      <c r="Q843" t="s">
        <v>78</v>
      </c>
      <c r="R843" s="23" t="s">
        <v>2868</v>
      </c>
      <c r="S843" s="23">
        <v>46174</v>
      </c>
      <c r="T843">
        <v>66.37</v>
      </c>
      <c r="U843">
        <v>28952</v>
      </c>
      <c r="V843">
        <v>6899.94</v>
      </c>
      <c r="W843">
        <v>35851.94</v>
      </c>
    </row>
    <row r="844" spans="1:23" hidden="1" x14ac:dyDescent="0.25">
      <c r="A844">
        <v>15741</v>
      </c>
      <c r="B844">
        <v>455661206</v>
      </c>
      <c r="C844" t="s">
        <v>4699</v>
      </c>
      <c r="D844" s="8" t="s">
        <v>4700</v>
      </c>
      <c r="E844" t="s">
        <v>644</v>
      </c>
      <c r="G844" t="s">
        <v>62</v>
      </c>
      <c r="H844" t="s">
        <v>63</v>
      </c>
      <c r="I844" t="s">
        <v>30</v>
      </c>
      <c r="J844" t="s">
        <v>64</v>
      </c>
      <c r="K844" t="s">
        <v>27</v>
      </c>
      <c r="L844" t="s">
        <v>65</v>
      </c>
      <c r="M844" t="s">
        <v>4701</v>
      </c>
      <c r="N844" t="s">
        <v>646</v>
      </c>
      <c r="O844" t="s">
        <v>83</v>
      </c>
      <c r="P844" t="s">
        <v>4702</v>
      </c>
      <c r="Q844" t="s">
        <v>44</v>
      </c>
      <c r="R844" s="23" t="s">
        <v>2868</v>
      </c>
      <c r="S844" s="23">
        <v>46174</v>
      </c>
      <c r="T844">
        <v>23.55</v>
      </c>
      <c r="U844">
        <v>9721</v>
      </c>
      <c r="V844">
        <v>839.94</v>
      </c>
      <c r="W844">
        <v>10560.94</v>
      </c>
    </row>
    <row r="845" spans="1:23" hidden="1" x14ac:dyDescent="0.25">
      <c r="A845">
        <v>15741</v>
      </c>
      <c r="B845">
        <v>455661228</v>
      </c>
      <c r="C845" t="s">
        <v>4703</v>
      </c>
      <c r="D845" s="8" t="s">
        <v>4704</v>
      </c>
      <c r="E845" t="s">
        <v>644</v>
      </c>
      <c r="G845" t="s">
        <v>62</v>
      </c>
      <c r="H845" t="s">
        <v>63</v>
      </c>
      <c r="I845" t="s">
        <v>30</v>
      </c>
      <c r="J845" t="s">
        <v>64</v>
      </c>
      <c r="K845" t="s">
        <v>27</v>
      </c>
      <c r="L845" t="s">
        <v>65</v>
      </c>
      <c r="M845" t="s">
        <v>2415</v>
      </c>
      <c r="N845" t="s">
        <v>646</v>
      </c>
      <c r="O845" t="s">
        <v>83</v>
      </c>
      <c r="P845" t="s">
        <v>4705</v>
      </c>
      <c r="Q845" t="s">
        <v>44</v>
      </c>
      <c r="R845" s="23" t="s">
        <v>2868</v>
      </c>
      <c r="S845" s="23">
        <v>46174</v>
      </c>
      <c r="T845">
        <v>23.47</v>
      </c>
      <c r="U845">
        <v>9721</v>
      </c>
      <c r="V845">
        <v>839.94</v>
      </c>
      <c r="W845">
        <v>10560.94</v>
      </c>
    </row>
    <row r="846" spans="1:23" hidden="1" x14ac:dyDescent="0.25">
      <c r="A846">
        <v>15741</v>
      </c>
      <c r="B846">
        <v>455661197</v>
      </c>
      <c r="C846" t="s">
        <v>4706</v>
      </c>
      <c r="D846" s="8" t="s">
        <v>4707</v>
      </c>
      <c r="E846" t="s">
        <v>644</v>
      </c>
      <c r="G846" t="s">
        <v>62</v>
      </c>
      <c r="H846" t="s">
        <v>63</v>
      </c>
      <c r="I846" t="s">
        <v>30</v>
      </c>
      <c r="J846" t="s">
        <v>64</v>
      </c>
      <c r="K846" t="s">
        <v>27</v>
      </c>
      <c r="L846" t="s">
        <v>65</v>
      </c>
      <c r="M846" t="s">
        <v>4708</v>
      </c>
      <c r="N846" t="s">
        <v>646</v>
      </c>
      <c r="O846" t="s">
        <v>83</v>
      </c>
      <c r="P846" t="s">
        <v>4709</v>
      </c>
      <c r="Q846" t="s">
        <v>49</v>
      </c>
      <c r="R846" s="23" t="s">
        <v>604</v>
      </c>
      <c r="S846" s="23">
        <v>46174</v>
      </c>
      <c r="T846">
        <v>7.38</v>
      </c>
      <c r="U846">
        <v>5465</v>
      </c>
      <c r="V846">
        <v>0</v>
      </c>
      <c r="W846">
        <v>5465</v>
      </c>
    </row>
    <row r="847" spans="1:23" hidden="1" x14ac:dyDescent="0.25">
      <c r="A847">
        <v>15741</v>
      </c>
      <c r="B847">
        <v>455661196</v>
      </c>
      <c r="C847" t="s">
        <v>4710</v>
      </c>
      <c r="D847" s="8" t="s">
        <v>4711</v>
      </c>
      <c r="E847" t="s">
        <v>644</v>
      </c>
      <c r="G847" t="s">
        <v>62</v>
      </c>
      <c r="H847" t="s">
        <v>63</v>
      </c>
      <c r="I847" t="s">
        <v>30</v>
      </c>
      <c r="J847" t="s">
        <v>64</v>
      </c>
      <c r="K847" t="s">
        <v>27</v>
      </c>
      <c r="L847" t="s">
        <v>65</v>
      </c>
      <c r="M847" t="s">
        <v>4712</v>
      </c>
      <c r="N847" t="s">
        <v>646</v>
      </c>
      <c r="O847" t="s">
        <v>83</v>
      </c>
      <c r="P847" t="s">
        <v>4713</v>
      </c>
      <c r="Q847" t="s">
        <v>95</v>
      </c>
      <c r="R847" s="23" t="s">
        <v>604</v>
      </c>
      <c r="S847" s="23">
        <v>46174</v>
      </c>
      <c r="T847">
        <v>24.39</v>
      </c>
      <c r="U847">
        <v>17520</v>
      </c>
      <c r="V847">
        <v>719.94</v>
      </c>
      <c r="W847">
        <v>18239.939999999999</v>
      </c>
    </row>
    <row r="848" spans="1:23" hidden="1" x14ac:dyDescent="0.25">
      <c r="A848">
        <v>15741</v>
      </c>
      <c r="B848">
        <v>455661190</v>
      </c>
      <c r="C848" t="s">
        <v>4714</v>
      </c>
      <c r="D848" s="8" t="s">
        <v>4715</v>
      </c>
      <c r="E848" t="s">
        <v>644</v>
      </c>
      <c r="G848" t="s">
        <v>62</v>
      </c>
      <c r="H848" t="s">
        <v>63</v>
      </c>
      <c r="I848" t="s">
        <v>30</v>
      </c>
      <c r="J848" t="s">
        <v>64</v>
      </c>
      <c r="K848" t="s">
        <v>27</v>
      </c>
      <c r="L848" t="s">
        <v>65</v>
      </c>
      <c r="M848" t="s">
        <v>4716</v>
      </c>
      <c r="N848" t="s">
        <v>646</v>
      </c>
      <c r="O848" t="s">
        <v>83</v>
      </c>
      <c r="P848" t="s">
        <v>4717</v>
      </c>
      <c r="Q848" t="s">
        <v>102</v>
      </c>
      <c r="R848" s="23" t="s">
        <v>604</v>
      </c>
      <c r="S848" s="23">
        <v>46174</v>
      </c>
      <c r="T848">
        <v>23.08</v>
      </c>
      <c r="U848">
        <v>9721</v>
      </c>
      <c r="V848">
        <v>719.94</v>
      </c>
      <c r="W848">
        <v>10440.94</v>
      </c>
    </row>
    <row r="849" spans="1:23" hidden="1" x14ac:dyDescent="0.25">
      <c r="A849">
        <v>15741</v>
      </c>
      <c r="B849">
        <v>455661192</v>
      </c>
      <c r="C849" t="s">
        <v>4718</v>
      </c>
      <c r="D849" s="8" t="s">
        <v>4719</v>
      </c>
      <c r="E849" t="s">
        <v>644</v>
      </c>
      <c r="G849" t="s">
        <v>62</v>
      </c>
      <c r="H849" t="s">
        <v>63</v>
      </c>
      <c r="I849" t="s">
        <v>30</v>
      </c>
      <c r="J849" t="s">
        <v>64</v>
      </c>
      <c r="K849" t="s">
        <v>196</v>
      </c>
      <c r="L849" t="s">
        <v>217</v>
      </c>
      <c r="M849" t="s">
        <v>1085</v>
      </c>
      <c r="N849" t="s">
        <v>646</v>
      </c>
      <c r="O849" t="s">
        <v>83</v>
      </c>
      <c r="P849" t="s">
        <v>4720</v>
      </c>
      <c r="Q849" t="s">
        <v>50</v>
      </c>
      <c r="R849" s="23" t="s">
        <v>604</v>
      </c>
      <c r="S849" s="23">
        <v>46174</v>
      </c>
      <c r="T849">
        <v>30.6</v>
      </c>
      <c r="U849">
        <v>13026</v>
      </c>
      <c r="V849">
        <v>839.88</v>
      </c>
      <c r="W849">
        <v>13865.88</v>
      </c>
    </row>
    <row r="850" spans="1:23" hidden="1" x14ac:dyDescent="0.25">
      <c r="A850">
        <v>15741</v>
      </c>
      <c r="B850">
        <v>455661182</v>
      </c>
      <c r="C850" t="s">
        <v>4721</v>
      </c>
      <c r="D850" s="8" t="s">
        <v>4722</v>
      </c>
      <c r="E850" t="s">
        <v>644</v>
      </c>
      <c r="G850" t="s">
        <v>62</v>
      </c>
      <c r="H850" t="s">
        <v>63</v>
      </c>
      <c r="I850" t="s">
        <v>30</v>
      </c>
      <c r="J850" t="s">
        <v>64</v>
      </c>
      <c r="K850" t="s">
        <v>27</v>
      </c>
      <c r="L850" t="s">
        <v>65</v>
      </c>
      <c r="M850" t="s">
        <v>4723</v>
      </c>
      <c r="N850" t="s">
        <v>646</v>
      </c>
      <c r="O850" t="s">
        <v>83</v>
      </c>
      <c r="P850" t="s">
        <v>4724</v>
      </c>
      <c r="Q850" t="s">
        <v>95</v>
      </c>
      <c r="R850" s="23" t="s">
        <v>604</v>
      </c>
      <c r="S850" s="23">
        <v>46174</v>
      </c>
      <c r="T850">
        <v>12.17</v>
      </c>
      <c r="U850">
        <v>5943</v>
      </c>
      <c r="V850">
        <v>719.94</v>
      </c>
      <c r="W850">
        <v>6662.9400000000005</v>
      </c>
    </row>
    <row r="851" spans="1:23" hidden="1" x14ac:dyDescent="0.25">
      <c r="A851">
        <v>15741</v>
      </c>
      <c r="B851">
        <v>455661181</v>
      </c>
      <c r="C851" t="s">
        <v>4725</v>
      </c>
      <c r="D851" s="8" t="s">
        <v>4726</v>
      </c>
      <c r="E851" t="s">
        <v>644</v>
      </c>
      <c r="G851" t="s">
        <v>62</v>
      </c>
      <c r="H851" t="s">
        <v>63</v>
      </c>
      <c r="I851" t="s">
        <v>30</v>
      </c>
      <c r="J851" t="s">
        <v>64</v>
      </c>
      <c r="K851" t="s">
        <v>27</v>
      </c>
      <c r="L851" t="s">
        <v>65</v>
      </c>
      <c r="M851" t="s">
        <v>4727</v>
      </c>
      <c r="N851" t="s">
        <v>646</v>
      </c>
      <c r="O851" t="s">
        <v>83</v>
      </c>
      <c r="P851" t="s">
        <v>4728</v>
      </c>
      <c r="Q851" t="s">
        <v>78</v>
      </c>
      <c r="R851" s="23" t="s">
        <v>604</v>
      </c>
      <c r="S851" s="23">
        <v>46174</v>
      </c>
      <c r="T851">
        <v>23.77</v>
      </c>
      <c r="U851">
        <v>9721</v>
      </c>
      <c r="V851">
        <v>779.94</v>
      </c>
      <c r="W851">
        <v>10500.94</v>
      </c>
    </row>
    <row r="852" spans="1:23" hidden="1" x14ac:dyDescent="0.25">
      <c r="A852">
        <v>15741</v>
      </c>
      <c r="B852">
        <v>455661179</v>
      </c>
      <c r="C852" t="s">
        <v>4729</v>
      </c>
      <c r="D852" s="8" t="s">
        <v>4730</v>
      </c>
      <c r="E852" t="s">
        <v>644</v>
      </c>
      <c r="G852" t="s">
        <v>62</v>
      </c>
      <c r="H852" t="s">
        <v>63</v>
      </c>
      <c r="I852" t="s">
        <v>30</v>
      </c>
      <c r="J852" t="s">
        <v>64</v>
      </c>
      <c r="K852" t="s">
        <v>27</v>
      </c>
      <c r="L852" t="s">
        <v>65</v>
      </c>
      <c r="M852" t="s">
        <v>4731</v>
      </c>
      <c r="N852" t="s">
        <v>646</v>
      </c>
      <c r="O852" t="s">
        <v>83</v>
      </c>
      <c r="P852" t="s">
        <v>4732</v>
      </c>
      <c r="Q852" t="s">
        <v>43</v>
      </c>
      <c r="R852" s="23" t="s">
        <v>604</v>
      </c>
      <c r="S852" s="23">
        <v>46174</v>
      </c>
      <c r="T852">
        <v>24.5</v>
      </c>
      <c r="U852">
        <v>10193</v>
      </c>
      <c r="V852">
        <v>839.94</v>
      </c>
      <c r="W852">
        <v>11032.94</v>
      </c>
    </row>
    <row r="853" spans="1:23" hidden="1" x14ac:dyDescent="0.25">
      <c r="A853">
        <v>15741</v>
      </c>
      <c r="B853">
        <v>455661176</v>
      </c>
      <c r="C853" t="s">
        <v>4733</v>
      </c>
      <c r="D853" s="8" t="s">
        <v>4734</v>
      </c>
      <c r="E853" t="s">
        <v>644</v>
      </c>
      <c r="G853" t="s">
        <v>62</v>
      </c>
      <c r="H853" t="s">
        <v>63</v>
      </c>
      <c r="I853" t="s">
        <v>30</v>
      </c>
      <c r="J853" t="s">
        <v>64</v>
      </c>
      <c r="K853" t="s">
        <v>27</v>
      </c>
      <c r="L853" t="s">
        <v>65</v>
      </c>
      <c r="M853" t="s">
        <v>4735</v>
      </c>
      <c r="N853" t="s">
        <v>646</v>
      </c>
      <c r="O853" t="s">
        <v>83</v>
      </c>
      <c r="P853" t="s">
        <v>4736</v>
      </c>
      <c r="Q853" t="s">
        <v>43</v>
      </c>
      <c r="R853" s="23" t="s">
        <v>604</v>
      </c>
      <c r="S853" s="23">
        <v>46174</v>
      </c>
      <c r="T853">
        <v>24.61</v>
      </c>
      <c r="U853">
        <v>12923.5</v>
      </c>
      <c r="V853">
        <v>719.94</v>
      </c>
      <c r="W853">
        <v>13643.44</v>
      </c>
    </row>
    <row r="854" spans="1:23" hidden="1" x14ac:dyDescent="0.25">
      <c r="A854">
        <v>15741</v>
      </c>
      <c r="B854">
        <v>455661174</v>
      </c>
      <c r="C854" t="s">
        <v>4737</v>
      </c>
      <c r="D854" s="8" t="s">
        <v>4738</v>
      </c>
      <c r="E854" t="s">
        <v>644</v>
      </c>
      <c r="G854" t="s">
        <v>62</v>
      </c>
      <c r="H854" t="s">
        <v>63</v>
      </c>
      <c r="I854" t="s">
        <v>30</v>
      </c>
      <c r="J854" t="s">
        <v>64</v>
      </c>
      <c r="K854" t="s">
        <v>384</v>
      </c>
      <c r="L854" t="s">
        <v>215</v>
      </c>
      <c r="M854" t="s">
        <v>409</v>
      </c>
      <c r="N854" t="s">
        <v>646</v>
      </c>
      <c r="O854" t="s">
        <v>83</v>
      </c>
      <c r="P854" t="s">
        <v>4739</v>
      </c>
      <c r="Q854" t="s">
        <v>50</v>
      </c>
      <c r="R854" s="23" t="s">
        <v>604</v>
      </c>
      <c r="S854" s="23">
        <v>46174</v>
      </c>
      <c r="T854">
        <v>23.18</v>
      </c>
      <c r="U854">
        <v>9721</v>
      </c>
      <c r="V854">
        <v>779.94</v>
      </c>
      <c r="W854">
        <v>10500.94</v>
      </c>
    </row>
    <row r="855" spans="1:23" hidden="1" x14ac:dyDescent="0.25">
      <c r="A855">
        <v>15741</v>
      </c>
      <c r="B855">
        <v>455661169</v>
      </c>
      <c r="C855" t="s">
        <v>4740</v>
      </c>
      <c r="D855" s="8" t="s">
        <v>4741</v>
      </c>
      <c r="E855" t="s">
        <v>644</v>
      </c>
      <c r="G855" t="s">
        <v>62</v>
      </c>
      <c r="H855" t="s">
        <v>63</v>
      </c>
      <c r="I855" t="s">
        <v>30</v>
      </c>
      <c r="J855" t="s">
        <v>64</v>
      </c>
      <c r="K855" t="s">
        <v>27</v>
      </c>
      <c r="L855" t="s">
        <v>65</v>
      </c>
      <c r="M855" t="s">
        <v>4742</v>
      </c>
      <c r="N855" t="s">
        <v>646</v>
      </c>
      <c r="O855" t="s">
        <v>83</v>
      </c>
      <c r="P855" t="s">
        <v>4743</v>
      </c>
      <c r="Q855" t="s">
        <v>213</v>
      </c>
      <c r="R855" s="23" t="s">
        <v>604</v>
      </c>
      <c r="S855" s="23">
        <v>46174</v>
      </c>
      <c r="T855">
        <v>23.38</v>
      </c>
      <c r="U855">
        <v>9721</v>
      </c>
      <c r="V855">
        <v>719.94</v>
      </c>
      <c r="W855">
        <v>10440.94</v>
      </c>
    </row>
    <row r="856" spans="1:23" hidden="1" x14ac:dyDescent="0.25">
      <c r="A856">
        <v>15741</v>
      </c>
      <c r="B856">
        <v>455661168</v>
      </c>
      <c r="C856" t="s">
        <v>4744</v>
      </c>
      <c r="D856" s="8" t="s">
        <v>4745</v>
      </c>
      <c r="E856" t="s">
        <v>644</v>
      </c>
      <c r="G856" t="s">
        <v>62</v>
      </c>
      <c r="H856" t="s">
        <v>63</v>
      </c>
      <c r="I856" t="s">
        <v>30</v>
      </c>
      <c r="J856" t="s">
        <v>64</v>
      </c>
      <c r="K856" t="s">
        <v>27</v>
      </c>
      <c r="L856" t="s">
        <v>65</v>
      </c>
      <c r="M856" t="s">
        <v>4746</v>
      </c>
      <c r="N856" t="s">
        <v>646</v>
      </c>
      <c r="O856" t="s">
        <v>83</v>
      </c>
      <c r="P856" t="s">
        <v>4747</v>
      </c>
      <c r="Q856" t="s">
        <v>43</v>
      </c>
      <c r="R856" s="23" t="s">
        <v>604</v>
      </c>
      <c r="S856" s="23">
        <v>46174</v>
      </c>
      <c r="T856">
        <v>23.19</v>
      </c>
      <c r="U856">
        <v>9721</v>
      </c>
      <c r="V856">
        <v>719.94</v>
      </c>
      <c r="W856">
        <v>10440.94</v>
      </c>
    </row>
    <row r="857" spans="1:23" hidden="1" x14ac:dyDescent="0.25">
      <c r="A857">
        <v>15741</v>
      </c>
      <c r="B857">
        <v>455661164</v>
      </c>
      <c r="C857" t="s">
        <v>4748</v>
      </c>
      <c r="D857" s="8" t="s">
        <v>4749</v>
      </c>
      <c r="E857" t="s">
        <v>644</v>
      </c>
      <c r="G857" t="s">
        <v>62</v>
      </c>
      <c r="H857" t="s">
        <v>63</v>
      </c>
      <c r="I857" t="s">
        <v>30</v>
      </c>
      <c r="J857" t="s">
        <v>64</v>
      </c>
      <c r="K857" t="s">
        <v>27</v>
      </c>
      <c r="L857" t="s">
        <v>65</v>
      </c>
      <c r="M857" t="s">
        <v>4750</v>
      </c>
      <c r="N857" t="s">
        <v>646</v>
      </c>
      <c r="O857" t="s">
        <v>83</v>
      </c>
      <c r="P857" t="s">
        <v>4751</v>
      </c>
      <c r="Q857" t="s">
        <v>47</v>
      </c>
      <c r="R857" s="23" t="s">
        <v>604</v>
      </c>
      <c r="S857" s="23">
        <v>46174</v>
      </c>
      <c r="T857">
        <v>23.56</v>
      </c>
      <c r="U857">
        <v>9721</v>
      </c>
      <c r="V857">
        <v>959.94</v>
      </c>
      <c r="W857">
        <v>10680.94</v>
      </c>
    </row>
    <row r="858" spans="1:23" hidden="1" x14ac:dyDescent="0.25">
      <c r="A858">
        <v>15741</v>
      </c>
      <c r="B858">
        <v>455661160</v>
      </c>
      <c r="C858" t="s">
        <v>4752</v>
      </c>
      <c r="D858" s="8" t="s">
        <v>4753</v>
      </c>
      <c r="E858" t="s">
        <v>644</v>
      </c>
      <c r="G858" t="s">
        <v>62</v>
      </c>
      <c r="H858" t="s">
        <v>63</v>
      </c>
      <c r="I858" t="s">
        <v>30</v>
      </c>
      <c r="J858" t="s">
        <v>64</v>
      </c>
      <c r="K858" t="s">
        <v>27</v>
      </c>
      <c r="L858" t="s">
        <v>65</v>
      </c>
      <c r="M858" t="s">
        <v>4754</v>
      </c>
      <c r="N858" t="s">
        <v>646</v>
      </c>
      <c r="O858" t="s">
        <v>83</v>
      </c>
      <c r="P858" t="s">
        <v>4755</v>
      </c>
      <c r="Q858" t="s">
        <v>144</v>
      </c>
      <c r="R858" s="23" t="s">
        <v>604</v>
      </c>
      <c r="S858" s="23">
        <v>46174</v>
      </c>
      <c r="T858">
        <v>24.46</v>
      </c>
      <c r="U858">
        <v>10193</v>
      </c>
      <c r="V858">
        <v>719.94</v>
      </c>
      <c r="W858">
        <v>10912.94</v>
      </c>
    </row>
    <row r="859" spans="1:23" hidden="1" x14ac:dyDescent="0.25">
      <c r="A859">
        <v>15741</v>
      </c>
      <c r="B859">
        <v>455700847</v>
      </c>
      <c r="C859" t="s">
        <v>4756</v>
      </c>
      <c r="D859" s="8" t="s">
        <v>4757</v>
      </c>
      <c r="E859" t="s">
        <v>644</v>
      </c>
      <c r="G859" t="s">
        <v>62</v>
      </c>
      <c r="H859" t="s">
        <v>63</v>
      </c>
      <c r="I859" t="s">
        <v>30</v>
      </c>
      <c r="J859" t="s">
        <v>64</v>
      </c>
      <c r="K859" t="s">
        <v>27</v>
      </c>
      <c r="L859" t="s">
        <v>65</v>
      </c>
      <c r="M859" t="s">
        <v>4758</v>
      </c>
      <c r="N859" t="s">
        <v>646</v>
      </c>
      <c r="O859" t="s">
        <v>83</v>
      </c>
      <c r="P859" t="s">
        <v>4759</v>
      </c>
      <c r="Q859" t="s">
        <v>81</v>
      </c>
      <c r="R859" s="23" t="s">
        <v>4760</v>
      </c>
      <c r="S859" s="23">
        <v>46174</v>
      </c>
      <c r="T859">
        <v>9.6</v>
      </c>
      <c r="U859">
        <v>5465</v>
      </c>
      <c r="V859">
        <v>0</v>
      </c>
      <c r="W859">
        <v>5465</v>
      </c>
    </row>
    <row r="860" spans="1:23" hidden="1" x14ac:dyDescent="0.25">
      <c r="A860">
        <v>15741</v>
      </c>
      <c r="B860">
        <v>455641316</v>
      </c>
      <c r="C860" t="s">
        <v>4761</v>
      </c>
      <c r="D860" s="8" t="s">
        <v>4762</v>
      </c>
      <c r="E860" t="s">
        <v>644</v>
      </c>
      <c r="G860" t="s">
        <v>62</v>
      </c>
      <c r="H860" t="s">
        <v>63</v>
      </c>
      <c r="I860" t="s">
        <v>30</v>
      </c>
      <c r="J860" t="s">
        <v>64</v>
      </c>
      <c r="K860" t="s">
        <v>196</v>
      </c>
      <c r="L860" t="s">
        <v>217</v>
      </c>
      <c r="M860" t="s">
        <v>4763</v>
      </c>
      <c r="N860" t="s">
        <v>646</v>
      </c>
      <c r="O860" t="s">
        <v>83</v>
      </c>
      <c r="P860" t="s">
        <v>4764</v>
      </c>
      <c r="Q860" t="s">
        <v>51</v>
      </c>
      <c r="R860" s="23" t="s">
        <v>490</v>
      </c>
      <c r="S860" s="23">
        <v>46174</v>
      </c>
      <c r="T860">
        <v>25.43</v>
      </c>
      <c r="U860">
        <v>10666</v>
      </c>
      <c r="V860">
        <v>0</v>
      </c>
      <c r="W860">
        <v>10666</v>
      </c>
    </row>
    <row r="861" spans="1:23" hidden="1" x14ac:dyDescent="0.25">
      <c r="A861">
        <v>15741</v>
      </c>
      <c r="B861">
        <v>455627557</v>
      </c>
      <c r="C861" t="s">
        <v>4765</v>
      </c>
      <c r="D861" s="8" t="s">
        <v>4766</v>
      </c>
      <c r="E861" t="s">
        <v>644</v>
      </c>
      <c r="G861" t="s">
        <v>62</v>
      </c>
      <c r="H861" t="s">
        <v>63</v>
      </c>
      <c r="I861" t="s">
        <v>30</v>
      </c>
      <c r="J861" t="s">
        <v>64</v>
      </c>
      <c r="K861" t="s">
        <v>196</v>
      </c>
      <c r="L861" t="s">
        <v>217</v>
      </c>
      <c r="M861" t="s">
        <v>358</v>
      </c>
      <c r="N861" t="s">
        <v>646</v>
      </c>
      <c r="O861" t="s">
        <v>83</v>
      </c>
      <c r="P861" t="s">
        <v>4767</v>
      </c>
      <c r="Q861" t="s">
        <v>49</v>
      </c>
      <c r="R861" s="23" t="s">
        <v>421</v>
      </c>
      <c r="S861" s="23">
        <v>46174</v>
      </c>
      <c r="T861">
        <v>33.14</v>
      </c>
      <c r="U861">
        <v>14444</v>
      </c>
      <c r="V861">
        <v>0</v>
      </c>
      <c r="W861">
        <v>14444</v>
      </c>
    </row>
    <row r="862" spans="1:23" hidden="1" x14ac:dyDescent="0.25">
      <c r="A862">
        <v>15741</v>
      </c>
      <c r="B862">
        <v>455601092</v>
      </c>
      <c r="C862" t="s">
        <v>4768</v>
      </c>
      <c r="D862" s="8" t="s">
        <v>4769</v>
      </c>
      <c r="E862" t="s">
        <v>644</v>
      </c>
      <c r="G862" t="s">
        <v>62</v>
      </c>
      <c r="H862" t="s">
        <v>63</v>
      </c>
      <c r="I862" t="s">
        <v>30</v>
      </c>
      <c r="J862" t="s">
        <v>64</v>
      </c>
      <c r="K862" t="s">
        <v>27</v>
      </c>
      <c r="L862" t="s">
        <v>65</v>
      </c>
      <c r="M862" t="s">
        <v>4770</v>
      </c>
      <c r="N862" t="s">
        <v>646</v>
      </c>
      <c r="O862" t="s">
        <v>83</v>
      </c>
      <c r="P862" t="s">
        <v>4771</v>
      </c>
      <c r="Q862" t="s">
        <v>57</v>
      </c>
      <c r="R862" s="23" t="s">
        <v>4772</v>
      </c>
      <c r="S862" s="23">
        <v>46174</v>
      </c>
      <c r="T862">
        <v>23.8</v>
      </c>
      <c r="U862">
        <v>15046</v>
      </c>
      <c r="V862">
        <v>1559.94</v>
      </c>
      <c r="W862">
        <v>16605.939999999999</v>
      </c>
    </row>
    <row r="863" spans="1:23" hidden="1" x14ac:dyDescent="0.25">
      <c r="A863">
        <v>15741</v>
      </c>
      <c r="B863">
        <v>455601084</v>
      </c>
      <c r="C863" t="s">
        <v>4773</v>
      </c>
      <c r="D863" s="8" t="s">
        <v>4774</v>
      </c>
      <c r="E863" t="s">
        <v>644</v>
      </c>
      <c r="G863" t="s">
        <v>62</v>
      </c>
      <c r="H863" t="s">
        <v>63</v>
      </c>
      <c r="I863" t="s">
        <v>30</v>
      </c>
      <c r="J863" t="s">
        <v>64</v>
      </c>
      <c r="K863" t="s">
        <v>27</v>
      </c>
      <c r="L863" t="s">
        <v>65</v>
      </c>
      <c r="M863" t="s">
        <v>4775</v>
      </c>
      <c r="N863" t="s">
        <v>646</v>
      </c>
      <c r="O863" t="s">
        <v>83</v>
      </c>
      <c r="P863" t="s">
        <v>4776</v>
      </c>
      <c r="Q863" t="s">
        <v>45</v>
      </c>
      <c r="R863" s="23" t="s">
        <v>4772</v>
      </c>
      <c r="S863" s="23">
        <v>46174</v>
      </c>
      <c r="T863">
        <v>24.09</v>
      </c>
      <c r="U863">
        <v>10193</v>
      </c>
      <c r="V863">
        <v>539.94000000000005</v>
      </c>
      <c r="W863">
        <v>10732.94</v>
      </c>
    </row>
    <row r="864" spans="1:23" hidden="1" x14ac:dyDescent="0.25">
      <c r="A864">
        <v>15741</v>
      </c>
      <c r="B864">
        <v>455597014</v>
      </c>
      <c r="C864" t="s">
        <v>4777</v>
      </c>
      <c r="D864" s="8" t="s">
        <v>4778</v>
      </c>
      <c r="E864" t="s">
        <v>644</v>
      </c>
      <c r="G864" t="s">
        <v>62</v>
      </c>
      <c r="H864" t="s">
        <v>63</v>
      </c>
      <c r="I864" t="s">
        <v>30</v>
      </c>
      <c r="J864" t="s">
        <v>64</v>
      </c>
      <c r="K864" t="s">
        <v>27</v>
      </c>
      <c r="L864" t="s">
        <v>65</v>
      </c>
      <c r="M864" t="s">
        <v>4779</v>
      </c>
      <c r="N864" t="s">
        <v>646</v>
      </c>
      <c r="O864" t="s">
        <v>83</v>
      </c>
      <c r="P864" t="s">
        <v>4780</v>
      </c>
      <c r="Q864" t="s">
        <v>47</v>
      </c>
      <c r="R864" s="23" t="s">
        <v>290</v>
      </c>
      <c r="S864" s="23">
        <v>46174</v>
      </c>
      <c r="T864">
        <v>24.32</v>
      </c>
      <c r="U864">
        <v>10193</v>
      </c>
      <c r="V864">
        <v>839.94</v>
      </c>
      <c r="W864">
        <v>11032.94</v>
      </c>
    </row>
    <row r="865" spans="1:23" hidden="1" x14ac:dyDescent="0.25">
      <c r="A865">
        <v>15741</v>
      </c>
      <c r="B865">
        <v>455596995</v>
      </c>
      <c r="C865" t="s">
        <v>4781</v>
      </c>
      <c r="D865" s="8" t="s">
        <v>4782</v>
      </c>
      <c r="E865" t="s">
        <v>644</v>
      </c>
      <c r="G865" t="s">
        <v>62</v>
      </c>
      <c r="H865" t="s">
        <v>63</v>
      </c>
      <c r="I865" t="s">
        <v>30</v>
      </c>
      <c r="J865" t="s">
        <v>64</v>
      </c>
      <c r="K865" t="s">
        <v>27</v>
      </c>
      <c r="L865" t="s">
        <v>215</v>
      </c>
      <c r="M865" t="s">
        <v>4783</v>
      </c>
      <c r="N865" t="s">
        <v>646</v>
      </c>
      <c r="O865" t="s">
        <v>83</v>
      </c>
      <c r="P865" t="s">
        <v>4784</v>
      </c>
      <c r="Q865" t="s">
        <v>81</v>
      </c>
      <c r="R865" s="23" t="s">
        <v>290</v>
      </c>
      <c r="S865" s="23">
        <v>46174</v>
      </c>
      <c r="T865">
        <v>47.94</v>
      </c>
      <c r="U865">
        <v>21055</v>
      </c>
      <c r="V865">
        <v>1559.88</v>
      </c>
      <c r="W865">
        <v>22614.880000000001</v>
      </c>
    </row>
    <row r="866" spans="1:23" hidden="1" x14ac:dyDescent="0.25">
      <c r="A866">
        <v>15741</v>
      </c>
      <c r="B866">
        <v>455596994</v>
      </c>
      <c r="C866" t="s">
        <v>4785</v>
      </c>
      <c r="D866" s="8" t="s">
        <v>4786</v>
      </c>
      <c r="E866" t="s">
        <v>644</v>
      </c>
      <c r="G866" t="s">
        <v>62</v>
      </c>
      <c r="H866" t="s">
        <v>63</v>
      </c>
      <c r="I866" t="s">
        <v>30</v>
      </c>
      <c r="J866" t="s">
        <v>64</v>
      </c>
      <c r="K866" t="s">
        <v>27</v>
      </c>
      <c r="L866" t="s">
        <v>65</v>
      </c>
      <c r="M866" t="s">
        <v>4787</v>
      </c>
      <c r="N866" t="s">
        <v>646</v>
      </c>
      <c r="O866" t="s">
        <v>83</v>
      </c>
      <c r="P866" t="s">
        <v>4788</v>
      </c>
      <c r="Q866" t="s">
        <v>50</v>
      </c>
      <c r="R866" s="23" t="s">
        <v>290</v>
      </c>
      <c r="S866" s="23">
        <v>46174</v>
      </c>
      <c r="T866">
        <v>31</v>
      </c>
      <c r="U866">
        <v>13026</v>
      </c>
      <c r="V866">
        <v>1379.94</v>
      </c>
      <c r="W866">
        <v>14405.94</v>
      </c>
    </row>
    <row r="867" spans="1:23" hidden="1" x14ac:dyDescent="0.25">
      <c r="A867">
        <v>15741</v>
      </c>
      <c r="B867">
        <v>455596992</v>
      </c>
      <c r="C867" t="s">
        <v>4789</v>
      </c>
      <c r="D867" s="8" t="s">
        <v>4790</v>
      </c>
      <c r="E867" t="s">
        <v>644</v>
      </c>
      <c r="G867" t="s">
        <v>62</v>
      </c>
      <c r="H867" t="s">
        <v>63</v>
      </c>
      <c r="I867" t="s">
        <v>30</v>
      </c>
      <c r="J867" t="s">
        <v>64</v>
      </c>
      <c r="K867" t="s">
        <v>27</v>
      </c>
      <c r="L867" t="s">
        <v>65</v>
      </c>
      <c r="M867" t="s">
        <v>4791</v>
      </c>
      <c r="N867" t="s">
        <v>646</v>
      </c>
      <c r="O867" t="s">
        <v>83</v>
      </c>
      <c r="P867" t="s">
        <v>4792</v>
      </c>
      <c r="Q867" t="s">
        <v>202</v>
      </c>
      <c r="R867" s="23" t="s">
        <v>290</v>
      </c>
      <c r="S867" s="23">
        <v>46174</v>
      </c>
      <c r="T867">
        <v>24.24</v>
      </c>
      <c r="U867">
        <v>16806</v>
      </c>
      <c r="V867">
        <v>839.94</v>
      </c>
      <c r="W867">
        <v>17645.939999999999</v>
      </c>
    </row>
    <row r="868" spans="1:23" hidden="1" x14ac:dyDescent="0.25">
      <c r="A868">
        <v>15741</v>
      </c>
      <c r="B868">
        <v>455596984</v>
      </c>
      <c r="C868" t="s">
        <v>4793</v>
      </c>
      <c r="D868" s="8" t="s">
        <v>4794</v>
      </c>
      <c r="E868" t="s">
        <v>644</v>
      </c>
      <c r="G868" t="s">
        <v>62</v>
      </c>
      <c r="H868" t="s">
        <v>63</v>
      </c>
      <c r="I868" t="s">
        <v>30</v>
      </c>
      <c r="J868" t="s">
        <v>64</v>
      </c>
      <c r="K868" t="s">
        <v>27</v>
      </c>
      <c r="L868" t="s">
        <v>65</v>
      </c>
      <c r="M868" t="s">
        <v>4795</v>
      </c>
      <c r="N868" t="s">
        <v>646</v>
      </c>
      <c r="O868" t="s">
        <v>83</v>
      </c>
      <c r="P868" t="s">
        <v>4796</v>
      </c>
      <c r="Q868" t="s">
        <v>45</v>
      </c>
      <c r="R868" s="23" t="s">
        <v>290</v>
      </c>
      <c r="S868" s="23">
        <v>46174</v>
      </c>
      <c r="T868">
        <v>24.15</v>
      </c>
      <c r="U868">
        <v>10193</v>
      </c>
      <c r="V868">
        <v>779.94</v>
      </c>
      <c r="W868">
        <v>10972.94</v>
      </c>
    </row>
    <row r="869" spans="1:23" hidden="1" x14ac:dyDescent="0.25">
      <c r="A869">
        <v>15741</v>
      </c>
      <c r="B869">
        <v>455596988</v>
      </c>
      <c r="C869" t="s">
        <v>4797</v>
      </c>
      <c r="D869" s="8" t="s">
        <v>4798</v>
      </c>
      <c r="E869" t="s">
        <v>644</v>
      </c>
      <c r="G869" t="s">
        <v>62</v>
      </c>
      <c r="H869" t="s">
        <v>63</v>
      </c>
      <c r="I869" t="s">
        <v>30</v>
      </c>
      <c r="J869" t="s">
        <v>64</v>
      </c>
      <c r="K869" t="s">
        <v>27</v>
      </c>
      <c r="L869" t="s">
        <v>65</v>
      </c>
      <c r="M869" t="s">
        <v>4799</v>
      </c>
      <c r="N869" t="s">
        <v>646</v>
      </c>
      <c r="O869" t="s">
        <v>83</v>
      </c>
      <c r="P869" t="s">
        <v>4800</v>
      </c>
      <c r="Q869" t="s">
        <v>269</v>
      </c>
      <c r="R869" s="23" t="s">
        <v>290</v>
      </c>
      <c r="S869" s="23">
        <v>46174</v>
      </c>
      <c r="T869">
        <v>23.76</v>
      </c>
      <c r="U869">
        <v>25340</v>
      </c>
      <c r="V869">
        <v>779.94</v>
      </c>
      <c r="W869">
        <v>26119.94</v>
      </c>
    </row>
    <row r="870" spans="1:23" hidden="1" x14ac:dyDescent="0.25">
      <c r="A870">
        <v>15741</v>
      </c>
      <c r="B870">
        <v>455597037</v>
      </c>
      <c r="C870" t="s">
        <v>4801</v>
      </c>
      <c r="D870" s="8" t="s">
        <v>4802</v>
      </c>
      <c r="E870" t="s">
        <v>644</v>
      </c>
      <c r="G870" t="s">
        <v>62</v>
      </c>
      <c r="H870" t="s">
        <v>63</v>
      </c>
      <c r="I870" t="s">
        <v>30</v>
      </c>
      <c r="J870" t="s">
        <v>64</v>
      </c>
      <c r="K870" t="s">
        <v>27</v>
      </c>
      <c r="L870" t="s">
        <v>65</v>
      </c>
      <c r="M870" t="s">
        <v>4803</v>
      </c>
      <c r="N870" t="s">
        <v>646</v>
      </c>
      <c r="O870" t="s">
        <v>83</v>
      </c>
      <c r="P870" t="s">
        <v>4804</v>
      </c>
      <c r="Q870" t="s">
        <v>98</v>
      </c>
      <c r="R870" s="23" t="s">
        <v>290</v>
      </c>
      <c r="S870" s="23">
        <v>46174</v>
      </c>
      <c r="T870">
        <v>23.26</v>
      </c>
      <c r="U870">
        <v>18218</v>
      </c>
      <c r="V870">
        <v>0</v>
      </c>
      <c r="W870">
        <v>18218</v>
      </c>
    </row>
    <row r="871" spans="1:23" hidden="1" x14ac:dyDescent="0.25">
      <c r="A871">
        <v>15741</v>
      </c>
      <c r="B871">
        <v>455596993</v>
      </c>
      <c r="C871" t="s">
        <v>4805</v>
      </c>
      <c r="D871" s="8" t="s">
        <v>4806</v>
      </c>
      <c r="E871" t="s">
        <v>644</v>
      </c>
      <c r="G871" t="s">
        <v>62</v>
      </c>
      <c r="H871" t="s">
        <v>63</v>
      </c>
      <c r="I871" t="s">
        <v>30</v>
      </c>
      <c r="J871" t="s">
        <v>64</v>
      </c>
      <c r="K871" t="s">
        <v>27</v>
      </c>
      <c r="L871" t="s">
        <v>65</v>
      </c>
      <c r="M871" t="s">
        <v>4807</v>
      </c>
      <c r="N871" t="s">
        <v>646</v>
      </c>
      <c r="O871" t="s">
        <v>83</v>
      </c>
      <c r="P871" t="s">
        <v>4808</v>
      </c>
      <c r="Q871" t="s">
        <v>302</v>
      </c>
      <c r="R871" s="23" t="s">
        <v>290</v>
      </c>
      <c r="S871" s="23">
        <v>46174</v>
      </c>
      <c r="T871">
        <v>41.88</v>
      </c>
      <c r="U871">
        <v>28441</v>
      </c>
      <c r="V871">
        <v>3779.94</v>
      </c>
      <c r="W871">
        <v>32220.94</v>
      </c>
    </row>
    <row r="872" spans="1:23" hidden="1" x14ac:dyDescent="0.25">
      <c r="A872">
        <v>15741</v>
      </c>
      <c r="B872">
        <v>455597004</v>
      </c>
      <c r="C872" t="s">
        <v>4809</v>
      </c>
      <c r="D872" s="8" t="s">
        <v>4810</v>
      </c>
      <c r="E872" t="s">
        <v>644</v>
      </c>
      <c r="G872" t="s">
        <v>62</v>
      </c>
      <c r="H872" t="s">
        <v>63</v>
      </c>
      <c r="I872" t="s">
        <v>30</v>
      </c>
      <c r="J872" t="s">
        <v>64</v>
      </c>
      <c r="K872" t="s">
        <v>27</v>
      </c>
      <c r="L872" t="s">
        <v>65</v>
      </c>
      <c r="M872" t="s">
        <v>4811</v>
      </c>
      <c r="N872" t="s">
        <v>646</v>
      </c>
      <c r="O872" t="s">
        <v>83</v>
      </c>
      <c r="P872" t="s">
        <v>4812</v>
      </c>
      <c r="Q872" t="s">
        <v>51</v>
      </c>
      <c r="R872" s="23" t="s">
        <v>290</v>
      </c>
      <c r="S872" s="23">
        <v>46174</v>
      </c>
      <c r="T872">
        <v>20.63</v>
      </c>
      <c r="U872">
        <v>8303</v>
      </c>
      <c r="V872">
        <v>1799.94</v>
      </c>
      <c r="W872">
        <v>10102.94</v>
      </c>
    </row>
    <row r="873" spans="1:23" hidden="1" x14ac:dyDescent="0.25">
      <c r="A873">
        <v>15741</v>
      </c>
      <c r="B873">
        <v>455596982</v>
      </c>
      <c r="C873" t="s">
        <v>4813</v>
      </c>
      <c r="D873" s="8" t="s">
        <v>4814</v>
      </c>
      <c r="E873" t="s">
        <v>644</v>
      </c>
      <c r="G873" t="s">
        <v>62</v>
      </c>
      <c r="H873" t="s">
        <v>63</v>
      </c>
      <c r="I873" t="s">
        <v>30</v>
      </c>
      <c r="J873" t="s">
        <v>64</v>
      </c>
      <c r="K873" t="s">
        <v>27</v>
      </c>
      <c r="L873" t="s">
        <v>65</v>
      </c>
      <c r="M873" t="s">
        <v>4815</v>
      </c>
      <c r="N873" t="s">
        <v>646</v>
      </c>
      <c r="O873" t="s">
        <v>83</v>
      </c>
      <c r="P873" t="s">
        <v>4816</v>
      </c>
      <c r="Q873" t="s">
        <v>50</v>
      </c>
      <c r="R873" s="23" t="s">
        <v>290</v>
      </c>
      <c r="S873" s="23">
        <v>46174</v>
      </c>
      <c r="T873">
        <v>22.92</v>
      </c>
      <c r="U873">
        <v>9248</v>
      </c>
      <c r="V873">
        <v>719.94</v>
      </c>
      <c r="W873">
        <v>9967.94</v>
      </c>
    </row>
    <row r="874" spans="1:23" hidden="1" x14ac:dyDescent="0.25">
      <c r="A874">
        <v>15741</v>
      </c>
      <c r="B874">
        <v>455596979</v>
      </c>
      <c r="C874" t="s">
        <v>4817</v>
      </c>
      <c r="D874" s="8" t="s">
        <v>4818</v>
      </c>
      <c r="E874" t="s">
        <v>644</v>
      </c>
      <c r="G874" t="s">
        <v>62</v>
      </c>
      <c r="H874" t="s">
        <v>63</v>
      </c>
      <c r="I874" t="s">
        <v>30</v>
      </c>
      <c r="J874" t="s">
        <v>64</v>
      </c>
      <c r="K874" t="s">
        <v>27</v>
      </c>
      <c r="L874" t="s">
        <v>65</v>
      </c>
      <c r="M874" t="s">
        <v>4819</v>
      </c>
      <c r="N874" t="s">
        <v>646</v>
      </c>
      <c r="O874" t="s">
        <v>83</v>
      </c>
      <c r="P874" t="s">
        <v>4820</v>
      </c>
      <c r="Q874" t="s">
        <v>78</v>
      </c>
      <c r="R874" s="23" t="s">
        <v>290</v>
      </c>
      <c r="S874" s="23">
        <v>46174</v>
      </c>
      <c r="T874">
        <v>22.93</v>
      </c>
      <c r="U874">
        <v>9248</v>
      </c>
      <c r="V874">
        <v>779.94</v>
      </c>
      <c r="W874">
        <v>10027.94</v>
      </c>
    </row>
    <row r="875" spans="1:23" hidden="1" x14ac:dyDescent="0.25">
      <c r="A875">
        <v>15741</v>
      </c>
      <c r="B875">
        <v>455596972</v>
      </c>
      <c r="C875" t="s">
        <v>4821</v>
      </c>
      <c r="D875" s="8" t="s">
        <v>4822</v>
      </c>
      <c r="E875" t="s">
        <v>644</v>
      </c>
      <c r="G875" t="s">
        <v>62</v>
      </c>
      <c r="H875" t="s">
        <v>63</v>
      </c>
      <c r="I875" t="s">
        <v>30</v>
      </c>
      <c r="J875" t="s">
        <v>64</v>
      </c>
      <c r="K875" t="s">
        <v>27</v>
      </c>
      <c r="L875" t="s">
        <v>65</v>
      </c>
      <c r="M875" t="s">
        <v>554</v>
      </c>
      <c r="N875" t="s">
        <v>646</v>
      </c>
      <c r="O875" t="s">
        <v>83</v>
      </c>
      <c r="P875" t="s">
        <v>4823</v>
      </c>
      <c r="Q875" t="s">
        <v>44</v>
      </c>
      <c r="R875" s="23" t="s">
        <v>290</v>
      </c>
      <c r="S875" s="23">
        <v>46174</v>
      </c>
      <c r="T875">
        <v>23.46</v>
      </c>
      <c r="U875">
        <v>9721</v>
      </c>
      <c r="V875">
        <v>719.94</v>
      </c>
      <c r="W875">
        <v>10440.94</v>
      </c>
    </row>
    <row r="876" spans="1:23" hidden="1" x14ac:dyDescent="0.25">
      <c r="A876">
        <v>15741</v>
      </c>
      <c r="B876">
        <v>455596973</v>
      </c>
      <c r="C876" t="s">
        <v>4824</v>
      </c>
      <c r="D876" s="8" t="s">
        <v>4825</v>
      </c>
      <c r="E876" t="s">
        <v>644</v>
      </c>
      <c r="G876" t="s">
        <v>62</v>
      </c>
      <c r="H876" t="s">
        <v>63</v>
      </c>
      <c r="I876" t="s">
        <v>30</v>
      </c>
      <c r="J876" t="s">
        <v>64</v>
      </c>
      <c r="K876" t="s">
        <v>27</v>
      </c>
      <c r="L876" t="s">
        <v>65</v>
      </c>
      <c r="M876" t="s">
        <v>4826</v>
      </c>
      <c r="N876" t="s">
        <v>646</v>
      </c>
      <c r="O876" t="s">
        <v>83</v>
      </c>
      <c r="P876" t="s">
        <v>4827</v>
      </c>
      <c r="Q876" t="s">
        <v>43</v>
      </c>
      <c r="R876" s="23" t="s">
        <v>290</v>
      </c>
      <c r="S876" s="23">
        <v>46174</v>
      </c>
      <c r="T876">
        <v>23.28</v>
      </c>
      <c r="U876">
        <v>9721</v>
      </c>
      <c r="V876">
        <v>719.94</v>
      </c>
      <c r="W876">
        <v>10440.94</v>
      </c>
    </row>
    <row r="877" spans="1:23" hidden="1" x14ac:dyDescent="0.25">
      <c r="A877">
        <v>15741</v>
      </c>
      <c r="B877">
        <v>455566615</v>
      </c>
      <c r="C877" t="s">
        <v>4828</v>
      </c>
      <c r="D877" s="8" t="s">
        <v>4829</v>
      </c>
      <c r="E877" t="s">
        <v>644</v>
      </c>
      <c r="G877" t="s">
        <v>62</v>
      </c>
      <c r="H877" t="s">
        <v>63</v>
      </c>
      <c r="I877" t="s">
        <v>30</v>
      </c>
      <c r="J877" t="s">
        <v>64</v>
      </c>
      <c r="K877" t="s">
        <v>27</v>
      </c>
      <c r="L877" t="s">
        <v>65</v>
      </c>
      <c r="M877" t="s">
        <v>4830</v>
      </c>
      <c r="N877" t="s">
        <v>646</v>
      </c>
      <c r="O877" t="s">
        <v>83</v>
      </c>
      <c r="P877" t="s">
        <v>4831</v>
      </c>
      <c r="Q877" t="s">
        <v>45</v>
      </c>
      <c r="R877" s="23" t="s">
        <v>249</v>
      </c>
      <c r="S877" s="23">
        <v>46174</v>
      </c>
      <c r="T877">
        <v>11.37</v>
      </c>
      <c r="U877">
        <v>5943</v>
      </c>
      <c r="V877">
        <v>719.94</v>
      </c>
      <c r="W877">
        <v>6662.9400000000005</v>
      </c>
    </row>
    <row r="878" spans="1:23" hidden="1" x14ac:dyDescent="0.25">
      <c r="A878">
        <v>15741</v>
      </c>
      <c r="B878">
        <v>455563469</v>
      </c>
      <c r="C878" t="s">
        <v>4832</v>
      </c>
      <c r="D878" s="8" t="s">
        <v>4833</v>
      </c>
      <c r="E878" t="s">
        <v>644</v>
      </c>
      <c r="G878" t="s">
        <v>62</v>
      </c>
      <c r="H878" t="s">
        <v>63</v>
      </c>
      <c r="I878" t="s">
        <v>30</v>
      </c>
      <c r="J878" t="s">
        <v>64</v>
      </c>
      <c r="K878" t="s">
        <v>27</v>
      </c>
      <c r="L878" t="s">
        <v>65</v>
      </c>
      <c r="M878" t="s">
        <v>4834</v>
      </c>
      <c r="N878" t="s">
        <v>646</v>
      </c>
      <c r="O878" t="s">
        <v>83</v>
      </c>
      <c r="P878" t="s">
        <v>4835</v>
      </c>
      <c r="Q878" t="s">
        <v>120</v>
      </c>
      <c r="R878" s="23" t="s">
        <v>422</v>
      </c>
      <c r="S878" s="23">
        <v>46174</v>
      </c>
      <c r="T878">
        <v>15</v>
      </c>
      <c r="U878">
        <v>13529</v>
      </c>
      <c r="V878">
        <v>839.94</v>
      </c>
      <c r="W878">
        <v>14368.94</v>
      </c>
    </row>
    <row r="879" spans="1:23" hidden="1" x14ac:dyDescent="0.25">
      <c r="A879">
        <v>15741</v>
      </c>
      <c r="B879">
        <v>455563460</v>
      </c>
      <c r="C879" t="s">
        <v>4836</v>
      </c>
      <c r="D879" s="8" t="s">
        <v>4837</v>
      </c>
      <c r="E879" t="s">
        <v>644</v>
      </c>
      <c r="G879" t="s">
        <v>62</v>
      </c>
      <c r="H879" t="s">
        <v>63</v>
      </c>
      <c r="I879" t="s">
        <v>30</v>
      </c>
      <c r="J879" t="s">
        <v>64</v>
      </c>
      <c r="K879" t="s">
        <v>27</v>
      </c>
      <c r="L879" t="s">
        <v>65</v>
      </c>
      <c r="M879" t="s">
        <v>3839</v>
      </c>
      <c r="N879" t="s">
        <v>646</v>
      </c>
      <c r="O879" t="s">
        <v>83</v>
      </c>
      <c r="P879" t="s">
        <v>4838</v>
      </c>
      <c r="Q879" t="s">
        <v>72</v>
      </c>
      <c r="R879" s="23" t="s">
        <v>422</v>
      </c>
      <c r="S879" s="23">
        <v>46174</v>
      </c>
      <c r="T879">
        <v>9.4600000000000009</v>
      </c>
      <c r="U879">
        <v>10513</v>
      </c>
      <c r="V879">
        <v>0</v>
      </c>
      <c r="W879">
        <v>10513</v>
      </c>
    </row>
    <row r="880" spans="1:23" hidden="1" x14ac:dyDescent="0.25">
      <c r="A880">
        <v>15741</v>
      </c>
      <c r="B880">
        <v>455563451</v>
      </c>
      <c r="C880" t="s">
        <v>4839</v>
      </c>
      <c r="D880" s="8" t="s">
        <v>4840</v>
      </c>
      <c r="E880" t="s">
        <v>644</v>
      </c>
      <c r="G880" t="s">
        <v>62</v>
      </c>
      <c r="H880" t="s">
        <v>63</v>
      </c>
      <c r="I880" t="s">
        <v>30</v>
      </c>
      <c r="J880" t="s">
        <v>64</v>
      </c>
      <c r="K880" t="s">
        <v>27</v>
      </c>
      <c r="L880" t="s">
        <v>65</v>
      </c>
      <c r="M880" t="s">
        <v>4841</v>
      </c>
      <c r="N880" t="s">
        <v>646</v>
      </c>
      <c r="O880" t="s">
        <v>83</v>
      </c>
      <c r="P880" t="s">
        <v>4842</v>
      </c>
      <c r="Q880" t="s">
        <v>49</v>
      </c>
      <c r="R880" s="23" t="s">
        <v>422</v>
      </c>
      <c r="S880" s="23">
        <v>46174</v>
      </c>
      <c r="T880">
        <v>43.11</v>
      </c>
      <c r="U880">
        <v>19166</v>
      </c>
      <c r="V880">
        <v>779.94</v>
      </c>
      <c r="W880">
        <v>19945.939999999999</v>
      </c>
    </row>
    <row r="881" spans="1:23" hidden="1" x14ac:dyDescent="0.25">
      <c r="A881">
        <v>15741</v>
      </c>
      <c r="B881">
        <v>455557308</v>
      </c>
      <c r="C881" t="s">
        <v>4843</v>
      </c>
      <c r="D881" s="8" t="s">
        <v>4844</v>
      </c>
      <c r="E881" t="s">
        <v>644</v>
      </c>
      <c r="G881" t="s">
        <v>62</v>
      </c>
      <c r="H881" t="s">
        <v>63</v>
      </c>
      <c r="I881" t="s">
        <v>30</v>
      </c>
      <c r="J881" t="s">
        <v>64</v>
      </c>
      <c r="K881" t="s">
        <v>27</v>
      </c>
      <c r="L881" t="s">
        <v>65</v>
      </c>
      <c r="M881" t="s">
        <v>4845</v>
      </c>
      <c r="N881" t="s">
        <v>646</v>
      </c>
      <c r="O881" t="s">
        <v>83</v>
      </c>
      <c r="P881" t="s">
        <v>4846</v>
      </c>
      <c r="Q881" t="s">
        <v>57</v>
      </c>
      <c r="R881" s="23" t="s">
        <v>250</v>
      </c>
      <c r="S881" s="23">
        <v>46174</v>
      </c>
      <c r="T881">
        <v>11.93</v>
      </c>
      <c r="U881">
        <v>10408</v>
      </c>
      <c r="V881">
        <v>539.94000000000005</v>
      </c>
      <c r="W881">
        <v>10947.94</v>
      </c>
    </row>
    <row r="882" spans="1:23" hidden="1" x14ac:dyDescent="0.25">
      <c r="A882">
        <v>15741</v>
      </c>
      <c r="B882">
        <v>455557304</v>
      </c>
      <c r="C882" t="s">
        <v>4847</v>
      </c>
      <c r="D882" s="8" t="s">
        <v>4848</v>
      </c>
      <c r="E882" t="s">
        <v>644</v>
      </c>
      <c r="G882" t="s">
        <v>62</v>
      </c>
      <c r="H882" t="s">
        <v>63</v>
      </c>
      <c r="I882" t="s">
        <v>30</v>
      </c>
      <c r="J882" t="s">
        <v>64</v>
      </c>
      <c r="K882" t="s">
        <v>27</v>
      </c>
      <c r="L882" t="s">
        <v>65</v>
      </c>
      <c r="M882" t="s">
        <v>4849</v>
      </c>
      <c r="N882" t="s">
        <v>646</v>
      </c>
      <c r="O882" t="s">
        <v>83</v>
      </c>
      <c r="P882" t="s">
        <v>4850</v>
      </c>
      <c r="Q882" t="s">
        <v>50</v>
      </c>
      <c r="R882" s="23" t="s">
        <v>250</v>
      </c>
      <c r="S882" s="23">
        <v>46174</v>
      </c>
      <c r="T882">
        <v>15.09</v>
      </c>
      <c r="U882">
        <v>5943</v>
      </c>
      <c r="V882">
        <v>839.94</v>
      </c>
      <c r="W882">
        <v>6782.9400000000005</v>
      </c>
    </row>
    <row r="883" spans="1:23" hidden="1" x14ac:dyDescent="0.25">
      <c r="A883">
        <v>15741</v>
      </c>
      <c r="B883">
        <v>455557300</v>
      </c>
      <c r="C883" t="s">
        <v>4851</v>
      </c>
      <c r="D883" s="8" t="s">
        <v>4852</v>
      </c>
      <c r="E883" t="s">
        <v>644</v>
      </c>
      <c r="G883" t="s">
        <v>62</v>
      </c>
      <c r="H883" t="s">
        <v>63</v>
      </c>
      <c r="I883" t="s">
        <v>30</v>
      </c>
      <c r="J883" t="s">
        <v>64</v>
      </c>
      <c r="K883" t="s">
        <v>27</v>
      </c>
      <c r="L883" t="s">
        <v>65</v>
      </c>
      <c r="M883" t="s">
        <v>4853</v>
      </c>
      <c r="N883" t="s">
        <v>646</v>
      </c>
      <c r="O883" t="s">
        <v>83</v>
      </c>
      <c r="P883" t="s">
        <v>4854</v>
      </c>
      <c r="Q883" t="s">
        <v>50</v>
      </c>
      <c r="R883" s="23" t="s">
        <v>250</v>
      </c>
      <c r="S883" s="23">
        <v>46174</v>
      </c>
      <c r="T883">
        <v>6.49</v>
      </c>
      <c r="U883">
        <v>5465</v>
      </c>
      <c r="V883">
        <v>0</v>
      </c>
      <c r="W883">
        <v>5465</v>
      </c>
    </row>
    <row r="884" spans="1:23" hidden="1" x14ac:dyDescent="0.25">
      <c r="A884">
        <v>15741</v>
      </c>
      <c r="B884">
        <v>455557292</v>
      </c>
      <c r="C884" t="s">
        <v>4855</v>
      </c>
      <c r="D884" s="8" t="s">
        <v>4856</v>
      </c>
      <c r="E884" t="s">
        <v>644</v>
      </c>
      <c r="G884" t="s">
        <v>62</v>
      </c>
      <c r="H884" t="s">
        <v>63</v>
      </c>
      <c r="I884" t="s">
        <v>30</v>
      </c>
      <c r="J884" t="s">
        <v>64</v>
      </c>
      <c r="K884" t="s">
        <v>27</v>
      </c>
      <c r="L884" t="s">
        <v>65</v>
      </c>
      <c r="M884" t="s">
        <v>4857</v>
      </c>
      <c r="N884" t="s">
        <v>646</v>
      </c>
      <c r="O884" t="s">
        <v>83</v>
      </c>
      <c r="P884" t="s">
        <v>4858</v>
      </c>
      <c r="Q884" t="s">
        <v>47</v>
      </c>
      <c r="R884" s="23" t="s">
        <v>250</v>
      </c>
      <c r="S884" s="23">
        <v>46174</v>
      </c>
      <c r="T884">
        <v>16.71</v>
      </c>
      <c r="U884">
        <v>6414</v>
      </c>
      <c r="V884">
        <v>839.94</v>
      </c>
      <c r="W884">
        <v>7253.9400000000005</v>
      </c>
    </row>
    <row r="885" spans="1:23" hidden="1" x14ac:dyDescent="0.25">
      <c r="A885">
        <v>15741</v>
      </c>
      <c r="B885">
        <v>455557294</v>
      </c>
      <c r="C885" t="s">
        <v>4859</v>
      </c>
      <c r="D885" s="8" t="s">
        <v>4860</v>
      </c>
      <c r="E885" t="s">
        <v>644</v>
      </c>
      <c r="G885" t="s">
        <v>62</v>
      </c>
      <c r="H885" t="s">
        <v>63</v>
      </c>
      <c r="I885" t="s">
        <v>30</v>
      </c>
      <c r="J885" t="s">
        <v>64</v>
      </c>
      <c r="K885" t="s">
        <v>27</v>
      </c>
      <c r="L885" t="s">
        <v>65</v>
      </c>
      <c r="M885" t="s">
        <v>4861</v>
      </c>
      <c r="N885" t="s">
        <v>646</v>
      </c>
      <c r="O885" t="s">
        <v>83</v>
      </c>
      <c r="P885" t="s">
        <v>4862</v>
      </c>
      <c r="Q885" t="s">
        <v>68</v>
      </c>
      <c r="R885" s="23" t="s">
        <v>250</v>
      </c>
      <c r="S885" s="23">
        <v>46174</v>
      </c>
      <c r="T885">
        <v>20.69</v>
      </c>
      <c r="U885">
        <v>8303</v>
      </c>
      <c r="V885">
        <v>1559.94</v>
      </c>
      <c r="W885">
        <v>9862.94</v>
      </c>
    </row>
    <row r="886" spans="1:23" hidden="1" x14ac:dyDescent="0.25">
      <c r="A886">
        <v>15741</v>
      </c>
      <c r="B886">
        <v>455551688</v>
      </c>
      <c r="C886" t="s">
        <v>4863</v>
      </c>
      <c r="D886" s="8" t="s">
        <v>4864</v>
      </c>
      <c r="E886" t="s">
        <v>644</v>
      </c>
      <c r="G886" t="s">
        <v>62</v>
      </c>
      <c r="H886" t="s">
        <v>63</v>
      </c>
      <c r="I886" t="s">
        <v>30</v>
      </c>
      <c r="J886" t="s">
        <v>64</v>
      </c>
      <c r="K886" t="s">
        <v>27</v>
      </c>
      <c r="L886" t="s">
        <v>65</v>
      </c>
      <c r="M886" t="s">
        <v>4865</v>
      </c>
      <c r="N886" t="s">
        <v>646</v>
      </c>
      <c r="O886" t="s">
        <v>83</v>
      </c>
      <c r="P886" t="s">
        <v>4866</v>
      </c>
      <c r="Q886" t="s">
        <v>43</v>
      </c>
      <c r="R886" s="23" t="s">
        <v>227</v>
      </c>
      <c r="S886" s="23">
        <v>46174</v>
      </c>
      <c r="T886">
        <v>15.51</v>
      </c>
      <c r="U886">
        <v>5943</v>
      </c>
      <c r="V886">
        <v>839.94</v>
      </c>
      <c r="W886">
        <v>6782.9400000000005</v>
      </c>
    </row>
    <row r="887" spans="1:23" hidden="1" x14ac:dyDescent="0.25">
      <c r="A887">
        <v>15741</v>
      </c>
      <c r="B887">
        <v>455551684</v>
      </c>
      <c r="C887" t="s">
        <v>4867</v>
      </c>
      <c r="D887" s="8" t="s">
        <v>4868</v>
      </c>
      <c r="E887" t="s">
        <v>644</v>
      </c>
      <c r="G887" t="s">
        <v>62</v>
      </c>
      <c r="H887" t="s">
        <v>63</v>
      </c>
      <c r="I887" t="s">
        <v>30</v>
      </c>
      <c r="J887" t="s">
        <v>64</v>
      </c>
      <c r="K887" t="s">
        <v>27</v>
      </c>
      <c r="L887" t="s">
        <v>65</v>
      </c>
      <c r="M887" t="s">
        <v>4869</v>
      </c>
      <c r="N887" t="s">
        <v>646</v>
      </c>
      <c r="O887" t="s">
        <v>83</v>
      </c>
      <c r="P887" t="s">
        <v>4870</v>
      </c>
      <c r="Q887" t="s">
        <v>175</v>
      </c>
      <c r="R887" s="23" t="s">
        <v>227</v>
      </c>
      <c r="S887" s="23">
        <v>46174</v>
      </c>
      <c r="T887">
        <v>20.56</v>
      </c>
      <c r="U887">
        <v>15903</v>
      </c>
      <c r="V887">
        <v>1559.94</v>
      </c>
      <c r="W887">
        <v>17462.939999999999</v>
      </c>
    </row>
    <row r="888" spans="1:23" hidden="1" x14ac:dyDescent="0.25">
      <c r="A888">
        <v>15741</v>
      </c>
      <c r="B888">
        <v>455551680</v>
      </c>
      <c r="C888" t="s">
        <v>4871</v>
      </c>
      <c r="D888" s="8" t="s">
        <v>4872</v>
      </c>
      <c r="E888" t="s">
        <v>644</v>
      </c>
      <c r="G888" t="s">
        <v>62</v>
      </c>
      <c r="H888" t="s">
        <v>63</v>
      </c>
      <c r="I888" t="s">
        <v>30</v>
      </c>
      <c r="J888" t="s">
        <v>64</v>
      </c>
      <c r="K888" t="s">
        <v>27</v>
      </c>
      <c r="L888" t="s">
        <v>215</v>
      </c>
      <c r="M888" t="s">
        <v>4873</v>
      </c>
      <c r="N888" t="s">
        <v>646</v>
      </c>
      <c r="O888" t="s">
        <v>83</v>
      </c>
      <c r="P888" t="s">
        <v>4874</v>
      </c>
      <c r="Q888" t="s">
        <v>81</v>
      </c>
      <c r="R888" s="23" t="s">
        <v>227</v>
      </c>
      <c r="S888" s="23">
        <v>46174</v>
      </c>
      <c r="T888">
        <v>29.53</v>
      </c>
      <c r="U888">
        <v>12555</v>
      </c>
      <c r="V888">
        <v>839.88</v>
      </c>
      <c r="W888">
        <v>13394.88</v>
      </c>
    </row>
    <row r="889" spans="1:23" hidden="1" x14ac:dyDescent="0.25">
      <c r="A889">
        <v>15741</v>
      </c>
      <c r="B889">
        <v>455551729</v>
      </c>
      <c r="C889" t="s">
        <v>4875</v>
      </c>
      <c r="D889" s="8" t="s">
        <v>4876</v>
      </c>
      <c r="E889" t="s">
        <v>644</v>
      </c>
      <c r="G889" t="s">
        <v>62</v>
      </c>
      <c r="H889" t="s">
        <v>63</v>
      </c>
      <c r="I889" t="s">
        <v>30</v>
      </c>
      <c r="J889" t="s">
        <v>64</v>
      </c>
      <c r="K889" t="s">
        <v>196</v>
      </c>
      <c r="L889" t="s">
        <v>299</v>
      </c>
      <c r="M889" t="s">
        <v>4877</v>
      </c>
      <c r="N889" t="s">
        <v>646</v>
      </c>
      <c r="O889" t="s">
        <v>83</v>
      </c>
      <c r="P889" t="s">
        <v>4878</v>
      </c>
      <c r="Q889" t="s">
        <v>81</v>
      </c>
      <c r="R889" s="23" t="s">
        <v>226</v>
      </c>
      <c r="S889" s="23">
        <v>46174</v>
      </c>
      <c r="T889">
        <v>69.510000000000005</v>
      </c>
      <c r="U889">
        <v>30177</v>
      </c>
      <c r="V889">
        <v>3239.82</v>
      </c>
      <c r="W889">
        <v>33416.82</v>
      </c>
    </row>
    <row r="890" spans="1:23" hidden="1" x14ac:dyDescent="0.25">
      <c r="A890">
        <v>15741</v>
      </c>
      <c r="B890">
        <v>455551664</v>
      </c>
      <c r="C890" t="s">
        <v>4879</v>
      </c>
      <c r="D890" s="8" t="s">
        <v>4880</v>
      </c>
      <c r="E890" t="s">
        <v>644</v>
      </c>
      <c r="G890" t="s">
        <v>62</v>
      </c>
      <c r="H890" t="s">
        <v>63</v>
      </c>
      <c r="I890" t="s">
        <v>30</v>
      </c>
      <c r="J890" t="s">
        <v>64</v>
      </c>
      <c r="K890" t="s">
        <v>27</v>
      </c>
      <c r="L890" t="s">
        <v>65</v>
      </c>
      <c r="M890" t="s">
        <v>4881</v>
      </c>
      <c r="N890" t="s">
        <v>646</v>
      </c>
      <c r="O890" t="s">
        <v>83</v>
      </c>
      <c r="P890" t="s">
        <v>4882</v>
      </c>
      <c r="Q890" t="s">
        <v>81</v>
      </c>
      <c r="R890" s="23" t="s">
        <v>227</v>
      </c>
      <c r="S890" s="23">
        <v>46174</v>
      </c>
      <c r="T890">
        <v>15.96</v>
      </c>
      <c r="U890">
        <v>5943</v>
      </c>
      <c r="V890">
        <v>779.94</v>
      </c>
      <c r="W890">
        <v>6722.9400000000005</v>
      </c>
    </row>
    <row r="891" spans="1:23" hidden="1" x14ac:dyDescent="0.25">
      <c r="A891">
        <v>15741</v>
      </c>
      <c r="B891">
        <v>455551660</v>
      </c>
      <c r="C891" t="s">
        <v>4883</v>
      </c>
      <c r="D891" s="8" t="s">
        <v>4884</v>
      </c>
      <c r="E891" t="s">
        <v>644</v>
      </c>
      <c r="G891" t="s">
        <v>62</v>
      </c>
      <c r="H891" t="s">
        <v>63</v>
      </c>
      <c r="I891" t="s">
        <v>30</v>
      </c>
      <c r="J891" t="s">
        <v>64</v>
      </c>
      <c r="K891" t="s">
        <v>27</v>
      </c>
      <c r="L891" t="s">
        <v>65</v>
      </c>
      <c r="M891" t="s">
        <v>4885</v>
      </c>
      <c r="N891" t="s">
        <v>646</v>
      </c>
      <c r="O891" t="s">
        <v>83</v>
      </c>
      <c r="P891" t="s">
        <v>4886</v>
      </c>
      <c r="Q891" t="s">
        <v>118</v>
      </c>
      <c r="R891" s="23" t="s">
        <v>227</v>
      </c>
      <c r="S891" s="23">
        <v>46174</v>
      </c>
      <c r="T891">
        <v>15.2</v>
      </c>
      <c r="U891">
        <v>19243</v>
      </c>
      <c r="V891">
        <v>839.94</v>
      </c>
      <c r="W891">
        <v>20082.939999999999</v>
      </c>
    </row>
    <row r="892" spans="1:23" hidden="1" x14ac:dyDescent="0.25">
      <c r="A892">
        <v>15741</v>
      </c>
      <c r="B892">
        <v>455551649</v>
      </c>
      <c r="C892" t="s">
        <v>4887</v>
      </c>
      <c r="D892" s="8" t="s">
        <v>4888</v>
      </c>
      <c r="E892" t="s">
        <v>644</v>
      </c>
      <c r="G892" t="s">
        <v>62</v>
      </c>
      <c r="H892" t="s">
        <v>63</v>
      </c>
      <c r="I892" t="s">
        <v>30</v>
      </c>
      <c r="J892" t="s">
        <v>64</v>
      </c>
      <c r="K892" t="s">
        <v>27</v>
      </c>
      <c r="L892" t="s">
        <v>65</v>
      </c>
      <c r="M892" t="s">
        <v>4889</v>
      </c>
      <c r="N892" t="s">
        <v>646</v>
      </c>
      <c r="O892" t="s">
        <v>83</v>
      </c>
      <c r="P892" t="s">
        <v>4890</v>
      </c>
      <c r="Q892" t="s">
        <v>59</v>
      </c>
      <c r="R892" s="23" t="s">
        <v>227</v>
      </c>
      <c r="S892" s="23">
        <v>46174</v>
      </c>
      <c r="T892">
        <v>20.82</v>
      </c>
      <c r="U892">
        <v>14970</v>
      </c>
      <c r="V892">
        <v>1559.94</v>
      </c>
      <c r="W892">
        <v>16529.939999999999</v>
      </c>
    </row>
    <row r="893" spans="1:23" hidden="1" x14ac:dyDescent="0.25">
      <c r="A893">
        <v>15741</v>
      </c>
      <c r="B893">
        <v>455551645</v>
      </c>
      <c r="C893" t="s">
        <v>4891</v>
      </c>
      <c r="D893" s="8" t="s">
        <v>4892</v>
      </c>
      <c r="E893" t="s">
        <v>644</v>
      </c>
      <c r="G893" t="s">
        <v>62</v>
      </c>
      <c r="H893" t="s">
        <v>63</v>
      </c>
      <c r="I893" t="s">
        <v>30</v>
      </c>
      <c r="J893" t="s">
        <v>64</v>
      </c>
      <c r="K893" t="s">
        <v>27</v>
      </c>
      <c r="L893" t="s">
        <v>65</v>
      </c>
      <c r="M893" t="s">
        <v>4893</v>
      </c>
      <c r="N893" t="s">
        <v>646</v>
      </c>
      <c r="O893" t="s">
        <v>83</v>
      </c>
      <c r="P893" t="s">
        <v>4894</v>
      </c>
      <c r="Q893" t="s">
        <v>181</v>
      </c>
      <c r="R893" s="23" t="s">
        <v>227</v>
      </c>
      <c r="S893" s="23">
        <v>46174</v>
      </c>
      <c r="T893">
        <v>11.07</v>
      </c>
      <c r="U893">
        <v>11273</v>
      </c>
      <c r="V893">
        <v>719.94</v>
      </c>
      <c r="W893">
        <v>11992.94</v>
      </c>
    </row>
    <row r="894" spans="1:23" hidden="1" x14ac:dyDescent="0.25">
      <c r="A894">
        <v>15741</v>
      </c>
      <c r="B894">
        <v>455551642</v>
      </c>
      <c r="C894" t="s">
        <v>4895</v>
      </c>
      <c r="D894" s="8" t="s">
        <v>4896</v>
      </c>
      <c r="E894" t="s">
        <v>644</v>
      </c>
      <c r="G894" t="s">
        <v>62</v>
      </c>
      <c r="H894" t="s">
        <v>63</v>
      </c>
      <c r="I894" t="s">
        <v>30</v>
      </c>
      <c r="J894" t="s">
        <v>64</v>
      </c>
      <c r="K894" t="s">
        <v>27</v>
      </c>
      <c r="L894" t="s">
        <v>65</v>
      </c>
      <c r="M894" t="s">
        <v>4897</v>
      </c>
      <c r="N894" t="s">
        <v>646</v>
      </c>
      <c r="O894" t="s">
        <v>83</v>
      </c>
      <c r="P894" t="s">
        <v>4898</v>
      </c>
      <c r="Q894" t="s">
        <v>105</v>
      </c>
      <c r="R894" s="23" t="s">
        <v>227</v>
      </c>
      <c r="S894" s="23">
        <v>46174</v>
      </c>
      <c r="T894">
        <v>11.78</v>
      </c>
      <c r="U894">
        <v>12046</v>
      </c>
      <c r="V894">
        <v>779.94</v>
      </c>
      <c r="W894">
        <v>12825.94</v>
      </c>
    </row>
    <row r="895" spans="1:23" hidden="1" x14ac:dyDescent="0.25">
      <c r="A895">
        <v>15741</v>
      </c>
      <c r="B895">
        <v>455551638</v>
      </c>
      <c r="C895" t="s">
        <v>4899</v>
      </c>
      <c r="D895" s="8" t="s">
        <v>4900</v>
      </c>
      <c r="E895" t="s">
        <v>644</v>
      </c>
      <c r="G895" t="s">
        <v>62</v>
      </c>
      <c r="H895" t="s">
        <v>63</v>
      </c>
      <c r="I895" t="s">
        <v>30</v>
      </c>
      <c r="J895" t="s">
        <v>64</v>
      </c>
      <c r="K895" t="s">
        <v>27</v>
      </c>
      <c r="L895" t="s">
        <v>65</v>
      </c>
      <c r="M895" t="s">
        <v>4901</v>
      </c>
      <c r="N895" t="s">
        <v>646</v>
      </c>
      <c r="O895" t="s">
        <v>83</v>
      </c>
      <c r="P895" t="s">
        <v>4902</v>
      </c>
      <c r="Q895" t="s">
        <v>45</v>
      </c>
      <c r="R895" s="23" t="s">
        <v>227</v>
      </c>
      <c r="S895" s="23">
        <v>46174</v>
      </c>
      <c r="T895">
        <v>12.91</v>
      </c>
      <c r="U895">
        <v>5943</v>
      </c>
      <c r="V895">
        <v>779.94</v>
      </c>
      <c r="W895">
        <v>6722.9400000000005</v>
      </c>
    </row>
    <row r="896" spans="1:23" hidden="1" x14ac:dyDescent="0.25">
      <c r="A896">
        <v>15741</v>
      </c>
      <c r="B896">
        <v>455551633</v>
      </c>
      <c r="C896" t="s">
        <v>4903</v>
      </c>
      <c r="D896" s="8" t="s">
        <v>4904</v>
      </c>
      <c r="E896" t="s">
        <v>644</v>
      </c>
      <c r="G896" t="s">
        <v>62</v>
      </c>
      <c r="H896" t="s">
        <v>63</v>
      </c>
      <c r="I896" t="s">
        <v>30</v>
      </c>
      <c r="J896" t="s">
        <v>64</v>
      </c>
      <c r="K896" t="s">
        <v>27</v>
      </c>
      <c r="L896" t="s">
        <v>65</v>
      </c>
      <c r="M896" t="s">
        <v>4905</v>
      </c>
      <c r="N896" t="s">
        <v>646</v>
      </c>
      <c r="O896" t="s">
        <v>83</v>
      </c>
      <c r="P896" t="s">
        <v>4906</v>
      </c>
      <c r="Q896" t="s">
        <v>111</v>
      </c>
      <c r="R896" s="23" t="s">
        <v>227</v>
      </c>
      <c r="S896" s="23">
        <v>46174</v>
      </c>
      <c r="T896">
        <v>11.62</v>
      </c>
      <c r="U896">
        <v>11161</v>
      </c>
      <c r="V896">
        <v>719.94</v>
      </c>
      <c r="W896">
        <v>11880.94</v>
      </c>
    </row>
    <row r="897" spans="1:23" hidden="1" x14ac:dyDescent="0.25">
      <c r="A897">
        <v>15741</v>
      </c>
      <c r="B897">
        <v>455551623</v>
      </c>
      <c r="C897" t="s">
        <v>4907</v>
      </c>
      <c r="D897" s="8" t="s">
        <v>4908</v>
      </c>
      <c r="E897" t="s">
        <v>644</v>
      </c>
      <c r="G897" t="s">
        <v>62</v>
      </c>
      <c r="H897" t="s">
        <v>63</v>
      </c>
      <c r="I897" t="s">
        <v>30</v>
      </c>
      <c r="J897" t="s">
        <v>64</v>
      </c>
      <c r="K897" t="s">
        <v>27</v>
      </c>
      <c r="L897" t="s">
        <v>65</v>
      </c>
      <c r="M897" t="s">
        <v>4909</v>
      </c>
      <c r="N897" t="s">
        <v>646</v>
      </c>
      <c r="O897" t="s">
        <v>83</v>
      </c>
      <c r="P897" t="s">
        <v>4910</v>
      </c>
      <c r="Q897" t="s">
        <v>116</v>
      </c>
      <c r="R897" s="23" t="s">
        <v>227</v>
      </c>
      <c r="S897" s="23">
        <v>46174</v>
      </c>
      <c r="T897">
        <v>11.35</v>
      </c>
      <c r="U897">
        <v>12046</v>
      </c>
      <c r="V897">
        <v>779.94</v>
      </c>
      <c r="W897">
        <v>12825.94</v>
      </c>
    </row>
    <row r="898" spans="1:23" hidden="1" x14ac:dyDescent="0.25">
      <c r="A898">
        <v>15741</v>
      </c>
      <c r="B898">
        <v>455551636</v>
      </c>
      <c r="C898" t="s">
        <v>4911</v>
      </c>
      <c r="D898" s="8" t="s">
        <v>4912</v>
      </c>
      <c r="E898" t="s">
        <v>644</v>
      </c>
      <c r="G898" t="s">
        <v>62</v>
      </c>
      <c r="H898" t="s">
        <v>63</v>
      </c>
      <c r="I898" t="s">
        <v>30</v>
      </c>
      <c r="J898" t="s">
        <v>64</v>
      </c>
      <c r="K898" t="s">
        <v>27</v>
      </c>
      <c r="L898" t="s">
        <v>65</v>
      </c>
      <c r="M898" t="s">
        <v>4913</v>
      </c>
      <c r="N898" t="s">
        <v>646</v>
      </c>
      <c r="O898" t="s">
        <v>83</v>
      </c>
      <c r="P898" t="s">
        <v>4914</v>
      </c>
      <c r="Q898" t="s">
        <v>362</v>
      </c>
      <c r="R898" s="23" t="s">
        <v>227</v>
      </c>
      <c r="S898" s="23">
        <v>46174</v>
      </c>
      <c r="T898">
        <v>11.45</v>
      </c>
      <c r="U898">
        <v>11161</v>
      </c>
      <c r="V898">
        <v>779.94</v>
      </c>
      <c r="W898">
        <v>11940.94</v>
      </c>
    </row>
    <row r="899" spans="1:23" hidden="1" x14ac:dyDescent="0.25">
      <c r="A899">
        <v>15741</v>
      </c>
      <c r="B899">
        <v>455551614</v>
      </c>
      <c r="C899" t="s">
        <v>4915</v>
      </c>
      <c r="D899" s="8" t="s">
        <v>4916</v>
      </c>
      <c r="E899" t="s">
        <v>644</v>
      </c>
      <c r="G899" t="s">
        <v>62</v>
      </c>
      <c r="H899" t="s">
        <v>63</v>
      </c>
      <c r="I899" t="s">
        <v>30</v>
      </c>
      <c r="J899" t="s">
        <v>64</v>
      </c>
      <c r="K899" t="s">
        <v>27</v>
      </c>
      <c r="L899" t="s">
        <v>65</v>
      </c>
      <c r="M899" t="s">
        <v>4917</v>
      </c>
      <c r="N899" t="s">
        <v>646</v>
      </c>
      <c r="O899" t="s">
        <v>83</v>
      </c>
      <c r="P899" t="s">
        <v>4918</v>
      </c>
      <c r="Q899" t="s">
        <v>52</v>
      </c>
      <c r="R899" s="23" t="s">
        <v>227</v>
      </c>
      <c r="S899" s="23">
        <v>46174</v>
      </c>
      <c r="T899">
        <v>11.09</v>
      </c>
      <c r="U899">
        <v>5943</v>
      </c>
      <c r="V899">
        <v>719.94</v>
      </c>
      <c r="W899">
        <v>6662.9400000000005</v>
      </c>
    </row>
    <row r="900" spans="1:23" hidden="1" x14ac:dyDescent="0.25">
      <c r="A900">
        <v>15741</v>
      </c>
      <c r="B900">
        <v>455551611</v>
      </c>
      <c r="C900" t="s">
        <v>4919</v>
      </c>
      <c r="D900" s="8" t="s">
        <v>4920</v>
      </c>
      <c r="E900" t="s">
        <v>644</v>
      </c>
      <c r="G900" t="s">
        <v>62</v>
      </c>
      <c r="H900" t="s">
        <v>63</v>
      </c>
      <c r="I900" t="s">
        <v>30</v>
      </c>
      <c r="J900" t="s">
        <v>64</v>
      </c>
      <c r="K900" t="s">
        <v>27</v>
      </c>
      <c r="L900" t="s">
        <v>65</v>
      </c>
      <c r="M900" t="s">
        <v>4921</v>
      </c>
      <c r="N900" t="s">
        <v>646</v>
      </c>
      <c r="O900" t="s">
        <v>83</v>
      </c>
      <c r="P900" t="s">
        <v>4922</v>
      </c>
      <c r="Q900" t="s">
        <v>72</v>
      </c>
      <c r="R900" s="23" t="s">
        <v>227</v>
      </c>
      <c r="S900" s="23">
        <v>46174</v>
      </c>
      <c r="T900">
        <v>11.58</v>
      </c>
      <c r="U900">
        <v>12420</v>
      </c>
      <c r="V900">
        <v>719.94</v>
      </c>
      <c r="W900">
        <v>13139.94</v>
      </c>
    </row>
    <row r="901" spans="1:23" hidden="1" x14ac:dyDescent="0.25">
      <c r="A901">
        <v>15741</v>
      </c>
      <c r="B901">
        <v>455551605</v>
      </c>
      <c r="C901" t="s">
        <v>4923</v>
      </c>
      <c r="D901" s="8" t="s">
        <v>4924</v>
      </c>
      <c r="E901" t="s">
        <v>644</v>
      </c>
      <c r="G901" t="s">
        <v>62</v>
      </c>
      <c r="H901" t="s">
        <v>63</v>
      </c>
      <c r="I901" t="s">
        <v>30</v>
      </c>
      <c r="J901" t="s">
        <v>64</v>
      </c>
      <c r="K901" t="s">
        <v>27</v>
      </c>
      <c r="L901" t="s">
        <v>65</v>
      </c>
      <c r="M901" t="s">
        <v>4925</v>
      </c>
      <c r="N901" t="s">
        <v>646</v>
      </c>
      <c r="O901" t="s">
        <v>83</v>
      </c>
      <c r="P901" t="s">
        <v>4926</v>
      </c>
      <c r="Q901" t="s">
        <v>105</v>
      </c>
      <c r="R901" s="23" t="s">
        <v>227</v>
      </c>
      <c r="S901" s="23">
        <v>46174</v>
      </c>
      <c r="T901">
        <v>11.49</v>
      </c>
      <c r="U901">
        <v>12046</v>
      </c>
      <c r="V901">
        <v>719.94</v>
      </c>
      <c r="W901">
        <v>12765.94</v>
      </c>
    </row>
    <row r="902" spans="1:23" hidden="1" x14ac:dyDescent="0.25">
      <c r="A902">
        <v>15741</v>
      </c>
      <c r="B902">
        <v>455551598</v>
      </c>
      <c r="C902" t="s">
        <v>4927</v>
      </c>
      <c r="D902" s="8" t="s">
        <v>4928</v>
      </c>
      <c r="E902" t="s">
        <v>644</v>
      </c>
      <c r="G902" t="s">
        <v>62</v>
      </c>
      <c r="H902" t="s">
        <v>63</v>
      </c>
      <c r="I902" t="s">
        <v>30</v>
      </c>
      <c r="J902" t="s">
        <v>64</v>
      </c>
      <c r="K902" t="s">
        <v>27</v>
      </c>
      <c r="L902" t="s">
        <v>65</v>
      </c>
      <c r="M902" t="s">
        <v>4929</v>
      </c>
      <c r="N902" t="s">
        <v>646</v>
      </c>
      <c r="O902" t="s">
        <v>83</v>
      </c>
      <c r="P902" t="s">
        <v>4930</v>
      </c>
      <c r="Q902" t="s">
        <v>190</v>
      </c>
      <c r="R902" s="23" t="s">
        <v>227</v>
      </c>
      <c r="S902" s="23">
        <v>46174</v>
      </c>
      <c r="T902">
        <v>16.68</v>
      </c>
      <c r="U902">
        <v>12817</v>
      </c>
      <c r="V902">
        <v>839.94</v>
      </c>
      <c r="W902">
        <v>13656.94</v>
      </c>
    </row>
    <row r="903" spans="1:23" hidden="1" x14ac:dyDescent="0.25">
      <c r="A903">
        <v>15741</v>
      </c>
      <c r="B903">
        <v>455551592</v>
      </c>
      <c r="C903" t="s">
        <v>4931</v>
      </c>
      <c r="D903" s="8" t="s">
        <v>4932</v>
      </c>
      <c r="E903" t="s">
        <v>644</v>
      </c>
      <c r="G903" t="s">
        <v>62</v>
      </c>
      <c r="H903" t="s">
        <v>63</v>
      </c>
      <c r="I903" t="s">
        <v>30</v>
      </c>
      <c r="J903" t="s">
        <v>64</v>
      </c>
      <c r="K903" t="s">
        <v>27</v>
      </c>
      <c r="L903" t="s">
        <v>65</v>
      </c>
      <c r="M903" t="s">
        <v>4933</v>
      </c>
      <c r="N903" t="s">
        <v>646</v>
      </c>
      <c r="O903" t="s">
        <v>83</v>
      </c>
      <c r="P903" t="s">
        <v>4934</v>
      </c>
      <c r="Q903" t="s">
        <v>57</v>
      </c>
      <c r="R903" s="23" t="s">
        <v>227</v>
      </c>
      <c r="S903" s="23">
        <v>46174</v>
      </c>
      <c r="T903">
        <v>7.02</v>
      </c>
      <c r="U903">
        <v>9209</v>
      </c>
      <c r="V903">
        <v>0</v>
      </c>
      <c r="W903">
        <v>9209</v>
      </c>
    </row>
    <row r="904" spans="1:23" hidden="1" x14ac:dyDescent="0.25">
      <c r="A904">
        <v>15741</v>
      </c>
      <c r="B904">
        <v>455551652</v>
      </c>
      <c r="C904" t="s">
        <v>4935</v>
      </c>
      <c r="D904" s="8" t="s">
        <v>4936</v>
      </c>
      <c r="E904" t="s">
        <v>644</v>
      </c>
      <c r="G904" t="s">
        <v>62</v>
      </c>
      <c r="H904" t="s">
        <v>63</v>
      </c>
      <c r="I904" t="s">
        <v>30</v>
      </c>
      <c r="J904" t="s">
        <v>64</v>
      </c>
      <c r="K904" t="s">
        <v>27</v>
      </c>
      <c r="L904" t="s">
        <v>65</v>
      </c>
      <c r="M904" t="s">
        <v>4937</v>
      </c>
      <c r="N904" t="s">
        <v>646</v>
      </c>
      <c r="O904" t="s">
        <v>83</v>
      </c>
      <c r="P904" t="s">
        <v>4938</v>
      </c>
      <c r="Q904" t="s">
        <v>57</v>
      </c>
      <c r="R904" s="23" t="s">
        <v>227</v>
      </c>
      <c r="S904" s="23">
        <v>46174</v>
      </c>
      <c r="T904">
        <v>6.64</v>
      </c>
      <c r="U904">
        <v>9209</v>
      </c>
      <c r="V904">
        <v>0</v>
      </c>
      <c r="W904">
        <v>9209</v>
      </c>
    </row>
    <row r="905" spans="1:23" hidden="1" x14ac:dyDescent="0.25">
      <c r="A905">
        <v>15741</v>
      </c>
      <c r="B905">
        <v>455543299</v>
      </c>
      <c r="C905" t="s">
        <v>4939</v>
      </c>
      <c r="D905" s="8" t="s">
        <v>4940</v>
      </c>
      <c r="E905" t="s">
        <v>644</v>
      </c>
      <c r="G905" t="s">
        <v>62</v>
      </c>
      <c r="H905" t="s">
        <v>63</v>
      </c>
      <c r="I905" t="s">
        <v>30</v>
      </c>
      <c r="J905" t="s">
        <v>64</v>
      </c>
      <c r="K905" t="s">
        <v>27</v>
      </c>
      <c r="L905" t="s">
        <v>65</v>
      </c>
      <c r="M905" t="s">
        <v>4941</v>
      </c>
      <c r="N905" t="s">
        <v>646</v>
      </c>
      <c r="O905" t="s">
        <v>83</v>
      </c>
      <c r="P905" t="s">
        <v>4942</v>
      </c>
      <c r="Q905" t="s">
        <v>43</v>
      </c>
      <c r="R905" s="23" t="s">
        <v>251</v>
      </c>
      <c r="S905" s="23">
        <v>46174</v>
      </c>
      <c r="T905">
        <v>9.14</v>
      </c>
      <c r="U905">
        <v>5465</v>
      </c>
      <c r="V905">
        <v>0</v>
      </c>
      <c r="W905">
        <v>5465</v>
      </c>
    </row>
    <row r="906" spans="1:23" hidden="1" x14ac:dyDescent="0.25">
      <c r="A906">
        <v>15741</v>
      </c>
      <c r="B906">
        <v>455551589</v>
      </c>
      <c r="C906" t="s">
        <v>4943</v>
      </c>
      <c r="D906" s="8" t="s">
        <v>4944</v>
      </c>
      <c r="E906" t="s">
        <v>644</v>
      </c>
      <c r="G906" t="s">
        <v>62</v>
      </c>
      <c r="H906" t="s">
        <v>63</v>
      </c>
      <c r="I906" t="s">
        <v>30</v>
      </c>
      <c r="J906" t="s">
        <v>64</v>
      </c>
      <c r="K906" t="s">
        <v>27</v>
      </c>
      <c r="L906" t="s">
        <v>65</v>
      </c>
      <c r="M906" t="s">
        <v>4945</v>
      </c>
      <c r="N906" t="s">
        <v>646</v>
      </c>
      <c r="O906" t="s">
        <v>83</v>
      </c>
      <c r="P906" t="s">
        <v>4946</v>
      </c>
      <c r="Q906" t="s">
        <v>102</v>
      </c>
      <c r="R906" s="23" t="s">
        <v>227</v>
      </c>
      <c r="S906" s="23">
        <v>46174</v>
      </c>
      <c r="T906">
        <v>15.53</v>
      </c>
      <c r="U906">
        <v>5943</v>
      </c>
      <c r="V906">
        <v>839.94</v>
      </c>
      <c r="W906">
        <v>6782.9400000000005</v>
      </c>
    </row>
    <row r="907" spans="1:23" hidden="1" x14ac:dyDescent="0.25">
      <c r="A907">
        <v>15741</v>
      </c>
      <c r="B907">
        <v>455551584</v>
      </c>
      <c r="C907" t="s">
        <v>4947</v>
      </c>
      <c r="D907" s="8" t="s">
        <v>4948</v>
      </c>
      <c r="E907" t="s">
        <v>644</v>
      </c>
      <c r="G907" t="s">
        <v>62</v>
      </c>
      <c r="H907" t="s">
        <v>63</v>
      </c>
      <c r="I907" t="s">
        <v>30</v>
      </c>
      <c r="J907" t="s">
        <v>64</v>
      </c>
      <c r="K907" t="s">
        <v>196</v>
      </c>
      <c r="L907" t="s">
        <v>4949</v>
      </c>
      <c r="M907" t="s">
        <v>4950</v>
      </c>
      <c r="N907" t="s">
        <v>646</v>
      </c>
      <c r="O907" t="s">
        <v>83</v>
      </c>
      <c r="P907" t="s">
        <v>4951</v>
      </c>
      <c r="Q907" t="s">
        <v>47</v>
      </c>
      <c r="R907" s="23" t="s">
        <v>227</v>
      </c>
      <c r="S907" s="23">
        <v>46174</v>
      </c>
      <c r="T907">
        <v>131.22</v>
      </c>
      <c r="U907">
        <v>53550</v>
      </c>
      <c r="V907">
        <v>3479.64</v>
      </c>
      <c r="W907">
        <v>57029.64</v>
      </c>
    </row>
    <row r="908" spans="1:23" hidden="1" x14ac:dyDescent="0.25">
      <c r="A908">
        <v>15741</v>
      </c>
      <c r="B908">
        <v>455551573</v>
      </c>
      <c r="C908" t="s">
        <v>4952</v>
      </c>
      <c r="D908" s="8" t="s">
        <v>4953</v>
      </c>
      <c r="E908" t="s">
        <v>644</v>
      </c>
      <c r="G908" t="s">
        <v>62</v>
      </c>
      <c r="H908" t="s">
        <v>63</v>
      </c>
      <c r="I908" t="s">
        <v>30</v>
      </c>
      <c r="J908" t="s">
        <v>64</v>
      </c>
      <c r="K908" t="s">
        <v>27</v>
      </c>
      <c r="L908" t="s">
        <v>65</v>
      </c>
      <c r="M908" t="s">
        <v>4954</v>
      </c>
      <c r="N908" t="s">
        <v>646</v>
      </c>
      <c r="O908" t="s">
        <v>83</v>
      </c>
      <c r="P908" t="s">
        <v>4955</v>
      </c>
      <c r="Q908" t="s">
        <v>152</v>
      </c>
      <c r="R908" s="23" t="s">
        <v>227</v>
      </c>
      <c r="S908" s="23">
        <v>46174</v>
      </c>
      <c r="T908">
        <v>29.85</v>
      </c>
      <c r="U908">
        <v>36242</v>
      </c>
      <c r="V908">
        <v>1259.94</v>
      </c>
      <c r="W908">
        <v>37501.94</v>
      </c>
    </row>
    <row r="909" spans="1:23" hidden="1" x14ac:dyDescent="0.25">
      <c r="A909">
        <v>15741</v>
      </c>
      <c r="B909">
        <v>455551569</v>
      </c>
      <c r="C909" t="s">
        <v>4956</v>
      </c>
      <c r="D909" s="8" t="s">
        <v>4957</v>
      </c>
      <c r="E909" t="s">
        <v>644</v>
      </c>
      <c r="G909" t="s">
        <v>62</v>
      </c>
      <c r="H909" t="s">
        <v>63</v>
      </c>
      <c r="I909" t="s">
        <v>30</v>
      </c>
      <c r="J909" t="s">
        <v>64</v>
      </c>
      <c r="K909" t="s">
        <v>27</v>
      </c>
      <c r="L909" t="s">
        <v>215</v>
      </c>
      <c r="M909" t="s">
        <v>4958</v>
      </c>
      <c r="N909" t="s">
        <v>646</v>
      </c>
      <c r="O909" t="s">
        <v>83</v>
      </c>
      <c r="P909" t="s">
        <v>4959</v>
      </c>
      <c r="Q909" t="s">
        <v>50</v>
      </c>
      <c r="R909" s="23" t="s">
        <v>227</v>
      </c>
      <c r="S909" s="23">
        <v>46174</v>
      </c>
      <c r="T909">
        <v>86.07</v>
      </c>
      <c r="U909">
        <v>37130</v>
      </c>
      <c r="V909">
        <v>1559.88</v>
      </c>
      <c r="W909">
        <v>38689.879999999997</v>
      </c>
    </row>
    <row r="910" spans="1:23" hidden="1" x14ac:dyDescent="0.25">
      <c r="A910">
        <v>15741</v>
      </c>
      <c r="B910">
        <v>455551561</v>
      </c>
      <c r="C910" t="s">
        <v>4960</v>
      </c>
      <c r="D910" s="8" t="s">
        <v>4961</v>
      </c>
      <c r="E910" t="s">
        <v>644</v>
      </c>
      <c r="G910" t="s">
        <v>62</v>
      </c>
      <c r="H910" t="s">
        <v>63</v>
      </c>
      <c r="I910" t="s">
        <v>30</v>
      </c>
      <c r="J910" t="s">
        <v>64</v>
      </c>
      <c r="K910" t="s">
        <v>27</v>
      </c>
      <c r="L910" t="s">
        <v>65</v>
      </c>
      <c r="M910" t="s">
        <v>4962</v>
      </c>
      <c r="N910" t="s">
        <v>646</v>
      </c>
      <c r="O910" t="s">
        <v>83</v>
      </c>
      <c r="P910" t="s">
        <v>4963</v>
      </c>
      <c r="Q910" t="s">
        <v>86</v>
      </c>
      <c r="R910" s="23" t="s">
        <v>227</v>
      </c>
      <c r="S910" s="23">
        <v>46174</v>
      </c>
      <c r="T910">
        <v>15.56</v>
      </c>
      <c r="U910">
        <v>5943</v>
      </c>
      <c r="V910">
        <v>959.94</v>
      </c>
      <c r="W910">
        <v>6902.9400000000005</v>
      </c>
    </row>
    <row r="911" spans="1:23" hidden="1" x14ac:dyDescent="0.25">
      <c r="A911">
        <v>15741</v>
      </c>
      <c r="B911">
        <v>455551562</v>
      </c>
      <c r="C911" t="s">
        <v>4964</v>
      </c>
      <c r="D911" s="8" t="s">
        <v>4965</v>
      </c>
      <c r="E911" t="s">
        <v>644</v>
      </c>
      <c r="G911" t="s">
        <v>62</v>
      </c>
      <c r="H911" t="s">
        <v>63</v>
      </c>
      <c r="I911" t="s">
        <v>30</v>
      </c>
      <c r="J911" t="s">
        <v>64</v>
      </c>
      <c r="K911" t="s">
        <v>27</v>
      </c>
      <c r="L911" t="s">
        <v>65</v>
      </c>
      <c r="M911" t="s">
        <v>4966</v>
      </c>
      <c r="N911" t="s">
        <v>646</v>
      </c>
      <c r="O911" t="s">
        <v>83</v>
      </c>
      <c r="P911" t="s">
        <v>4967</v>
      </c>
      <c r="Q911" t="s">
        <v>189</v>
      </c>
      <c r="R911" s="23" t="s">
        <v>227</v>
      </c>
      <c r="S911" s="23">
        <v>46174</v>
      </c>
      <c r="T911">
        <v>20.2</v>
      </c>
      <c r="U911">
        <v>13116</v>
      </c>
      <c r="V911">
        <v>1619.94</v>
      </c>
      <c r="W911">
        <v>14735.94</v>
      </c>
    </row>
    <row r="912" spans="1:23" hidden="1" x14ac:dyDescent="0.25">
      <c r="A912">
        <v>15741</v>
      </c>
      <c r="B912">
        <v>455551551</v>
      </c>
      <c r="C912" t="s">
        <v>4968</v>
      </c>
      <c r="D912" s="8" t="s">
        <v>4969</v>
      </c>
      <c r="E912" t="s">
        <v>644</v>
      </c>
      <c r="G912" t="s">
        <v>62</v>
      </c>
      <c r="H912" t="s">
        <v>63</v>
      </c>
      <c r="I912" t="s">
        <v>30</v>
      </c>
      <c r="J912" t="s">
        <v>64</v>
      </c>
      <c r="K912" t="s">
        <v>27</v>
      </c>
      <c r="L912" t="s">
        <v>65</v>
      </c>
      <c r="M912" t="s">
        <v>4970</v>
      </c>
      <c r="N912" t="s">
        <v>646</v>
      </c>
      <c r="O912" t="s">
        <v>83</v>
      </c>
      <c r="P912" t="s">
        <v>4971</v>
      </c>
      <c r="Q912" t="s">
        <v>93</v>
      </c>
      <c r="R912" s="23" t="s">
        <v>227</v>
      </c>
      <c r="S912" s="23">
        <v>46174</v>
      </c>
      <c r="T912">
        <v>11.12</v>
      </c>
      <c r="U912">
        <v>10408</v>
      </c>
      <c r="V912">
        <v>959.94</v>
      </c>
      <c r="W912">
        <v>11367.94</v>
      </c>
    </row>
    <row r="913" spans="1:23" hidden="1" x14ac:dyDescent="0.25">
      <c r="A913">
        <v>15741</v>
      </c>
      <c r="B913">
        <v>455551545</v>
      </c>
      <c r="C913" t="s">
        <v>4972</v>
      </c>
      <c r="D913" s="8" t="s">
        <v>4973</v>
      </c>
      <c r="E913" t="s">
        <v>644</v>
      </c>
      <c r="G913" t="s">
        <v>62</v>
      </c>
      <c r="H913" t="s">
        <v>63</v>
      </c>
      <c r="I913" t="s">
        <v>30</v>
      </c>
      <c r="J913" t="s">
        <v>64</v>
      </c>
      <c r="K913" t="s">
        <v>27</v>
      </c>
      <c r="L913" t="s">
        <v>65</v>
      </c>
      <c r="M913" t="s">
        <v>4974</v>
      </c>
      <c r="N913" t="s">
        <v>646</v>
      </c>
      <c r="O913" t="s">
        <v>83</v>
      </c>
      <c r="P913" t="s">
        <v>4975</v>
      </c>
      <c r="Q913" t="s">
        <v>68</v>
      </c>
      <c r="R913" s="23" t="s">
        <v>227</v>
      </c>
      <c r="S913" s="23">
        <v>46174</v>
      </c>
      <c r="T913">
        <v>15.93</v>
      </c>
      <c r="U913">
        <v>5943</v>
      </c>
      <c r="V913">
        <v>899.94</v>
      </c>
      <c r="W913">
        <v>6842.9400000000005</v>
      </c>
    </row>
    <row r="914" spans="1:23" hidden="1" x14ac:dyDescent="0.25">
      <c r="A914">
        <v>15741</v>
      </c>
      <c r="B914">
        <v>455509126</v>
      </c>
      <c r="C914" t="s">
        <v>4976</v>
      </c>
      <c r="D914" s="8" t="s">
        <v>4977</v>
      </c>
      <c r="E914" t="s">
        <v>644</v>
      </c>
      <c r="G914" t="s">
        <v>62</v>
      </c>
      <c r="H914" t="s">
        <v>63</v>
      </c>
      <c r="I914" t="s">
        <v>30</v>
      </c>
      <c r="J914" t="s">
        <v>64</v>
      </c>
      <c r="K914" t="s">
        <v>196</v>
      </c>
      <c r="L914" t="s">
        <v>217</v>
      </c>
      <c r="M914" t="s">
        <v>4978</v>
      </c>
      <c r="N914" t="s">
        <v>646</v>
      </c>
      <c r="O914" t="s">
        <v>83</v>
      </c>
      <c r="P914" t="s">
        <v>4979</v>
      </c>
      <c r="Q914" t="s">
        <v>109</v>
      </c>
      <c r="R914" s="23" t="s">
        <v>4980</v>
      </c>
      <c r="S914" s="23">
        <v>46173</v>
      </c>
      <c r="T914">
        <v>24.97</v>
      </c>
      <c r="U914">
        <v>19812</v>
      </c>
      <c r="V914">
        <v>539.88</v>
      </c>
      <c r="W914">
        <v>20351.88</v>
      </c>
    </row>
    <row r="915" spans="1:23" hidden="1" x14ac:dyDescent="0.25">
      <c r="A915">
        <v>15741</v>
      </c>
      <c r="B915">
        <v>455550120</v>
      </c>
      <c r="C915" t="s">
        <v>4981</v>
      </c>
      <c r="D915" s="8" t="s">
        <v>4982</v>
      </c>
      <c r="E915" t="s">
        <v>644</v>
      </c>
      <c r="G915" t="s">
        <v>62</v>
      </c>
      <c r="H915" t="s">
        <v>63</v>
      </c>
      <c r="I915" t="s">
        <v>30</v>
      </c>
      <c r="J915" t="s">
        <v>64</v>
      </c>
      <c r="K915" t="s">
        <v>27</v>
      </c>
      <c r="L915" t="s">
        <v>65</v>
      </c>
      <c r="M915" t="s">
        <v>4983</v>
      </c>
      <c r="N915" t="s">
        <v>646</v>
      </c>
      <c r="O915" t="s">
        <v>83</v>
      </c>
      <c r="P915" t="s">
        <v>4984</v>
      </c>
      <c r="Q915" t="s">
        <v>109</v>
      </c>
      <c r="R915" s="23" t="s">
        <v>294</v>
      </c>
      <c r="S915" s="23">
        <v>46174</v>
      </c>
      <c r="T915">
        <v>27</v>
      </c>
      <c r="U915">
        <v>21367</v>
      </c>
      <c r="V915">
        <v>1319.94</v>
      </c>
      <c r="W915">
        <v>22686.94</v>
      </c>
    </row>
    <row r="916" spans="1:23" hidden="1" x14ac:dyDescent="0.25">
      <c r="A916">
        <v>15741</v>
      </c>
      <c r="B916">
        <v>455550118</v>
      </c>
      <c r="C916" t="s">
        <v>4985</v>
      </c>
      <c r="D916" s="8" t="s">
        <v>4986</v>
      </c>
      <c r="E916" t="s">
        <v>644</v>
      </c>
      <c r="G916" t="s">
        <v>62</v>
      </c>
      <c r="H916" t="s">
        <v>63</v>
      </c>
      <c r="I916" t="s">
        <v>30</v>
      </c>
      <c r="J916" t="s">
        <v>64</v>
      </c>
      <c r="K916" t="s">
        <v>27</v>
      </c>
      <c r="L916" t="s">
        <v>65</v>
      </c>
      <c r="M916" t="s">
        <v>4987</v>
      </c>
      <c r="N916" t="s">
        <v>646</v>
      </c>
      <c r="O916" t="s">
        <v>83</v>
      </c>
      <c r="P916" t="s">
        <v>4988</v>
      </c>
      <c r="Q916" t="s">
        <v>48</v>
      </c>
      <c r="R916" s="23" t="s">
        <v>294</v>
      </c>
      <c r="S916" s="23">
        <v>46174</v>
      </c>
      <c r="T916">
        <v>6.41</v>
      </c>
      <c r="U916">
        <v>5465</v>
      </c>
      <c r="V916">
        <v>0</v>
      </c>
      <c r="W916">
        <v>5465</v>
      </c>
    </row>
    <row r="917" spans="1:23" hidden="1" x14ac:dyDescent="0.25">
      <c r="A917">
        <v>15741</v>
      </c>
      <c r="B917">
        <v>455550116</v>
      </c>
      <c r="C917" t="s">
        <v>4989</v>
      </c>
      <c r="D917" s="8" t="s">
        <v>4990</v>
      </c>
      <c r="E917" t="s">
        <v>644</v>
      </c>
      <c r="G917" t="s">
        <v>62</v>
      </c>
      <c r="H917" t="s">
        <v>63</v>
      </c>
      <c r="I917" t="s">
        <v>30</v>
      </c>
      <c r="J917" t="s">
        <v>64</v>
      </c>
      <c r="K917" t="s">
        <v>27</v>
      </c>
      <c r="L917" t="s">
        <v>65</v>
      </c>
      <c r="M917" t="s">
        <v>4991</v>
      </c>
      <c r="N917" t="s">
        <v>646</v>
      </c>
      <c r="O917" t="s">
        <v>83</v>
      </c>
      <c r="P917" t="s">
        <v>4992</v>
      </c>
      <c r="Q917" t="s">
        <v>101</v>
      </c>
      <c r="R917" s="23" t="s">
        <v>294</v>
      </c>
      <c r="S917" s="23">
        <v>46174</v>
      </c>
      <c r="T917">
        <v>6.28</v>
      </c>
      <c r="U917">
        <v>10346</v>
      </c>
      <c r="V917">
        <v>0</v>
      </c>
      <c r="W917">
        <v>10346</v>
      </c>
    </row>
    <row r="918" spans="1:23" hidden="1" x14ac:dyDescent="0.25">
      <c r="A918">
        <v>15741</v>
      </c>
      <c r="B918">
        <v>455550112</v>
      </c>
      <c r="C918" t="s">
        <v>4993</v>
      </c>
      <c r="D918" s="8" t="s">
        <v>4994</v>
      </c>
      <c r="E918" t="s">
        <v>644</v>
      </c>
      <c r="G918" t="s">
        <v>62</v>
      </c>
      <c r="H918" t="s">
        <v>63</v>
      </c>
      <c r="I918" t="s">
        <v>30</v>
      </c>
      <c r="J918" t="s">
        <v>64</v>
      </c>
      <c r="K918" t="s">
        <v>27</v>
      </c>
      <c r="L918" t="s">
        <v>65</v>
      </c>
      <c r="M918" t="s">
        <v>4995</v>
      </c>
      <c r="N918" t="s">
        <v>646</v>
      </c>
      <c r="O918" t="s">
        <v>83</v>
      </c>
      <c r="P918" t="s">
        <v>4996</v>
      </c>
      <c r="Q918" t="s">
        <v>106</v>
      </c>
      <c r="R918" s="23" t="s">
        <v>294</v>
      </c>
      <c r="S918" s="23">
        <v>46174</v>
      </c>
      <c r="T918">
        <v>6.89</v>
      </c>
      <c r="U918">
        <v>5465</v>
      </c>
      <c r="V918">
        <v>0</v>
      </c>
      <c r="W918">
        <v>5465</v>
      </c>
    </row>
    <row r="919" spans="1:23" hidden="1" x14ac:dyDescent="0.25">
      <c r="A919">
        <v>15741</v>
      </c>
      <c r="B919">
        <v>455550107</v>
      </c>
      <c r="C919" t="s">
        <v>4997</v>
      </c>
      <c r="D919" s="8" t="s">
        <v>4998</v>
      </c>
      <c r="E919" t="s">
        <v>644</v>
      </c>
      <c r="G919" t="s">
        <v>62</v>
      </c>
      <c r="H919" t="s">
        <v>63</v>
      </c>
      <c r="I919" t="s">
        <v>30</v>
      </c>
      <c r="J919" t="s">
        <v>64</v>
      </c>
      <c r="K919" t="s">
        <v>27</v>
      </c>
      <c r="L919" t="s">
        <v>215</v>
      </c>
      <c r="M919" t="s">
        <v>4999</v>
      </c>
      <c r="N919" t="s">
        <v>646</v>
      </c>
      <c r="O919" t="s">
        <v>83</v>
      </c>
      <c r="P919" t="s">
        <v>5000</v>
      </c>
      <c r="Q919" t="s">
        <v>90</v>
      </c>
      <c r="R919" s="23" t="s">
        <v>294</v>
      </c>
      <c r="S919" s="23">
        <v>46174</v>
      </c>
      <c r="T919">
        <v>39.32</v>
      </c>
      <c r="U919">
        <v>30383</v>
      </c>
      <c r="V919">
        <v>1919.88</v>
      </c>
      <c r="W919">
        <v>32302.880000000001</v>
      </c>
    </row>
    <row r="920" spans="1:23" hidden="1" x14ac:dyDescent="0.25">
      <c r="A920">
        <v>15741</v>
      </c>
      <c r="B920">
        <v>455550101</v>
      </c>
      <c r="C920" t="s">
        <v>5001</v>
      </c>
      <c r="D920" s="8" t="s">
        <v>5002</v>
      </c>
      <c r="E920" t="s">
        <v>644</v>
      </c>
      <c r="G920" t="s">
        <v>62</v>
      </c>
      <c r="H920" t="s">
        <v>63</v>
      </c>
      <c r="I920" t="s">
        <v>30</v>
      </c>
      <c r="J920" t="s">
        <v>64</v>
      </c>
      <c r="K920" t="s">
        <v>27</v>
      </c>
      <c r="L920" t="s">
        <v>65</v>
      </c>
      <c r="M920" t="s">
        <v>5003</v>
      </c>
      <c r="N920" t="s">
        <v>646</v>
      </c>
      <c r="O920" t="s">
        <v>83</v>
      </c>
      <c r="P920" t="s">
        <v>5004</v>
      </c>
      <c r="Q920" t="s">
        <v>57</v>
      </c>
      <c r="R920" s="23" t="s">
        <v>294</v>
      </c>
      <c r="S920" s="23">
        <v>46174</v>
      </c>
      <c r="T920">
        <v>11.63</v>
      </c>
      <c r="U920">
        <v>10408</v>
      </c>
      <c r="V920">
        <v>599.94000000000005</v>
      </c>
      <c r="W920">
        <v>11007.94</v>
      </c>
    </row>
    <row r="921" spans="1:23" hidden="1" x14ac:dyDescent="0.25">
      <c r="A921">
        <v>15741</v>
      </c>
      <c r="B921">
        <v>455550099</v>
      </c>
      <c r="C921" t="s">
        <v>5005</v>
      </c>
      <c r="D921" s="8" t="s">
        <v>5006</v>
      </c>
      <c r="E921" t="s">
        <v>644</v>
      </c>
      <c r="G921" t="s">
        <v>62</v>
      </c>
      <c r="H921" t="s">
        <v>63</v>
      </c>
      <c r="I921" t="s">
        <v>30</v>
      </c>
      <c r="J921" t="s">
        <v>64</v>
      </c>
      <c r="K921" t="s">
        <v>27</v>
      </c>
      <c r="L921" t="s">
        <v>65</v>
      </c>
      <c r="M921" t="s">
        <v>5007</v>
      </c>
      <c r="N921" t="s">
        <v>646</v>
      </c>
      <c r="O921" t="s">
        <v>83</v>
      </c>
      <c r="P921" t="s">
        <v>5008</v>
      </c>
      <c r="Q921" t="s">
        <v>50</v>
      </c>
      <c r="R921" s="23" t="s">
        <v>294</v>
      </c>
      <c r="S921" s="23">
        <v>46174</v>
      </c>
      <c r="T921">
        <v>11.03</v>
      </c>
      <c r="U921">
        <v>5943</v>
      </c>
      <c r="V921">
        <v>959.94</v>
      </c>
      <c r="W921">
        <v>6902.9400000000005</v>
      </c>
    </row>
    <row r="922" spans="1:23" hidden="1" x14ac:dyDescent="0.25">
      <c r="A922">
        <v>15741</v>
      </c>
      <c r="B922">
        <v>455550095</v>
      </c>
      <c r="C922" t="s">
        <v>5009</v>
      </c>
      <c r="D922" s="8" t="s">
        <v>5010</v>
      </c>
      <c r="E922" t="s">
        <v>644</v>
      </c>
      <c r="G922" t="s">
        <v>62</v>
      </c>
      <c r="H922" t="s">
        <v>63</v>
      </c>
      <c r="I922" t="s">
        <v>30</v>
      </c>
      <c r="J922" t="s">
        <v>64</v>
      </c>
      <c r="K922" t="s">
        <v>27</v>
      </c>
      <c r="L922" t="s">
        <v>65</v>
      </c>
      <c r="M922" t="s">
        <v>5011</v>
      </c>
      <c r="N922" t="s">
        <v>646</v>
      </c>
      <c r="O922" t="s">
        <v>83</v>
      </c>
      <c r="P922" t="s">
        <v>5012</v>
      </c>
      <c r="Q922" t="s">
        <v>45</v>
      </c>
      <c r="R922" s="23" t="s">
        <v>294</v>
      </c>
      <c r="S922" s="23">
        <v>46174</v>
      </c>
      <c r="T922">
        <v>73.78</v>
      </c>
      <c r="U922">
        <v>31814</v>
      </c>
      <c r="V922">
        <v>1379.94</v>
      </c>
      <c r="W922">
        <v>33193.94</v>
      </c>
    </row>
    <row r="923" spans="1:23" hidden="1" x14ac:dyDescent="0.25">
      <c r="A923">
        <v>15741</v>
      </c>
      <c r="B923">
        <v>455550094</v>
      </c>
      <c r="C923" t="s">
        <v>5013</v>
      </c>
      <c r="D923" s="8" t="s">
        <v>5014</v>
      </c>
      <c r="E923" t="s">
        <v>644</v>
      </c>
      <c r="G923" t="s">
        <v>62</v>
      </c>
      <c r="H923" t="s">
        <v>63</v>
      </c>
      <c r="I923" t="s">
        <v>30</v>
      </c>
      <c r="J923" t="s">
        <v>64</v>
      </c>
      <c r="K923" t="s">
        <v>27</v>
      </c>
      <c r="L923" t="s">
        <v>65</v>
      </c>
      <c r="M923" t="s">
        <v>5015</v>
      </c>
      <c r="N923" t="s">
        <v>646</v>
      </c>
      <c r="O923" t="s">
        <v>83</v>
      </c>
      <c r="P923" t="s">
        <v>5016</v>
      </c>
      <c r="Q923" t="s">
        <v>57</v>
      </c>
      <c r="R923" s="23" t="s">
        <v>294</v>
      </c>
      <c r="S923" s="23">
        <v>46174</v>
      </c>
      <c r="T923">
        <v>20.59</v>
      </c>
      <c r="U923">
        <v>13306</v>
      </c>
      <c r="V923">
        <v>1619.94</v>
      </c>
      <c r="W923">
        <v>14925.94</v>
      </c>
    </row>
    <row r="924" spans="1:23" hidden="1" x14ac:dyDescent="0.25">
      <c r="A924">
        <v>15741</v>
      </c>
      <c r="B924">
        <v>455550091</v>
      </c>
      <c r="C924" t="s">
        <v>5017</v>
      </c>
      <c r="D924" s="8" t="s">
        <v>5018</v>
      </c>
      <c r="E924" t="s">
        <v>644</v>
      </c>
      <c r="G924" t="s">
        <v>62</v>
      </c>
      <c r="H924" t="s">
        <v>63</v>
      </c>
      <c r="I924" t="s">
        <v>30</v>
      </c>
      <c r="J924" t="s">
        <v>64</v>
      </c>
      <c r="K924" t="s">
        <v>27</v>
      </c>
      <c r="L924" t="s">
        <v>65</v>
      </c>
      <c r="M924" t="s">
        <v>5019</v>
      </c>
      <c r="N924" t="s">
        <v>646</v>
      </c>
      <c r="O924" t="s">
        <v>83</v>
      </c>
      <c r="P924" t="s">
        <v>5020</v>
      </c>
      <c r="Q924" t="s">
        <v>106</v>
      </c>
      <c r="R924" s="23" t="s">
        <v>294</v>
      </c>
      <c r="S924" s="23">
        <v>46174</v>
      </c>
      <c r="T924">
        <v>59.62</v>
      </c>
      <c r="U924">
        <v>26088</v>
      </c>
      <c r="V924">
        <v>2399.94</v>
      </c>
      <c r="W924">
        <v>28487.94</v>
      </c>
    </row>
    <row r="925" spans="1:23" hidden="1" x14ac:dyDescent="0.25">
      <c r="A925">
        <v>15741</v>
      </c>
      <c r="B925">
        <v>455550085</v>
      </c>
      <c r="C925" t="s">
        <v>5021</v>
      </c>
      <c r="D925" s="8" t="s">
        <v>5022</v>
      </c>
      <c r="E925" t="s">
        <v>644</v>
      </c>
      <c r="G925" t="s">
        <v>62</v>
      </c>
      <c r="H925" t="s">
        <v>63</v>
      </c>
      <c r="I925" t="s">
        <v>30</v>
      </c>
      <c r="J925" t="s">
        <v>64</v>
      </c>
      <c r="K925" t="s">
        <v>27</v>
      </c>
      <c r="L925" t="s">
        <v>65</v>
      </c>
      <c r="M925" t="s">
        <v>5023</v>
      </c>
      <c r="N925" t="s">
        <v>646</v>
      </c>
      <c r="O925" t="s">
        <v>83</v>
      </c>
      <c r="P925" t="s">
        <v>5024</v>
      </c>
      <c r="Q925" t="s">
        <v>43</v>
      </c>
      <c r="R925" s="23" t="s">
        <v>294</v>
      </c>
      <c r="S925" s="23">
        <v>46174</v>
      </c>
      <c r="T925">
        <v>20.149999999999999</v>
      </c>
      <c r="U925">
        <v>8303</v>
      </c>
      <c r="V925">
        <v>1619.94</v>
      </c>
      <c r="W925">
        <v>9922.94</v>
      </c>
    </row>
    <row r="926" spans="1:23" hidden="1" x14ac:dyDescent="0.25">
      <c r="A926">
        <v>15741</v>
      </c>
      <c r="B926">
        <v>455550084</v>
      </c>
      <c r="C926" t="s">
        <v>5025</v>
      </c>
      <c r="D926" s="8" t="s">
        <v>5026</v>
      </c>
      <c r="E926" t="s">
        <v>644</v>
      </c>
      <c r="G926" t="s">
        <v>62</v>
      </c>
      <c r="H926" t="s">
        <v>63</v>
      </c>
      <c r="I926" t="s">
        <v>30</v>
      </c>
      <c r="J926" t="s">
        <v>64</v>
      </c>
      <c r="K926" t="s">
        <v>27</v>
      </c>
      <c r="L926" t="s">
        <v>65</v>
      </c>
      <c r="M926" t="s">
        <v>5027</v>
      </c>
      <c r="N926" t="s">
        <v>646</v>
      </c>
      <c r="O926" t="s">
        <v>83</v>
      </c>
      <c r="P926" t="s">
        <v>5028</v>
      </c>
      <c r="Q926" t="s">
        <v>59</v>
      </c>
      <c r="R926" s="23" t="s">
        <v>294</v>
      </c>
      <c r="S926" s="23">
        <v>46174</v>
      </c>
      <c r="T926">
        <v>23.18</v>
      </c>
      <c r="U926">
        <v>16894</v>
      </c>
      <c r="V926">
        <v>2219.94</v>
      </c>
      <c r="W926">
        <v>19113.939999999999</v>
      </c>
    </row>
    <row r="927" spans="1:23" hidden="1" x14ac:dyDescent="0.25">
      <c r="A927">
        <v>15741</v>
      </c>
      <c r="B927">
        <v>455419235</v>
      </c>
      <c r="C927" t="s">
        <v>5029</v>
      </c>
      <c r="D927" s="8" t="s">
        <v>5030</v>
      </c>
      <c r="E927" t="s">
        <v>644</v>
      </c>
      <c r="G927" t="s">
        <v>62</v>
      </c>
      <c r="H927" t="s">
        <v>63</v>
      </c>
      <c r="I927" t="s">
        <v>30</v>
      </c>
      <c r="J927" t="s">
        <v>64</v>
      </c>
      <c r="K927" t="s">
        <v>27</v>
      </c>
      <c r="L927" t="s">
        <v>65</v>
      </c>
      <c r="M927" t="s">
        <v>5031</v>
      </c>
      <c r="N927" t="s">
        <v>646</v>
      </c>
      <c r="O927" t="s">
        <v>83</v>
      </c>
      <c r="P927" t="s">
        <v>5032</v>
      </c>
      <c r="Q927" t="s">
        <v>50</v>
      </c>
      <c r="R927" s="23" t="s">
        <v>5033</v>
      </c>
      <c r="S927" s="23">
        <v>46171</v>
      </c>
      <c r="T927">
        <v>13.74</v>
      </c>
      <c r="U927">
        <v>5943</v>
      </c>
      <c r="V927">
        <v>689.94</v>
      </c>
      <c r="W927">
        <v>6632.9400000000005</v>
      </c>
    </row>
    <row r="928" spans="1:23" hidden="1" x14ac:dyDescent="0.25">
      <c r="A928">
        <v>15741</v>
      </c>
      <c r="B928">
        <v>455409164</v>
      </c>
      <c r="C928" t="s">
        <v>5034</v>
      </c>
      <c r="D928" s="8" t="s">
        <v>5035</v>
      </c>
      <c r="E928" t="s">
        <v>644</v>
      </c>
      <c r="G928" t="s">
        <v>62</v>
      </c>
      <c r="H928" t="s">
        <v>63</v>
      </c>
      <c r="I928" t="s">
        <v>30</v>
      </c>
      <c r="J928" t="s">
        <v>64</v>
      </c>
      <c r="K928" t="s">
        <v>27</v>
      </c>
      <c r="L928" t="s">
        <v>65</v>
      </c>
      <c r="M928" t="s">
        <v>5036</v>
      </c>
      <c r="N928" t="s">
        <v>646</v>
      </c>
      <c r="O928" t="s">
        <v>83</v>
      </c>
      <c r="P928" t="s">
        <v>5037</v>
      </c>
      <c r="Q928" t="s">
        <v>68</v>
      </c>
      <c r="R928" s="23" t="s">
        <v>5038</v>
      </c>
      <c r="S928" s="23">
        <v>46171</v>
      </c>
      <c r="T928">
        <v>20.23</v>
      </c>
      <c r="U928">
        <v>8303</v>
      </c>
      <c r="V928">
        <v>1619.94</v>
      </c>
      <c r="W928">
        <v>9922.94</v>
      </c>
    </row>
    <row r="929" spans="1:23" hidden="1" x14ac:dyDescent="0.25">
      <c r="A929">
        <v>15741</v>
      </c>
      <c r="B929">
        <v>455409000</v>
      </c>
      <c r="C929" t="s">
        <v>5039</v>
      </c>
      <c r="D929" s="8" t="s">
        <v>5040</v>
      </c>
      <c r="E929" t="s">
        <v>644</v>
      </c>
      <c r="G929" t="s">
        <v>62</v>
      </c>
      <c r="H929" t="s">
        <v>63</v>
      </c>
      <c r="I929" t="s">
        <v>30</v>
      </c>
      <c r="J929" t="s">
        <v>64</v>
      </c>
      <c r="K929" t="s">
        <v>27</v>
      </c>
      <c r="L929" t="s">
        <v>65</v>
      </c>
      <c r="M929" t="s">
        <v>5041</v>
      </c>
      <c r="N929" t="s">
        <v>646</v>
      </c>
      <c r="O929" t="s">
        <v>83</v>
      </c>
      <c r="P929" t="s">
        <v>5042</v>
      </c>
      <c r="Q929" t="s">
        <v>151</v>
      </c>
      <c r="R929" s="23" t="s">
        <v>5043</v>
      </c>
      <c r="S929" s="23">
        <v>46171</v>
      </c>
      <c r="T929">
        <v>24.8</v>
      </c>
      <c r="U929">
        <v>27799</v>
      </c>
      <c r="V929">
        <v>899.94</v>
      </c>
      <c r="W929">
        <v>28698.94</v>
      </c>
    </row>
    <row r="930" spans="1:23" hidden="1" x14ac:dyDescent="0.25">
      <c r="A930">
        <v>15741</v>
      </c>
      <c r="B930">
        <v>455407583</v>
      </c>
      <c r="C930" t="s">
        <v>5044</v>
      </c>
      <c r="D930" s="8" t="s">
        <v>5045</v>
      </c>
      <c r="E930" t="s">
        <v>644</v>
      </c>
      <c r="G930" t="s">
        <v>62</v>
      </c>
      <c r="H930" t="s">
        <v>63</v>
      </c>
      <c r="I930" t="s">
        <v>30</v>
      </c>
      <c r="J930" t="s">
        <v>64</v>
      </c>
      <c r="K930" t="s">
        <v>27</v>
      </c>
      <c r="L930" t="s">
        <v>65</v>
      </c>
      <c r="M930" t="s">
        <v>5046</v>
      </c>
      <c r="N930" t="s">
        <v>646</v>
      </c>
      <c r="O930" t="s">
        <v>83</v>
      </c>
      <c r="P930" t="s">
        <v>5047</v>
      </c>
      <c r="Q930" t="s">
        <v>56</v>
      </c>
      <c r="R930" s="23" t="s">
        <v>3010</v>
      </c>
      <c r="S930" s="23">
        <v>46171</v>
      </c>
      <c r="T930">
        <v>10.35</v>
      </c>
      <c r="U930">
        <v>17235</v>
      </c>
      <c r="V930">
        <v>1283.94</v>
      </c>
      <c r="W930">
        <v>18518.939999999999</v>
      </c>
    </row>
    <row r="931" spans="1:23" hidden="1" x14ac:dyDescent="0.25">
      <c r="A931">
        <v>15741</v>
      </c>
      <c r="B931">
        <v>455391721</v>
      </c>
      <c r="C931" t="s">
        <v>5048</v>
      </c>
      <c r="D931" s="8" t="s">
        <v>5049</v>
      </c>
      <c r="E931" t="s">
        <v>644</v>
      </c>
      <c r="G931" t="s">
        <v>62</v>
      </c>
      <c r="H931" t="s">
        <v>63</v>
      </c>
      <c r="I931" t="s">
        <v>30</v>
      </c>
      <c r="J931" t="s">
        <v>64</v>
      </c>
      <c r="K931" t="s">
        <v>27</v>
      </c>
      <c r="L931" t="s">
        <v>65</v>
      </c>
      <c r="M931" t="s">
        <v>5050</v>
      </c>
      <c r="N931" t="s">
        <v>646</v>
      </c>
      <c r="O931" t="s">
        <v>83</v>
      </c>
      <c r="P931" t="s">
        <v>5051</v>
      </c>
      <c r="Q931" t="s">
        <v>59</v>
      </c>
      <c r="R931" s="23" t="s">
        <v>5052</v>
      </c>
      <c r="S931" s="23">
        <v>46170</v>
      </c>
      <c r="T931">
        <v>6.34</v>
      </c>
      <c r="U931">
        <v>9706</v>
      </c>
      <c r="V931">
        <v>0</v>
      </c>
      <c r="W931">
        <v>9706</v>
      </c>
    </row>
    <row r="932" spans="1:23" hidden="1" x14ac:dyDescent="0.25">
      <c r="A932">
        <v>15741</v>
      </c>
      <c r="B932">
        <v>455383111</v>
      </c>
      <c r="C932" t="s">
        <v>5053</v>
      </c>
      <c r="D932" s="8" t="s">
        <v>5054</v>
      </c>
      <c r="E932" t="s">
        <v>644</v>
      </c>
      <c r="G932" t="s">
        <v>62</v>
      </c>
      <c r="H932" t="s">
        <v>63</v>
      </c>
      <c r="I932" t="s">
        <v>30</v>
      </c>
      <c r="J932" t="s">
        <v>64</v>
      </c>
      <c r="K932" t="s">
        <v>27</v>
      </c>
      <c r="L932" t="s">
        <v>65</v>
      </c>
      <c r="M932" t="s">
        <v>5055</v>
      </c>
      <c r="N932" t="s">
        <v>646</v>
      </c>
      <c r="O932" t="s">
        <v>83</v>
      </c>
      <c r="P932" t="s">
        <v>5056</v>
      </c>
      <c r="Q932" t="s">
        <v>140</v>
      </c>
      <c r="R932" s="23" t="s">
        <v>5057</v>
      </c>
      <c r="S932" s="23">
        <v>46170</v>
      </c>
      <c r="T932">
        <v>20.61</v>
      </c>
      <c r="U932">
        <v>13306</v>
      </c>
      <c r="V932">
        <v>1979.94</v>
      </c>
      <c r="W932">
        <v>15285.94</v>
      </c>
    </row>
    <row r="933" spans="1:23" hidden="1" x14ac:dyDescent="0.25">
      <c r="A933">
        <v>15741</v>
      </c>
      <c r="B933">
        <v>455382572</v>
      </c>
      <c r="C933" t="s">
        <v>5058</v>
      </c>
      <c r="D933" s="8" t="s">
        <v>5059</v>
      </c>
      <c r="E933" t="s">
        <v>644</v>
      </c>
      <c r="G933" t="s">
        <v>62</v>
      </c>
      <c r="H933" t="s">
        <v>63</v>
      </c>
      <c r="I933" t="s">
        <v>30</v>
      </c>
      <c r="J933" t="s">
        <v>64</v>
      </c>
      <c r="K933" t="s">
        <v>27</v>
      </c>
      <c r="L933" t="s">
        <v>65</v>
      </c>
      <c r="M933" t="s">
        <v>5060</v>
      </c>
      <c r="N933" t="s">
        <v>646</v>
      </c>
      <c r="O933" t="s">
        <v>83</v>
      </c>
      <c r="P933" t="s">
        <v>5061</v>
      </c>
      <c r="Q933" t="s">
        <v>120</v>
      </c>
      <c r="R933" s="23" t="s">
        <v>5062</v>
      </c>
      <c r="S933" s="23">
        <v>46170</v>
      </c>
      <c r="T933">
        <v>0.56000000000000005</v>
      </c>
      <c r="U933">
        <v>8586</v>
      </c>
      <c r="V933">
        <v>0</v>
      </c>
      <c r="W933">
        <v>8586</v>
      </c>
    </row>
    <row r="934" spans="1:23" hidden="1" x14ac:dyDescent="0.25">
      <c r="A934">
        <v>15741</v>
      </c>
      <c r="B934">
        <v>455368604</v>
      </c>
      <c r="C934" t="s">
        <v>5063</v>
      </c>
      <c r="D934" s="8" t="s">
        <v>5064</v>
      </c>
      <c r="E934" t="s">
        <v>644</v>
      </c>
      <c r="G934" t="s">
        <v>62</v>
      </c>
      <c r="H934" t="s">
        <v>63</v>
      </c>
      <c r="I934" t="s">
        <v>30</v>
      </c>
      <c r="J934" t="s">
        <v>64</v>
      </c>
      <c r="K934" t="s">
        <v>27</v>
      </c>
      <c r="L934" t="s">
        <v>65</v>
      </c>
      <c r="M934" t="s">
        <v>5065</v>
      </c>
      <c r="N934" t="s">
        <v>646</v>
      </c>
      <c r="O934" t="s">
        <v>83</v>
      </c>
      <c r="P934" t="s">
        <v>5066</v>
      </c>
      <c r="Q934" t="s">
        <v>45</v>
      </c>
      <c r="R934" s="23" t="s">
        <v>5067</v>
      </c>
      <c r="S934" s="23">
        <v>46170</v>
      </c>
      <c r="T934">
        <v>15.2</v>
      </c>
      <c r="U934">
        <v>5943</v>
      </c>
      <c r="V934">
        <v>959.94</v>
      </c>
      <c r="W934">
        <v>6902.9400000000005</v>
      </c>
    </row>
    <row r="935" spans="1:23" hidden="1" x14ac:dyDescent="0.25">
      <c r="A935">
        <v>15741</v>
      </c>
      <c r="B935">
        <v>455368502</v>
      </c>
      <c r="C935" t="s">
        <v>5068</v>
      </c>
      <c r="D935" s="8" t="s">
        <v>5069</v>
      </c>
      <c r="E935" t="s">
        <v>644</v>
      </c>
      <c r="G935" t="s">
        <v>62</v>
      </c>
      <c r="H935" t="s">
        <v>63</v>
      </c>
      <c r="I935" t="s">
        <v>30</v>
      </c>
      <c r="J935" t="s">
        <v>64</v>
      </c>
      <c r="K935" t="s">
        <v>27</v>
      </c>
      <c r="L935" t="s">
        <v>65</v>
      </c>
      <c r="M935" t="s">
        <v>5070</v>
      </c>
      <c r="N935" t="s">
        <v>646</v>
      </c>
      <c r="O935" t="s">
        <v>83</v>
      </c>
      <c r="P935" t="s">
        <v>5071</v>
      </c>
      <c r="Q935" t="s">
        <v>46</v>
      </c>
      <c r="R935" s="23" t="s">
        <v>563</v>
      </c>
      <c r="S935" s="23">
        <v>46170</v>
      </c>
      <c r="T935">
        <v>20.52</v>
      </c>
      <c r="U935">
        <v>8303</v>
      </c>
      <c r="V935">
        <v>1619.94</v>
      </c>
      <c r="W935">
        <v>9922.94</v>
      </c>
    </row>
    <row r="936" spans="1:23" hidden="1" x14ac:dyDescent="0.25">
      <c r="A936">
        <v>15741</v>
      </c>
      <c r="B936">
        <v>455368412</v>
      </c>
      <c r="C936" t="s">
        <v>5072</v>
      </c>
      <c r="D936" s="8" t="s">
        <v>5073</v>
      </c>
      <c r="E936" t="s">
        <v>644</v>
      </c>
      <c r="G936" t="s">
        <v>62</v>
      </c>
      <c r="H936" t="s">
        <v>63</v>
      </c>
      <c r="I936" t="s">
        <v>30</v>
      </c>
      <c r="J936" t="s">
        <v>64</v>
      </c>
      <c r="K936" t="s">
        <v>27</v>
      </c>
      <c r="L936" t="s">
        <v>65</v>
      </c>
      <c r="M936" t="s">
        <v>5074</v>
      </c>
      <c r="N936" t="s">
        <v>646</v>
      </c>
      <c r="O936" t="s">
        <v>83</v>
      </c>
      <c r="P936" t="s">
        <v>5075</v>
      </c>
      <c r="Q936" t="s">
        <v>44</v>
      </c>
      <c r="R936" s="23" t="s">
        <v>614</v>
      </c>
      <c r="S936" s="23">
        <v>46170</v>
      </c>
      <c r="T936">
        <v>19.88</v>
      </c>
      <c r="U936">
        <v>7831</v>
      </c>
      <c r="V936">
        <v>1619.94</v>
      </c>
      <c r="W936">
        <v>9450.94</v>
      </c>
    </row>
    <row r="937" spans="1:23" hidden="1" x14ac:dyDescent="0.25">
      <c r="A937">
        <v>15741</v>
      </c>
      <c r="B937">
        <v>455368263</v>
      </c>
      <c r="C937" t="s">
        <v>5076</v>
      </c>
      <c r="D937" s="8" t="s">
        <v>5077</v>
      </c>
      <c r="E937" t="s">
        <v>644</v>
      </c>
      <c r="G937" t="s">
        <v>62</v>
      </c>
      <c r="H937" t="s">
        <v>63</v>
      </c>
      <c r="I937" t="s">
        <v>30</v>
      </c>
      <c r="J937" t="s">
        <v>64</v>
      </c>
      <c r="K937" t="s">
        <v>27</v>
      </c>
      <c r="L937" t="s">
        <v>65</v>
      </c>
      <c r="M937" t="s">
        <v>5078</v>
      </c>
      <c r="N937" t="s">
        <v>646</v>
      </c>
      <c r="O937" t="s">
        <v>83</v>
      </c>
      <c r="P937" t="s">
        <v>5079</v>
      </c>
      <c r="Q937" t="s">
        <v>93</v>
      </c>
      <c r="R937" s="23" t="s">
        <v>528</v>
      </c>
      <c r="S937" s="23">
        <v>46170</v>
      </c>
      <c r="T937">
        <v>6.93</v>
      </c>
      <c r="U937">
        <v>9209</v>
      </c>
      <c r="V937">
        <v>0</v>
      </c>
      <c r="W937">
        <v>9209</v>
      </c>
    </row>
    <row r="938" spans="1:23" hidden="1" x14ac:dyDescent="0.25">
      <c r="A938">
        <v>15741</v>
      </c>
      <c r="B938">
        <v>455368162</v>
      </c>
      <c r="C938" t="s">
        <v>5080</v>
      </c>
      <c r="D938" s="8" t="s">
        <v>5081</v>
      </c>
      <c r="E938" t="s">
        <v>644</v>
      </c>
      <c r="G938" t="s">
        <v>62</v>
      </c>
      <c r="H938" t="s">
        <v>63</v>
      </c>
      <c r="I938" t="s">
        <v>30</v>
      </c>
      <c r="J938" t="s">
        <v>64</v>
      </c>
      <c r="K938" t="s">
        <v>27</v>
      </c>
      <c r="L938" t="s">
        <v>65</v>
      </c>
      <c r="M938" t="s">
        <v>5082</v>
      </c>
      <c r="N938" t="s">
        <v>646</v>
      </c>
      <c r="O938" t="s">
        <v>83</v>
      </c>
      <c r="P938" t="s">
        <v>5083</v>
      </c>
      <c r="Q938" t="s">
        <v>87</v>
      </c>
      <c r="R938" s="23" t="s">
        <v>5084</v>
      </c>
      <c r="S938" s="23">
        <v>46170</v>
      </c>
      <c r="T938">
        <v>10.07</v>
      </c>
      <c r="U938">
        <v>5943</v>
      </c>
      <c r="V938">
        <v>0</v>
      </c>
      <c r="W938">
        <v>5943</v>
      </c>
    </row>
    <row r="939" spans="1:23" hidden="1" x14ac:dyDescent="0.25">
      <c r="A939">
        <v>15741</v>
      </c>
      <c r="B939">
        <v>455367829</v>
      </c>
      <c r="C939" t="s">
        <v>5085</v>
      </c>
      <c r="D939" s="8" t="s">
        <v>5086</v>
      </c>
      <c r="E939" t="s">
        <v>644</v>
      </c>
      <c r="G939" t="s">
        <v>62</v>
      </c>
      <c r="H939" t="s">
        <v>63</v>
      </c>
      <c r="I939" t="s">
        <v>30</v>
      </c>
      <c r="J939" t="s">
        <v>64</v>
      </c>
      <c r="K939" t="s">
        <v>27</v>
      </c>
      <c r="L939" t="s">
        <v>65</v>
      </c>
      <c r="M939" t="s">
        <v>5087</v>
      </c>
      <c r="N939" t="s">
        <v>646</v>
      </c>
      <c r="O939" t="s">
        <v>83</v>
      </c>
      <c r="P939" t="s">
        <v>5088</v>
      </c>
      <c r="Q939" t="s">
        <v>45</v>
      </c>
      <c r="R939" s="23" t="s">
        <v>5089</v>
      </c>
      <c r="S939" s="23">
        <v>46170</v>
      </c>
      <c r="T939">
        <v>20.43</v>
      </c>
      <c r="U939">
        <v>8303</v>
      </c>
      <c r="V939">
        <v>1619.94</v>
      </c>
      <c r="W939">
        <v>9922.94</v>
      </c>
    </row>
    <row r="940" spans="1:23" hidden="1" x14ac:dyDescent="0.25">
      <c r="A940">
        <v>15741</v>
      </c>
      <c r="B940">
        <v>455353136</v>
      </c>
      <c r="C940" t="s">
        <v>5090</v>
      </c>
      <c r="D940" s="8" t="s">
        <v>5091</v>
      </c>
      <c r="E940" t="s">
        <v>644</v>
      </c>
      <c r="G940" t="s">
        <v>62</v>
      </c>
      <c r="H940" t="s">
        <v>63</v>
      </c>
      <c r="I940" t="s">
        <v>30</v>
      </c>
      <c r="J940" t="s">
        <v>64</v>
      </c>
      <c r="K940" t="s">
        <v>27</v>
      </c>
      <c r="L940" t="s">
        <v>65</v>
      </c>
      <c r="M940" t="s">
        <v>5092</v>
      </c>
      <c r="N940" t="s">
        <v>646</v>
      </c>
      <c r="O940" t="s">
        <v>83</v>
      </c>
      <c r="P940" t="s">
        <v>5093</v>
      </c>
      <c r="Q940" t="s">
        <v>45</v>
      </c>
      <c r="R940" s="23" t="s">
        <v>5094</v>
      </c>
      <c r="S940" s="23">
        <v>46169</v>
      </c>
      <c r="T940">
        <v>14.58</v>
      </c>
      <c r="U940">
        <v>5943</v>
      </c>
      <c r="V940">
        <v>959.94</v>
      </c>
      <c r="W940">
        <v>6902.9400000000005</v>
      </c>
    </row>
    <row r="941" spans="1:23" hidden="1" x14ac:dyDescent="0.25">
      <c r="A941">
        <v>15741</v>
      </c>
      <c r="B941">
        <v>455353134</v>
      </c>
      <c r="C941" t="s">
        <v>5095</v>
      </c>
      <c r="D941" s="8" t="s">
        <v>5096</v>
      </c>
      <c r="E941" t="s">
        <v>644</v>
      </c>
      <c r="G941" t="s">
        <v>62</v>
      </c>
      <c r="H941" t="s">
        <v>63</v>
      </c>
      <c r="I941" t="s">
        <v>30</v>
      </c>
      <c r="J941" t="s">
        <v>64</v>
      </c>
      <c r="K941" t="s">
        <v>27</v>
      </c>
      <c r="L941" t="s">
        <v>65</v>
      </c>
      <c r="M941" t="s">
        <v>5097</v>
      </c>
      <c r="N941" t="s">
        <v>646</v>
      </c>
      <c r="O941" t="s">
        <v>83</v>
      </c>
      <c r="P941" t="s">
        <v>5098</v>
      </c>
      <c r="Q941" t="s">
        <v>44</v>
      </c>
      <c r="R941" s="23" t="s">
        <v>5094</v>
      </c>
      <c r="S941" s="23">
        <v>46169</v>
      </c>
      <c r="T941">
        <v>20.04</v>
      </c>
      <c r="U941">
        <v>8303</v>
      </c>
      <c r="V941">
        <v>1619.94</v>
      </c>
      <c r="W941">
        <v>9922.94</v>
      </c>
    </row>
    <row r="942" spans="1:23" hidden="1" x14ac:dyDescent="0.25">
      <c r="A942">
        <v>15741</v>
      </c>
      <c r="B942">
        <v>455353132</v>
      </c>
      <c r="C942" t="s">
        <v>5099</v>
      </c>
      <c r="D942" s="8" t="s">
        <v>5100</v>
      </c>
      <c r="E942" t="s">
        <v>644</v>
      </c>
      <c r="G942" t="s">
        <v>62</v>
      </c>
      <c r="H942" t="s">
        <v>63</v>
      </c>
      <c r="I942" t="s">
        <v>30</v>
      </c>
      <c r="J942" t="s">
        <v>64</v>
      </c>
      <c r="K942" t="s">
        <v>27</v>
      </c>
      <c r="L942" t="s">
        <v>65</v>
      </c>
      <c r="M942" t="s">
        <v>5101</v>
      </c>
      <c r="N942" t="s">
        <v>646</v>
      </c>
      <c r="O942" t="s">
        <v>83</v>
      </c>
      <c r="P942" t="s">
        <v>5102</v>
      </c>
      <c r="Q942" t="s">
        <v>51</v>
      </c>
      <c r="R942" s="23" t="s">
        <v>5094</v>
      </c>
      <c r="S942" s="23">
        <v>46169</v>
      </c>
      <c r="T942">
        <v>11.14</v>
      </c>
      <c r="U942">
        <v>5943</v>
      </c>
      <c r="V942">
        <v>899.94</v>
      </c>
      <c r="W942">
        <v>6842.9400000000005</v>
      </c>
    </row>
    <row r="943" spans="1:23" hidden="1" x14ac:dyDescent="0.25">
      <c r="A943">
        <v>15741</v>
      </c>
      <c r="B943">
        <v>455353133</v>
      </c>
      <c r="C943" t="s">
        <v>5103</v>
      </c>
      <c r="D943" s="8" t="s">
        <v>5104</v>
      </c>
      <c r="E943" t="s">
        <v>644</v>
      </c>
      <c r="G943" t="s">
        <v>62</v>
      </c>
      <c r="H943" t="s">
        <v>63</v>
      </c>
      <c r="I943" t="s">
        <v>30</v>
      </c>
      <c r="J943" t="s">
        <v>64</v>
      </c>
      <c r="K943" t="s">
        <v>27</v>
      </c>
      <c r="L943" t="s">
        <v>65</v>
      </c>
      <c r="M943" t="s">
        <v>5105</v>
      </c>
      <c r="N943" t="s">
        <v>646</v>
      </c>
      <c r="O943" t="s">
        <v>83</v>
      </c>
      <c r="P943" t="s">
        <v>5106</v>
      </c>
      <c r="Q943" t="s">
        <v>44</v>
      </c>
      <c r="R943" s="23" t="s">
        <v>5094</v>
      </c>
      <c r="S943" s="23">
        <v>46169</v>
      </c>
      <c r="T943">
        <v>10.89</v>
      </c>
      <c r="U943">
        <v>5943</v>
      </c>
      <c r="V943">
        <v>599.94000000000005</v>
      </c>
      <c r="W943">
        <v>6542.9400000000005</v>
      </c>
    </row>
    <row r="944" spans="1:23" hidden="1" x14ac:dyDescent="0.25">
      <c r="A944">
        <v>15741</v>
      </c>
      <c r="B944">
        <v>455353129</v>
      </c>
      <c r="C944" t="s">
        <v>5107</v>
      </c>
      <c r="D944" s="8" t="s">
        <v>5108</v>
      </c>
      <c r="E944" t="s">
        <v>644</v>
      </c>
      <c r="G944" t="s">
        <v>62</v>
      </c>
      <c r="H944" t="s">
        <v>63</v>
      </c>
      <c r="I944" t="s">
        <v>30</v>
      </c>
      <c r="J944" t="s">
        <v>64</v>
      </c>
      <c r="K944" t="s">
        <v>27</v>
      </c>
      <c r="L944" t="s">
        <v>65</v>
      </c>
      <c r="M944" t="s">
        <v>5109</v>
      </c>
      <c r="N944" t="s">
        <v>646</v>
      </c>
      <c r="O944" t="s">
        <v>83</v>
      </c>
      <c r="P944" t="s">
        <v>5110</v>
      </c>
      <c r="Q944" t="s">
        <v>58</v>
      </c>
      <c r="R944" s="23" t="s">
        <v>5094</v>
      </c>
      <c r="S944" s="23">
        <v>46169</v>
      </c>
      <c r="T944">
        <v>15.05</v>
      </c>
      <c r="U944">
        <v>10408</v>
      </c>
      <c r="V944">
        <v>959.94</v>
      </c>
      <c r="W944">
        <v>11367.94</v>
      </c>
    </row>
    <row r="945" spans="1:23" hidden="1" x14ac:dyDescent="0.25">
      <c r="A945">
        <v>15741</v>
      </c>
      <c r="B945">
        <v>455337847</v>
      </c>
      <c r="C945" t="s">
        <v>5111</v>
      </c>
      <c r="D945" s="8" t="s">
        <v>5112</v>
      </c>
      <c r="E945" t="s">
        <v>644</v>
      </c>
      <c r="G945" t="s">
        <v>62</v>
      </c>
      <c r="H945" t="s">
        <v>63</v>
      </c>
      <c r="I945" t="s">
        <v>30</v>
      </c>
      <c r="J945" t="s">
        <v>64</v>
      </c>
      <c r="K945" t="s">
        <v>27</v>
      </c>
      <c r="L945" t="s">
        <v>65</v>
      </c>
      <c r="M945" t="s">
        <v>483</v>
      </c>
      <c r="N945" t="s">
        <v>646</v>
      </c>
      <c r="O945" t="s">
        <v>83</v>
      </c>
      <c r="P945" t="s">
        <v>484</v>
      </c>
      <c r="Q945" t="s">
        <v>43</v>
      </c>
      <c r="R945" s="23" t="s">
        <v>5113</v>
      </c>
      <c r="S945" s="23">
        <v>46169</v>
      </c>
      <c r="T945">
        <v>9.98</v>
      </c>
      <c r="U945">
        <v>5465</v>
      </c>
      <c r="V945">
        <v>0</v>
      </c>
      <c r="W945">
        <v>5465</v>
      </c>
    </row>
    <row r="946" spans="1:23" hidden="1" x14ac:dyDescent="0.25">
      <c r="A946">
        <v>15741</v>
      </c>
      <c r="B946">
        <v>455338099</v>
      </c>
      <c r="C946" t="s">
        <v>5114</v>
      </c>
      <c r="D946" s="8" t="s">
        <v>5115</v>
      </c>
      <c r="E946" t="s">
        <v>644</v>
      </c>
      <c r="G946" t="s">
        <v>62</v>
      </c>
      <c r="H946" t="s">
        <v>63</v>
      </c>
      <c r="I946" t="s">
        <v>30</v>
      </c>
      <c r="J946" t="s">
        <v>64</v>
      </c>
      <c r="K946" t="s">
        <v>27</v>
      </c>
      <c r="L946" t="s">
        <v>65</v>
      </c>
      <c r="M946" t="s">
        <v>5116</v>
      </c>
      <c r="N946" t="s">
        <v>646</v>
      </c>
      <c r="O946" t="s">
        <v>83</v>
      </c>
      <c r="P946" t="s">
        <v>5117</v>
      </c>
      <c r="Q946" t="s">
        <v>43</v>
      </c>
      <c r="R946" s="23" t="s">
        <v>5118</v>
      </c>
      <c r="S946" s="23">
        <v>46169</v>
      </c>
      <c r="T946">
        <v>11.38</v>
      </c>
      <c r="U946">
        <v>5943</v>
      </c>
      <c r="V946">
        <v>599.94000000000005</v>
      </c>
      <c r="W946">
        <v>6542.9400000000005</v>
      </c>
    </row>
    <row r="947" spans="1:23" hidden="1" x14ac:dyDescent="0.25">
      <c r="A947">
        <v>15741</v>
      </c>
      <c r="B947">
        <v>455332470</v>
      </c>
      <c r="C947" t="s">
        <v>5119</v>
      </c>
      <c r="D947" s="8" t="s">
        <v>5120</v>
      </c>
      <c r="E947" t="s">
        <v>644</v>
      </c>
      <c r="G947" t="s">
        <v>62</v>
      </c>
      <c r="H947" t="s">
        <v>63</v>
      </c>
      <c r="I947" t="s">
        <v>30</v>
      </c>
      <c r="J947" t="s">
        <v>64</v>
      </c>
      <c r="K947" t="s">
        <v>196</v>
      </c>
      <c r="L947" t="s">
        <v>217</v>
      </c>
      <c r="M947" t="s">
        <v>5121</v>
      </c>
      <c r="N947" t="s">
        <v>646</v>
      </c>
      <c r="O947" t="s">
        <v>83</v>
      </c>
      <c r="P947" t="s">
        <v>5122</v>
      </c>
      <c r="Q947" t="s">
        <v>44</v>
      </c>
      <c r="R947" s="23" t="s">
        <v>5123</v>
      </c>
      <c r="S947" s="23">
        <v>46169</v>
      </c>
      <c r="T947">
        <v>23.85</v>
      </c>
      <c r="U947">
        <v>9721</v>
      </c>
      <c r="V947">
        <v>959.88</v>
      </c>
      <c r="W947">
        <v>10680.88</v>
      </c>
    </row>
    <row r="948" spans="1:23" hidden="1" x14ac:dyDescent="0.25">
      <c r="A948">
        <v>15741</v>
      </c>
      <c r="B948">
        <v>455331716</v>
      </c>
      <c r="C948" t="s">
        <v>5124</v>
      </c>
      <c r="D948" s="8" t="s">
        <v>5125</v>
      </c>
      <c r="E948" t="s">
        <v>644</v>
      </c>
      <c r="G948" t="s">
        <v>62</v>
      </c>
      <c r="H948" t="s">
        <v>63</v>
      </c>
      <c r="I948" t="s">
        <v>30</v>
      </c>
      <c r="J948" t="s">
        <v>64</v>
      </c>
      <c r="K948" t="s">
        <v>27</v>
      </c>
      <c r="L948" t="s">
        <v>65</v>
      </c>
      <c r="M948" t="s">
        <v>5126</v>
      </c>
      <c r="N948" t="s">
        <v>646</v>
      </c>
      <c r="O948" t="s">
        <v>83</v>
      </c>
      <c r="P948" t="s">
        <v>5127</v>
      </c>
      <c r="Q948" t="s">
        <v>111</v>
      </c>
      <c r="R948" s="23" t="s">
        <v>503</v>
      </c>
      <c r="S948" s="23">
        <v>46169</v>
      </c>
      <c r="T948">
        <v>16.190000000000001</v>
      </c>
      <c r="U948">
        <v>11788</v>
      </c>
      <c r="V948">
        <v>899.94</v>
      </c>
      <c r="W948">
        <v>12687.94</v>
      </c>
    </row>
    <row r="949" spans="1:23" hidden="1" x14ac:dyDescent="0.25">
      <c r="A949">
        <v>15741</v>
      </c>
      <c r="B949">
        <v>455331712</v>
      </c>
      <c r="C949" t="s">
        <v>5128</v>
      </c>
      <c r="D949" s="8" t="s">
        <v>5129</v>
      </c>
      <c r="E949" t="s">
        <v>644</v>
      </c>
      <c r="G949" t="s">
        <v>62</v>
      </c>
      <c r="H949" t="s">
        <v>63</v>
      </c>
      <c r="I949" t="s">
        <v>30</v>
      </c>
      <c r="J949" t="s">
        <v>64</v>
      </c>
      <c r="K949" t="s">
        <v>27</v>
      </c>
      <c r="L949" t="s">
        <v>65</v>
      </c>
      <c r="M949" t="s">
        <v>5130</v>
      </c>
      <c r="N949" t="s">
        <v>646</v>
      </c>
      <c r="O949" t="s">
        <v>83</v>
      </c>
      <c r="P949" t="s">
        <v>5131</v>
      </c>
      <c r="Q949" t="s">
        <v>43</v>
      </c>
      <c r="R949" s="23" t="s">
        <v>503</v>
      </c>
      <c r="S949" s="23">
        <v>46169</v>
      </c>
      <c r="T949">
        <v>20.7</v>
      </c>
      <c r="U949">
        <v>8303</v>
      </c>
      <c r="V949">
        <v>1619.94</v>
      </c>
      <c r="W949">
        <v>9922.94</v>
      </c>
    </row>
    <row r="950" spans="1:23" hidden="1" x14ac:dyDescent="0.25">
      <c r="A950">
        <v>15741</v>
      </c>
      <c r="B950">
        <v>455331711</v>
      </c>
      <c r="C950" t="s">
        <v>5132</v>
      </c>
      <c r="D950" s="8" t="s">
        <v>5133</v>
      </c>
      <c r="E950" t="s">
        <v>644</v>
      </c>
      <c r="G950" t="s">
        <v>62</v>
      </c>
      <c r="H950" t="s">
        <v>63</v>
      </c>
      <c r="I950" t="s">
        <v>30</v>
      </c>
      <c r="J950" t="s">
        <v>64</v>
      </c>
      <c r="K950" t="s">
        <v>27</v>
      </c>
      <c r="L950" t="s">
        <v>65</v>
      </c>
      <c r="M950" t="s">
        <v>5134</v>
      </c>
      <c r="N950" t="s">
        <v>646</v>
      </c>
      <c r="O950" t="s">
        <v>83</v>
      </c>
      <c r="P950" t="s">
        <v>5135</v>
      </c>
      <c r="Q950" t="s">
        <v>105</v>
      </c>
      <c r="R950" s="23" t="s">
        <v>503</v>
      </c>
      <c r="S950" s="23">
        <v>46169</v>
      </c>
      <c r="T950">
        <v>20.29</v>
      </c>
      <c r="U950">
        <v>15903</v>
      </c>
      <c r="V950">
        <v>1619.94</v>
      </c>
      <c r="W950">
        <v>17522.939999999999</v>
      </c>
    </row>
    <row r="951" spans="1:23" hidden="1" x14ac:dyDescent="0.25">
      <c r="A951">
        <v>15741</v>
      </c>
      <c r="B951">
        <v>455331708</v>
      </c>
      <c r="C951" t="s">
        <v>5136</v>
      </c>
      <c r="D951" s="8" t="s">
        <v>5137</v>
      </c>
      <c r="E951" t="s">
        <v>644</v>
      </c>
      <c r="G951" t="s">
        <v>62</v>
      </c>
      <c r="H951" t="s">
        <v>63</v>
      </c>
      <c r="I951" t="s">
        <v>30</v>
      </c>
      <c r="J951" t="s">
        <v>64</v>
      </c>
      <c r="K951" t="s">
        <v>27</v>
      </c>
      <c r="L951" t="s">
        <v>65</v>
      </c>
      <c r="M951" t="s">
        <v>5138</v>
      </c>
      <c r="N951" t="s">
        <v>646</v>
      </c>
      <c r="O951" t="s">
        <v>83</v>
      </c>
      <c r="P951" t="s">
        <v>5139</v>
      </c>
      <c r="Q951" t="s">
        <v>102</v>
      </c>
      <c r="R951" s="23" t="s">
        <v>503</v>
      </c>
      <c r="S951" s="23">
        <v>46169</v>
      </c>
      <c r="T951">
        <v>6.67</v>
      </c>
      <c r="U951">
        <v>5465</v>
      </c>
      <c r="V951">
        <v>0</v>
      </c>
      <c r="W951">
        <v>5465</v>
      </c>
    </row>
    <row r="952" spans="1:23" hidden="1" x14ac:dyDescent="0.25">
      <c r="A952">
        <v>15741</v>
      </c>
      <c r="B952">
        <v>455331706</v>
      </c>
      <c r="C952" t="s">
        <v>5140</v>
      </c>
      <c r="D952" s="8" t="s">
        <v>5141</v>
      </c>
      <c r="E952" t="s">
        <v>644</v>
      </c>
      <c r="G952" t="s">
        <v>62</v>
      </c>
      <c r="H952" t="s">
        <v>63</v>
      </c>
      <c r="I952" t="s">
        <v>30</v>
      </c>
      <c r="J952" t="s">
        <v>64</v>
      </c>
      <c r="K952" t="s">
        <v>27</v>
      </c>
      <c r="L952" t="s">
        <v>65</v>
      </c>
      <c r="M952" t="s">
        <v>5142</v>
      </c>
      <c r="N952" t="s">
        <v>646</v>
      </c>
      <c r="O952" t="s">
        <v>83</v>
      </c>
      <c r="P952" t="s">
        <v>5143</v>
      </c>
      <c r="Q952" t="s">
        <v>90</v>
      </c>
      <c r="R952" s="23" t="s">
        <v>503</v>
      </c>
      <c r="S952" s="23">
        <v>46169</v>
      </c>
      <c r="T952">
        <v>11.06</v>
      </c>
      <c r="U952">
        <v>12360</v>
      </c>
      <c r="V952">
        <v>899.94</v>
      </c>
      <c r="W952">
        <v>13259.94</v>
      </c>
    </row>
    <row r="953" spans="1:23" hidden="1" x14ac:dyDescent="0.25">
      <c r="A953">
        <v>15741</v>
      </c>
      <c r="B953">
        <v>455331705</v>
      </c>
      <c r="C953" t="s">
        <v>5144</v>
      </c>
      <c r="D953" s="8" t="s">
        <v>5145</v>
      </c>
      <c r="E953" t="s">
        <v>644</v>
      </c>
      <c r="G953" t="s">
        <v>62</v>
      </c>
      <c r="H953" t="s">
        <v>63</v>
      </c>
      <c r="I953" t="s">
        <v>30</v>
      </c>
      <c r="J953" t="s">
        <v>64</v>
      </c>
      <c r="K953" t="s">
        <v>27</v>
      </c>
      <c r="L953" t="s">
        <v>65</v>
      </c>
      <c r="M953" t="s">
        <v>5146</v>
      </c>
      <c r="N953" t="s">
        <v>646</v>
      </c>
      <c r="O953" t="s">
        <v>83</v>
      </c>
      <c r="P953" t="s">
        <v>5147</v>
      </c>
      <c r="Q953" t="s">
        <v>50</v>
      </c>
      <c r="R953" s="23" t="s">
        <v>503</v>
      </c>
      <c r="S953" s="23">
        <v>46169</v>
      </c>
      <c r="T953">
        <v>9.86</v>
      </c>
      <c r="U953">
        <v>5465</v>
      </c>
      <c r="V953">
        <v>0</v>
      </c>
      <c r="W953">
        <v>5465</v>
      </c>
    </row>
    <row r="954" spans="1:23" hidden="1" x14ac:dyDescent="0.25">
      <c r="A954">
        <v>15741</v>
      </c>
      <c r="B954">
        <v>455331704</v>
      </c>
      <c r="C954" t="s">
        <v>5148</v>
      </c>
      <c r="D954" s="8" t="s">
        <v>5149</v>
      </c>
      <c r="E954" t="s">
        <v>644</v>
      </c>
      <c r="G954" t="s">
        <v>62</v>
      </c>
      <c r="H954" t="s">
        <v>63</v>
      </c>
      <c r="I954" t="s">
        <v>30</v>
      </c>
      <c r="J954" t="s">
        <v>64</v>
      </c>
      <c r="K954" t="s">
        <v>27</v>
      </c>
      <c r="L954" t="s">
        <v>65</v>
      </c>
      <c r="M954" t="s">
        <v>5150</v>
      </c>
      <c r="N954" t="s">
        <v>646</v>
      </c>
      <c r="O954" t="s">
        <v>83</v>
      </c>
      <c r="P954" t="s">
        <v>5151</v>
      </c>
      <c r="Q954" t="s">
        <v>44</v>
      </c>
      <c r="R954" s="23" t="s">
        <v>503</v>
      </c>
      <c r="S954" s="23">
        <v>46169</v>
      </c>
      <c r="T954">
        <v>7.44</v>
      </c>
      <c r="U954">
        <v>5465</v>
      </c>
      <c r="V954">
        <v>0</v>
      </c>
      <c r="W954">
        <v>5465</v>
      </c>
    </row>
    <row r="955" spans="1:23" hidden="1" x14ac:dyDescent="0.25">
      <c r="A955">
        <v>15741</v>
      </c>
      <c r="B955">
        <v>455331703</v>
      </c>
      <c r="C955" t="s">
        <v>5152</v>
      </c>
      <c r="D955" s="8" t="s">
        <v>5153</v>
      </c>
      <c r="E955" t="s">
        <v>644</v>
      </c>
      <c r="G955" t="s">
        <v>62</v>
      </c>
      <c r="H955" t="s">
        <v>63</v>
      </c>
      <c r="I955" t="s">
        <v>30</v>
      </c>
      <c r="J955" t="s">
        <v>64</v>
      </c>
      <c r="K955" t="s">
        <v>27</v>
      </c>
      <c r="L955" t="s">
        <v>65</v>
      </c>
      <c r="M955" t="s">
        <v>5154</v>
      </c>
      <c r="N955" t="s">
        <v>646</v>
      </c>
      <c r="O955" t="s">
        <v>83</v>
      </c>
      <c r="P955" t="s">
        <v>5155</v>
      </c>
      <c r="Q955" t="s">
        <v>109</v>
      </c>
      <c r="R955" s="23" t="s">
        <v>503</v>
      </c>
      <c r="S955" s="23">
        <v>46169</v>
      </c>
      <c r="T955">
        <v>17.559999999999999</v>
      </c>
      <c r="U955">
        <v>14364</v>
      </c>
      <c r="V955">
        <v>899.94</v>
      </c>
      <c r="W955">
        <v>15263.94</v>
      </c>
    </row>
    <row r="956" spans="1:23" hidden="1" x14ac:dyDescent="0.25">
      <c r="A956">
        <v>15741</v>
      </c>
      <c r="B956">
        <v>455317277</v>
      </c>
      <c r="C956" t="s">
        <v>5156</v>
      </c>
      <c r="D956" s="8" t="s">
        <v>5157</v>
      </c>
      <c r="E956" t="s">
        <v>644</v>
      </c>
      <c r="G956" t="s">
        <v>62</v>
      </c>
      <c r="H956" t="s">
        <v>63</v>
      </c>
      <c r="I956" t="s">
        <v>30</v>
      </c>
      <c r="J956" t="s">
        <v>64</v>
      </c>
      <c r="K956" t="s">
        <v>37</v>
      </c>
      <c r="L956" t="s">
        <v>60</v>
      </c>
      <c r="M956" t="s">
        <v>5158</v>
      </c>
      <c r="N956" t="s">
        <v>646</v>
      </c>
      <c r="O956" t="s">
        <v>83</v>
      </c>
      <c r="P956" t="s">
        <v>5159</v>
      </c>
      <c r="Q956" t="s">
        <v>57</v>
      </c>
      <c r="R956" s="23" t="s">
        <v>5160</v>
      </c>
      <c r="S956" s="23">
        <v>46168</v>
      </c>
      <c r="T956">
        <v>172.9</v>
      </c>
      <c r="U956">
        <v>87594</v>
      </c>
      <c r="V956">
        <v>32999.94</v>
      </c>
      <c r="W956">
        <v>120593.94</v>
      </c>
    </row>
    <row r="957" spans="1:23" hidden="1" x14ac:dyDescent="0.25">
      <c r="A957">
        <v>15741</v>
      </c>
      <c r="B957">
        <v>455317275</v>
      </c>
      <c r="C957" t="s">
        <v>5161</v>
      </c>
      <c r="D957" s="8" t="s">
        <v>5162</v>
      </c>
      <c r="E957" t="s">
        <v>644</v>
      </c>
      <c r="G957" t="s">
        <v>62</v>
      </c>
      <c r="H957" t="s">
        <v>63</v>
      </c>
      <c r="I957" t="s">
        <v>30</v>
      </c>
      <c r="J957" t="s">
        <v>64</v>
      </c>
      <c r="K957" t="s">
        <v>27</v>
      </c>
      <c r="L957" t="s">
        <v>65</v>
      </c>
      <c r="M957" t="s">
        <v>5163</v>
      </c>
      <c r="N957" t="s">
        <v>646</v>
      </c>
      <c r="O957" t="s">
        <v>83</v>
      </c>
      <c r="P957" t="s">
        <v>5164</v>
      </c>
      <c r="Q957" t="s">
        <v>73</v>
      </c>
      <c r="R957" s="23" t="s">
        <v>5160</v>
      </c>
      <c r="S957" s="23">
        <v>46168</v>
      </c>
      <c r="T957">
        <v>20.55</v>
      </c>
      <c r="U957">
        <v>8303</v>
      </c>
      <c r="V957">
        <v>1619.94</v>
      </c>
      <c r="W957">
        <v>9922.94</v>
      </c>
    </row>
    <row r="958" spans="1:23" hidden="1" x14ac:dyDescent="0.25">
      <c r="A958">
        <v>15741</v>
      </c>
      <c r="B958">
        <v>455317274</v>
      </c>
      <c r="C958" t="s">
        <v>5165</v>
      </c>
      <c r="D958" s="8" t="s">
        <v>5166</v>
      </c>
      <c r="E958" t="s">
        <v>644</v>
      </c>
      <c r="G958" t="s">
        <v>62</v>
      </c>
      <c r="H958" t="s">
        <v>63</v>
      </c>
      <c r="I958" t="s">
        <v>30</v>
      </c>
      <c r="J958" t="s">
        <v>64</v>
      </c>
      <c r="K958" t="s">
        <v>27</v>
      </c>
      <c r="L958" t="s">
        <v>65</v>
      </c>
      <c r="M958" t="s">
        <v>5167</v>
      </c>
      <c r="N958" t="s">
        <v>646</v>
      </c>
      <c r="O958" t="s">
        <v>83</v>
      </c>
      <c r="P958" t="s">
        <v>5168</v>
      </c>
      <c r="Q958" t="s">
        <v>57</v>
      </c>
      <c r="R958" s="23" t="s">
        <v>5160</v>
      </c>
      <c r="S958" s="23">
        <v>46168</v>
      </c>
      <c r="T958">
        <v>11.11</v>
      </c>
      <c r="U958">
        <v>10408</v>
      </c>
      <c r="V958">
        <v>899.94</v>
      </c>
      <c r="W958">
        <v>11307.94</v>
      </c>
    </row>
    <row r="959" spans="1:23" hidden="1" x14ac:dyDescent="0.25">
      <c r="A959">
        <v>15741</v>
      </c>
      <c r="B959">
        <v>455317272</v>
      </c>
      <c r="C959" t="s">
        <v>5169</v>
      </c>
      <c r="D959" s="8" t="s">
        <v>5170</v>
      </c>
      <c r="E959" t="s">
        <v>644</v>
      </c>
      <c r="G959" t="s">
        <v>62</v>
      </c>
      <c r="H959" t="s">
        <v>63</v>
      </c>
      <c r="I959" t="s">
        <v>30</v>
      </c>
      <c r="J959" t="s">
        <v>64</v>
      </c>
      <c r="K959" t="s">
        <v>27</v>
      </c>
      <c r="L959" t="s">
        <v>65</v>
      </c>
      <c r="M959" t="s">
        <v>5171</v>
      </c>
      <c r="N959" t="s">
        <v>646</v>
      </c>
      <c r="O959" t="s">
        <v>83</v>
      </c>
      <c r="P959" t="s">
        <v>5172</v>
      </c>
      <c r="Q959" t="s">
        <v>143</v>
      </c>
      <c r="R959" s="23" t="s">
        <v>5160</v>
      </c>
      <c r="S959" s="23">
        <v>46168</v>
      </c>
      <c r="T959">
        <v>6.54</v>
      </c>
      <c r="U959">
        <v>5465</v>
      </c>
      <c r="V959">
        <v>0</v>
      </c>
      <c r="W959">
        <v>5465</v>
      </c>
    </row>
    <row r="960" spans="1:23" hidden="1" x14ac:dyDescent="0.25">
      <c r="A960">
        <v>15741</v>
      </c>
      <c r="B960">
        <v>455317271</v>
      </c>
      <c r="C960" t="s">
        <v>5173</v>
      </c>
      <c r="D960" s="8" t="s">
        <v>5174</v>
      </c>
      <c r="E960" t="s">
        <v>644</v>
      </c>
      <c r="G960" t="s">
        <v>62</v>
      </c>
      <c r="H960" t="s">
        <v>63</v>
      </c>
      <c r="I960" t="s">
        <v>30</v>
      </c>
      <c r="J960" t="s">
        <v>64</v>
      </c>
      <c r="K960" t="s">
        <v>27</v>
      </c>
      <c r="L960" t="s">
        <v>65</v>
      </c>
      <c r="M960" t="s">
        <v>5175</v>
      </c>
      <c r="N960" t="s">
        <v>646</v>
      </c>
      <c r="O960" t="s">
        <v>83</v>
      </c>
      <c r="P960" t="s">
        <v>5176</v>
      </c>
      <c r="Q960" t="s">
        <v>189</v>
      </c>
      <c r="R960" s="23" t="s">
        <v>5160</v>
      </c>
      <c r="S960" s="23">
        <v>46168</v>
      </c>
      <c r="T960">
        <v>9.7200000000000006</v>
      </c>
      <c r="U960">
        <v>9041</v>
      </c>
      <c r="V960">
        <v>0</v>
      </c>
      <c r="W960">
        <v>9041</v>
      </c>
    </row>
    <row r="961" spans="1:23" hidden="1" x14ac:dyDescent="0.25">
      <c r="A961">
        <v>15741</v>
      </c>
      <c r="B961">
        <v>455317270</v>
      </c>
      <c r="C961" t="s">
        <v>5177</v>
      </c>
      <c r="D961" s="8" t="s">
        <v>5178</v>
      </c>
      <c r="E961" t="s">
        <v>644</v>
      </c>
      <c r="G961" t="s">
        <v>62</v>
      </c>
      <c r="H961" t="s">
        <v>63</v>
      </c>
      <c r="I961" t="s">
        <v>30</v>
      </c>
      <c r="J961" t="s">
        <v>64</v>
      </c>
      <c r="K961" t="s">
        <v>27</v>
      </c>
      <c r="L961" t="s">
        <v>65</v>
      </c>
      <c r="M961" t="s">
        <v>5179</v>
      </c>
      <c r="N961" t="s">
        <v>646</v>
      </c>
      <c r="O961" t="s">
        <v>83</v>
      </c>
      <c r="P961" t="s">
        <v>5180</v>
      </c>
      <c r="Q961" t="s">
        <v>50</v>
      </c>
      <c r="R961" s="23" t="s">
        <v>5160</v>
      </c>
      <c r="S961" s="23">
        <v>46168</v>
      </c>
      <c r="T961">
        <v>11.68</v>
      </c>
      <c r="U961">
        <v>5943</v>
      </c>
      <c r="V961">
        <v>899.94</v>
      </c>
      <c r="W961">
        <v>6842.9400000000005</v>
      </c>
    </row>
    <row r="962" spans="1:23" hidden="1" x14ac:dyDescent="0.25">
      <c r="A962">
        <v>15741</v>
      </c>
      <c r="B962">
        <v>455302277</v>
      </c>
      <c r="C962" t="s">
        <v>5181</v>
      </c>
      <c r="D962" s="8" t="s">
        <v>5182</v>
      </c>
      <c r="E962" t="s">
        <v>644</v>
      </c>
      <c r="G962" t="s">
        <v>62</v>
      </c>
      <c r="H962" t="s">
        <v>63</v>
      </c>
      <c r="I962" t="s">
        <v>30</v>
      </c>
      <c r="J962" t="s">
        <v>64</v>
      </c>
      <c r="K962" t="s">
        <v>27</v>
      </c>
      <c r="L962" t="s">
        <v>215</v>
      </c>
      <c r="M962" t="s">
        <v>5183</v>
      </c>
      <c r="N962" t="s">
        <v>646</v>
      </c>
      <c r="O962" t="s">
        <v>83</v>
      </c>
      <c r="P962" t="s">
        <v>5184</v>
      </c>
      <c r="Q962" t="s">
        <v>43</v>
      </c>
      <c r="R962" s="23" t="s">
        <v>546</v>
      </c>
      <c r="S962" s="23">
        <v>46168</v>
      </c>
      <c r="T962">
        <v>24.62</v>
      </c>
      <c r="U962">
        <v>10193</v>
      </c>
      <c r="V962">
        <v>959.88</v>
      </c>
      <c r="W962">
        <v>11152.88</v>
      </c>
    </row>
    <row r="963" spans="1:23" hidden="1" x14ac:dyDescent="0.25">
      <c r="A963">
        <v>15741</v>
      </c>
      <c r="B963">
        <v>455301186</v>
      </c>
      <c r="C963" t="s">
        <v>5185</v>
      </c>
      <c r="D963" s="8" t="s">
        <v>5186</v>
      </c>
      <c r="E963" t="s">
        <v>644</v>
      </c>
      <c r="G963" t="s">
        <v>62</v>
      </c>
      <c r="H963" t="s">
        <v>63</v>
      </c>
      <c r="I963" t="s">
        <v>30</v>
      </c>
      <c r="J963" t="s">
        <v>64</v>
      </c>
      <c r="K963" t="s">
        <v>27</v>
      </c>
      <c r="L963" t="s">
        <v>65</v>
      </c>
      <c r="M963" t="s">
        <v>5187</v>
      </c>
      <c r="N963" t="s">
        <v>646</v>
      </c>
      <c r="O963" t="s">
        <v>83</v>
      </c>
      <c r="P963" t="s">
        <v>5188</v>
      </c>
      <c r="Q963" t="s">
        <v>73</v>
      </c>
      <c r="R963" s="23" t="s">
        <v>232</v>
      </c>
      <c r="S963" s="23">
        <v>46168</v>
      </c>
      <c r="T963">
        <v>11.5</v>
      </c>
      <c r="U963">
        <v>5943</v>
      </c>
      <c r="V963">
        <v>899.94</v>
      </c>
      <c r="W963">
        <v>6842.9400000000005</v>
      </c>
    </row>
    <row r="964" spans="1:23" hidden="1" x14ac:dyDescent="0.25">
      <c r="A964">
        <v>15741</v>
      </c>
      <c r="B964">
        <v>455300969</v>
      </c>
      <c r="C964" t="s">
        <v>5189</v>
      </c>
      <c r="D964" s="8" t="s">
        <v>5190</v>
      </c>
      <c r="E964" t="s">
        <v>644</v>
      </c>
      <c r="G964" t="s">
        <v>62</v>
      </c>
      <c r="H964" t="s">
        <v>63</v>
      </c>
      <c r="I964" t="s">
        <v>30</v>
      </c>
      <c r="J964" t="s">
        <v>64</v>
      </c>
      <c r="K964" t="s">
        <v>27</v>
      </c>
      <c r="L964" t="s">
        <v>65</v>
      </c>
      <c r="M964" t="s">
        <v>5191</v>
      </c>
      <c r="N964" t="s">
        <v>646</v>
      </c>
      <c r="O964" t="s">
        <v>83</v>
      </c>
      <c r="P964" t="s">
        <v>5192</v>
      </c>
      <c r="Q964" t="s">
        <v>311</v>
      </c>
      <c r="R964" s="23" t="s">
        <v>5193</v>
      </c>
      <c r="S964" s="23">
        <v>46168</v>
      </c>
      <c r="T964">
        <v>6.92</v>
      </c>
      <c r="U964">
        <v>24424</v>
      </c>
      <c r="V964">
        <v>0</v>
      </c>
      <c r="W964">
        <v>24424</v>
      </c>
    </row>
    <row r="965" spans="1:23" hidden="1" x14ac:dyDescent="0.25">
      <c r="A965">
        <v>15741</v>
      </c>
      <c r="B965">
        <v>455296609</v>
      </c>
      <c r="C965" t="s">
        <v>5194</v>
      </c>
      <c r="D965" s="8" t="s">
        <v>5195</v>
      </c>
      <c r="E965" t="s">
        <v>644</v>
      </c>
      <c r="G965" t="s">
        <v>62</v>
      </c>
      <c r="H965" t="s">
        <v>63</v>
      </c>
      <c r="I965" t="s">
        <v>30</v>
      </c>
      <c r="J965" t="s">
        <v>64</v>
      </c>
      <c r="K965" t="s">
        <v>27</v>
      </c>
      <c r="L965" t="s">
        <v>65</v>
      </c>
      <c r="M965" t="s">
        <v>5196</v>
      </c>
      <c r="N965" t="s">
        <v>646</v>
      </c>
      <c r="O965" t="s">
        <v>83</v>
      </c>
      <c r="P965" t="s">
        <v>5197</v>
      </c>
      <c r="Q965" t="s">
        <v>81</v>
      </c>
      <c r="R965" s="23" t="s">
        <v>5198</v>
      </c>
      <c r="S965" s="23">
        <v>46168</v>
      </c>
      <c r="T965">
        <v>15.07</v>
      </c>
      <c r="U965">
        <v>5943</v>
      </c>
      <c r="V965">
        <v>959.94</v>
      </c>
      <c r="W965">
        <v>6902.9400000000005</v>
      </c>
    </row>
    <row r="966" spans="1:23" hidden="1" x14ac:dyDescent="0.25">
      <c r="A966">
        <v>15741</v>
      </c>
      <c r="B966">
        <v>455302322</v>
      </c>
      <c r="C966" t="s">
        <v>5199</v>
      </c>
      <c r="D966" s="8" t="s">
        <v>5200</v>
      </c>
      <c r="E966" t="s">
        <v>644</v>
      </c>
      <c r="G966" t="s">
        <v>62</v>
      </c>
      <c r="H966" t="s">
        <v>63</v>
      </c>
      <c r="I966" t="s">
        <v>30</v>
      </c>
      <c r="J966" t="s">
        <v>64</v>
      </c>
      <c r="K966" t="s">
        <v>196</v>
      </c>
      <c r="L966" t="s">
        <v>217</v>
      </c>
      <c r="M966" t="s">
        <v>5201</v>
      </c>
      <c r="N966" t="s">
        <v>646</v>
      </c>
      <c r="O966" t="s">
        <v>83</v>
      </c>
      <c r="P966" t="s">
        <v>5202</v>
      </c>
      <c r="Q966" t="s">
        <v>45</v>
      </c>
      <c r="R966" s="23" t="s">
        <v>369</v>
      </c>
      <c r="S966" s="23">
        <v>46168</v>
      </c>
      <c r="T966">
        <v>29.05</v>
      </c>
      <c r="U966">
        <v>12555</v>
      </c>
      <c r="V966">
        <v>1079.8800000000001</v>
      </c>
      <c r="W966">
        <v>13634.880000000001</v>
      </c>
    </row>
    <row r="967" spans="1:23" hidden="1" x14ac:dyDescent="0.25">
      <c r="A967">
        <v>15741</v>
      </c>
      <c r="B967">
        <v>455317875</v>
      </c>
      <c r="C967" t="s">
        <v>5203</v>
      </c>
      <c r="D967" s="8" t="s">
        <v>5204</v>
      </c>
      <c r="E967" t="s">
        <v>644</v>
      </c>
      <c r="G967" t="s">
        <v>62</v>
      </c>
      <c r="H967" t="s">
        <v>63</v>
      </c>
      <c r="I967" t="s">
        <v>30</v>
      </c>
      <c r="J967" t="s">
        <v>64</v>
      </c>
      <c r="K967" t="s">
        <v>27</v>
      </c>
      <c r="L967" t="s">
        <v>65</v>
      </c>
      <c r="M967" t="s">
        <v>5205</v>
      </c>
      <c r="N967" t="s">
        <v>646</v>
      </c>
      <c r="O967" t="s">
        <v>83</v>
      </c>
      <c r="P967" t="s">
        <v>5206</v>
      </c>
      <c r="Q967" t="s">
        <v>206</v>
      </c>
      <c r="R967" s="23" t="s">
        <v>5207</v>
      </c>
      <c r="S967" s="23">
        <v>46168</v>
      </c>
      <c r="T967">
        <v>73.25</v>
      </c>
      <c r="U967">
        <v>55494</v>
      </c>
      <c r="V967">
        <v>1363.15</v>
      </c>
      <c r="W967">
        <v>56857.15</v>
      </c>
    </row>
    <row r="968" spans="1:23" hidden="1" x14ac:dyDescent="0.25">
      <c r="A968">
        <v>15741</v>
      </c>
      <c r="B968">
        <v>455268822</v>
      </c>
      <c r="C968" t="s">
        <v>5208</v>
      </c>
      <c r="D968" s="8" t="s">
        <v>5209</v>
      </c>
      <c r="E968" t="s">
        <v>644</v>
      </c>
      <c r="G968" t="s">
        <v>62</v>
      </c>
      <c r="H968" t="s">
        <v>63</v>
      </c>
      <c r="I968" t="s">
        <v>30</v>
      </c>
      <c r="J968" t="s">
        <v>64</v>
      </c>
      <c r="K968" t="s">
        <v>27</v>
      </c>
      <c r="L968" t="s">
        <v>215</v>
      </c>
      <c r="M968" t="s">
        <v>5210</v>
      </c>
      <c r="N968" t="s">
        <v>646</v>
      </c>
      <c r="O968" t="s">
        <v>83</v>
      </c>
      <c r="P968" t="s">
        <v>5211</v>
      </c>
      <c r="Q968" t="s">
        <v>48</v>
      </c>
      <c r="R968" s="23" t="s">
        <v>5212</v>
      </c>
      <c r="S968" s="23">
        <v>46167</v>
      </c>
      <c r="T968">
        <v>70.790000000000006</v>
      </c>
      <c r="U968">
        <v>30586</v>
      </c>
      <c r="V968">
        <v>4439.88</v>
      </c>
      <c r="W968">
        <v>35025.879999999997</v>
      </c>
    </row>
    <row r="969" spans="1:23" hidden="1" x14ac:dyDescent="0.25">
      <c r="A969">
        <v>15741</v>
      </c>
      <c r="B969">
        <v>455268820</v>
      </c>
      <c r="C969" t="s">
        <v>5213</v>
      </c>
      <c r="D969" s="8" t="s">
        <v>5214</v>
      </c>
      <c r="E969" t="s">
        <v>644</v>
      </c>
      <c r="G969" t="s">
        <v>62</v>
      </c>
      <c r="H969" t="s">
        <v>63</v>
      </c>
      <c r="I969" t="s">
        <v>30</v>
      </c>
      <c r="J969" t="s">
        <v>64</v>
      </c>
      <c r="K969" t="s">
        <v>27</v>
      </c>
      <c r="L969" t="s">
        <v>215</v>
      </c>
      <c r="M969" t="s">
        <v>5210</v>
      </c>
      <c r="N969" t="s">
        <v>646</v>
      </c>
      <c r="O969" t="s">
        <v>83</v>
      </c>
      <c r="P969" t="s">
        <v>5215</v>
      </c>
      <c r="Q969" t="s">
        <v>68</v>
      </c>
      <c r="R969" s="23" t="s">
        <v>5212</v>
      </c>
      <c r="S969" s="23">
        <v>46167</v>
      </c>
      <c r="T969">
        <v>70.14</v>
      </c>
      <c r="U969">
        <v>30586</v>
      </c>
      <c r="V969">
        <v>4439.88</v>
      </c>
      <c r="W969">
        <v>35025.879999999997</v>
      </c>
    </row>
    <row r="970" spans="1:23" hidden="1" x14ac:dyDescent="0.25">
      <c r="A970">
        <v>15741</v>
      </c>
      <c r="B970">
        <v>455268819</v>
      </c>
      <c r="C970" t="s">
        <v>5216</v>
      </c>
      <c r="D970" s="8" t="s">
        <v>5217</v>
      </c>
      <c r="E970" t="s">
        <v>644</v>
      </c>
      <c r="G970" t="s">
        <v>62</v>
      </c>
      <c r="H970" t="s">
        <v>63</v>
      </c>
      <c r="I970" t="s">
        <v>30</v>
      </c>
      <c r="J970" t="s">
        <v>64</v>
      </c>
      <c r="K970" t="s">
        <v>27</v>
      </c>
      <c r="L970" t="s">
        <v>65</v>
      </c>
      <c r="M970" t="s">
        <v>5218</v>
      </c>
      <c r="N970" t="s">
        <v>646</v>
      </c>
      <c r="O970" t="s">
        <v>83</v>
      </c>
      <c r="P970" t="s">
        <v>5219</v>
      </c>
      <c r="Q970" t="s">
        <v>45</v>
      </c>
      <c r="R970" s="23" t="s">
        <v>5212</v>
      </c>
      <c r="S970" s="23">
        <v>46167</v>
      </c>
      <c r="T970">
        <v>20.92</v>
      </c>
      <c r="U970">
        <v>8303</v>
      </c>
      <c r="V970">
        <v>1619.94</v>
      </c>
      <c r="W970">
        <v>9922.94</v>
      </c>
    </row>
    <row r="971" spans="1:23" hidden="1" x14ac:dyDescent="0.25">
      <c r="A971">
        <v>15741</v>
      </c>
      <c r="B971">
        <v>455268817</v>
      </c>
      <c r="C971" t="s">
        <v>5220</v>
      </c>
      <c r="D971" s="8" t="s">
        <v>5221</v>
      </c>
      <c r="E971" t="s">
        <v>644</v>
      </c>
      <c r="G971" t="s">
        <v>62</v>
      </c>
      <c r="H971" t="s">
        <v>63</v>
      </c>
      <c r="I971" t="s">
        <v>30</v>
      </c>
      <c r="J971" t="s">
        <v>64</v>
      </c>
      <c r="K971" t="s">
        <v>27</v>
      </c>
      <c r="L971" t="s">
        <v>65</v>
      </c>
      <c r="M971" t="s">
        <v>5222</v>
      </c>
      <c r="N971" t="s">
        <v>646</v>
      </c>
      <c r="O971" t="s">
        <v>83</v>
      </c>
      <c r="P971" t="s">
        <v>5223</v>
      </c>
      <c r="Q971" t="s">
        <v>203</v>
      </c>
      <c r="R971" s="23" t="s">
        <v>5212</v>
      </c>
      <c r="S971" s="23">
        <v>46167</v>
      </c>
      <c r="T971">
        <v>14.4</v>
      </c>
      <c r="U971">
        <v>12046</v>
      </c>
      <c r="V971">
        <v>959.94</v>
      </c>
      <c r="W971">
        <v>13005.94</v>
      </c>
    </row>
    <row r="972" spans="1:23" hidden="1" x14ac:dyDescent="0.25">
      <c r="A972">
        <v>15741</v>
      </c>
      <c r="B972">
        <v>455268815</v>
      </c>
      <c r="C972" t="s">
        <v>5224</v>
      </c>
      <c r="D972" s="8" t="s">
        <v>5225</v>
      </c>
      <c r="E972" t="s">
        <v>644</v>
      </c>
      <c r="G972" t="s">
        <v>62</v>
      </c>
      <c r="H972" t="s">
        <v>63</v>
      </c>
      <c r="I972" t="s">
        <v>30</v>
      </c>
      <c r="J972" t="s">
        <v>64</v>
      </c>
      <c r="K972" t="s">
        <v>27</v>
      </c>
      <c r="L972" t="s">
        <v>65</v>
      </c>
      <c r="M972" t="s">
        <v>5226</v>
      </c>
      <c r="N972" t="s">
        <v>646</v>
      </c>
      <c r="O972" t="s">
        <v>83</v>
      </c>
      <c r="P972" t="s">
        <v>5227</v>
      </c>
      <c r="Q972" t="s">
        <v>86</v>
      </c>
      <c r="R972" s="23" t="s">
        <v>5212</v>
      </c>
      <c r="S972" s="23">
        <v>46167</v>
      </c>
      <c r="T972">
        <v>14.25</v>
      </c>
      <c r="U972">
        <v>5943</v>
      </c>
      <c r="V972">
        <v>959.94</v>
      </c>
      <c r="W972">
        <v>6902.9400000000005</v>
      </c>
    </row>
    <row r="973" spans="1:23" hidden="1" x14ac:dyDescent="0.25">
      <c r="A973">
        <v>15741</v>
      </c>
      <c r="B973">
        <v>455268814</v>
      </c>
      <c r="C973" t="s">
        <v>5228</v>
      </c>
      <c r="D973" s="8" t="s">
        <v>5229</v>
      </c>
      <c r="E973" t="s">
        <v>644</v>
      </c>
      <c r="G973" t="s">
        <v>62</v>
      </c>
      <c r="H973" t="s">
        <v>63</v>
      </c>
      <c r="I973" t="s">
        <v>30</v>
      </c>
      <c r="J973" t="s">
        <v>64</v>
      </c>
      <c r="K973" t="s">
        <v>27</v>
      </c>
      <c r="L973" t="s">
        <v>65</v>
      </c>
      <c r="M973" t="s">
        <v>5230</v>
      </c>
      <c r="N973" t="s">
        <v>646</v>
      </c>
      <c r="O973" t="s">
        <v>83</v>
      </c>
      <c r="P973" t="s">
        <v>5231</v>
      </c>
      <c r="Q973" t="s">
        <v>82</v>
      </c>
      <c r="R973" s="23" t="s">
        <v>5212</v>
      </c>
      <c r="S973" s="23">
        <v>46167</v>
      </c>
      <c r="T973">
        <v>20.81</v>
      </c>
      <c r="U973">
        <v>8303</v>
      </c>
      <c r="V973">
        <v>1619.94</v>
      </c>
      <c r="W973">
        <v>9922.94</v>
      </c>
    </row>
    <row r="974" spans="1:23" hidden="1" x14ac:dyDescent="0.25">
      <c r="A974">
        <v>15741</v>
      </c>
      <c r="B974">
        <v>455268813</v>
      </c>
      <c r="C974" t="s">
        <v>5232</v>
      </c>
      <c r="D974" s="8" t="s">
        <v>5233</v>
      </c>
      <c r="E974" t="s">
        <v>644</v>
      </c>
      <c r="G974" t="s">
        <v>62</v>
      </c>
      <c r="H974" t="s">
        <v>63</v>
      </c>
      <c r="I974" t="s">
        <v>30</v>
      </c>
      <c r="J974" t="s">
        <v>64</v>
      </c>
      <c r="K974" t="s">
        <v>27</v>
      </c>
      <c r="L974" t="s">
        <v>65</v>
      </c>
      <c r="M974" t="s">
        <v>5234</v>
      </c>
      <c r="N974" t="s">
        <v>646</v>
      </c>
      <c r="O974" t="s">
        <v>83</v>
      </c>
      <c r="P974" t="s">
        <v>5235</v>
      </c>
      <c r="Q974" t="s">
        <v>45</v>
      </c>
      <c r="R974" s="23" t="s">
        <v>5212</v>
      </c>
      <c r="S974" s="23">
        <v>46167</v>
      </c>
      <c r="T974">
        <v>20.67</v>
      </c>
      <c r="U974">
        <v>8303</v>
      </c>
      <c r="V974">
        <v>1619.94</v>
      </c>
      <c r="W974">
        <v>9922.94</v>
      </c>
    </row>
    <row r="975" spans="1:23" hidden="1" x14ac:dyDescent="0.25">
      <c r="A975">
        <v>15741</v>
      </c>
      <c r="B975">
        <v>455268808</v>
      </c>
      <c r="C975" t="s">
        <v>5236</v>
      </c>
      <c r="D975" s="8" t="s">
        <v>5237</v>
      </c>
      <c r="E975" t="s">
        <v>644</v>
      </c>
      <c r="G975" t="s">
        <v>62</v>
      </c>
      <c r="H975" t="s">
        <v>63</v>
      </c>
      <c r="I975" t="s">
        <v>30</v>
      </c>
      <c r="J975" t="s">
        <v>64</v>
      </c>
      <c r="K975" t="s">
        <v>27</v>
      </c>
      <c r="L975" t="s">
        <v>65</v>
      </c>
      <c r="M975" t="s">
        <v>5238</v>
      </c>
      <c r="N975" t="s">
        <v>646</v>
      </c>
      <c r="O975" t="s">
        <v>83</v>
      </c>
      <c r="P975" t="s">
        <v>5239</v>
      </c>
      <c r="Q975" t="s">
        <v>93</v>
      </c>
      <c r="R975" s="23" t="s">
        <v>5212</v>
      </c>
      <c r="S975" s="23">
        <v>46167</v>
      </c>
      <c r="T975">
        <v>20.86</v>
      </c>
      <c r="U975">
        <v>8303</v>
      </c>
      <c r="V975">
        <v>1619.94</v>
      </c>
      <c r="W975">
        <v>9922.94</v>
      </c>
    </row>
    <row r="976" spans="1:23" hidden="1" x14ac:dyDescent="0.25">
      <c r="A976">
        <v>15741</v>
      </c>
      <c r="B976">
        <v>455268811</v>
      </c>
      <c r="C976" t="s">
        <v>5240</v>
      </c>
      <c r="D976" s="8" t="s">
        <v>5241</v>
      </c>
      <c r="E976" t="s">
        <v>644</v>
      </c>
      <c r="G976" t="s">
        <v>62</v>
      </c>
      <c r="H976" t="s">
        <v>63</v>
      </c>
      <c r="I976" t="s">
        <v>30</v>
      </c>
      <c r="J976" t="s">
        <v>64</v>
      </c>
      <c r="K976" t="s">
        <v>27</v>
      </c>
      <c r="L976" t="s">
        <v>65</v>
      </c>
      <c r="M976" t="s">
        <v>5242</v>
      </c>
      <c r="N976" t="s">
        <v>646</v>
      </c>
      <c r="O976" t="s">
        <v>83</v>
      </c>
      <c r="P976" t="s">
        <v>5243</v>
      </c>
      <c r="Q976" t="s">
        <v>61</v>
      </c>
      <c r="R976" s="23" t="s">
        <v>5212</v>
      </c>
      <c r="S976" s="23">
        <v>46167</v>
      </c>
      <c r="T976">
        <v>15.86</v>
      </c>
      <c r="U976">
        <v>10408</v>
      </c>
      <c r="V976">
        <v>959.94</v>
      </c>
      <c r="W976">
        <v>11367.94</v>
      </c>
    </row>
    <row r="977" spans="1:23" hidden="1" x14ac:dyDescent="0.25">
      <c r="A977">
        <v>15741</v>
      </c>
      <c r="B977">
        <v>455268810</v>
      </c>
      <c r="C977" t="s">
        <v>5244</v>
      </c>
      <c r="D977" s="8" t="s">
        <v>5245</v>
      </c>
      <c r="E977" t="s">
        <v>644</v>
      </c>
      <c r="G977" t="s">
        <v>62</v>
      </c>
      <c r="H977" t="s">
        <v>63</v>
      </c>
      <c r="I977" t="s">
        <v>30</v>
      </c>
      <c r="J977" t="s">
        <v>64</v>
      </c>
      <c r="K977" t="s">
        <v>196</v>
      </c>
      <c r="L977" t="s">
        <v>217</v>
      </c>
      <c r="M977" t="s">
        <v>5246</v>
      </c>
      <c r="N977" t="s">
        <v>646</v>
      </c>
      <c r="O977" t="s">
        <v>83</v>
      </c>
      <c r="P977" t="s">
        <v>5247</v>
      </c>
      <c r="Q977" t="s">
        <v>143</v>
      </c>
      <c r="R977" s="23" t="s">
        <v>5212</v>
      </c>
      <c r="S977" s="23">
        <v>46167</v>
      </c>
      <c r="T977">
        <v>19.02</v>
      </c>
      <c r="U977">
        <v>7831</v>
      </c>
      <c r="V977">
        <v>1859.88</v>
      </c>
      <c r="W977">
        <v>9690.880000000001</v>
      </c>
    </row>
    <row r="978" spans="1:23" hidden="1" x14ac:dyDescent="0.25">
      <c r="A978">
        <v>15741</v>
      </c>
      <c r="B978">
        <v>455268807</v>
      </c>
      <c r="C978" t="s">
        <v>5248</v>
      </c>
      <c r="D978" s="8" t="s">
        <v>5249</v>
      </c>
      <c r="E978" t="s">
        <v>644</v>
      </c>
      <c r="G978" t="s">
        <v>62</v>
      </c>
      <c r="H978" t="s">
        <v>63</v>
      </c>
      <c r="I978" t="s">
        <v>30</v>
      </c>
      <c r="J978" t="s">
        <v>64</v>
      </c>
      <c r="K978" t="s">
        <v>27</v>
      </c>
      <c r="L978" t="s">
        <v>65</v>
      </c>
      <c r="M978" t="s">
        <v>5250</v>
      </c>
      <c r="N978" t="s">
        <v>646</v>
      </c>
      <c r="O978" t="s">
        <v>83</v>
      </c>
      <c r="P978" t="s">
        <v>5251</v>
      </c>
      <c r="Q978" t="s">
        <v>205</v>
      </c>
      <c r="R978" s="23" t="s">
        <v>5212</v>
      </c>
      <c r="S978" s="23">
        <v>46167</v>
      </c>
      <c r="T978">
        <v>38.39</v>
      </c>
      <c r="U978">
        <v>25589</v>
      </c>
      <c r="V978">
        <v>899.94</v>
      </c>
      <c r="W978">
        <v>26488.94</v>
      </c>
    </row>
    <row r="979" spans="1:23" hidden="1" x14ac:dyDescent="0.25">
      <c r="A979">
        <v>15741</v>
      </c>
      <c r="B979">
        <v>455268802</v>
      </c>
      <c r="C979" t="s">
        <v>5252</v>
      </c>
      <c r="D979" s="8" t="s">
        <v>5253</v>
      </c>
      <c r="E979" t="s">
        <v>644</v>
      </c>
      <c r="G979" t="s">
        <v>62</v>
      </c>
      <c r="H979" t="s">
        <v>63</v>
      </c>
      <c r="I979" t="s">
        <v>30</v>
      </c>
      <c r="J979" t="s">
        <v>64</v>
      </c>
      <c r="K979" t="s">
        <v>27</v>
      </c>
      <c r="L979" t="s">
        <v>65</v>
      </c>
      <c r="M979" t="s">
        <v>5254</v>
      </c>
      <c r="N979" t="s">
        <v>646</v>
      </c>
      <c r="O979" t="s">
        <v>83</v>
      </c>
      <c r="P979" t="s">
        <v>5255</v>
      </c>
      <c r="Q979" t="s">
        <v>95</v>
      </c>
      <c r="R979" s="23" t="s">
        <v>5212</v>
      </c>
      <c r="S979" s="23">
        <v>46167</v>
      </c>
      <c r="T979">
        <v>11.65</v>
      </c>
      <c r="U979">
        <v>11598</v>
      </c>
      <c r="V979">
        <v>899.94</v>
      </c>
      <c r="W979">
        <v>12497.94</v>
      </c>
    </row>
    <row r="980" spans="1:23" hidden="1" x14ac:dyDescent="0.25">
      <c r="A980">
        <v>15741</v>
      </c>
      <c r="B980">
        <v>455268805</v>
      </c>
      <c r="C980" t="s">
        <v>5256</v>
      </c>
      <c r="D980" s="8" t="s">
        <v>5257</v>
      </c>
      <c r="E980" t="s">
        <v>644</v>
      </c>
      <c r="G980" t="s">
        <v>62</v>
      </c>
      <c r="H980" t="s">
        <v>63</v>
      </c>
      <c r="I980" t="s">
        <v>30</v>
      </c>
      <c r="J980" t="s">
        <v>64</v>
      </c>
      <c r="K980" t="s">
        <v>27</v>
      </c>
      <c r="L980" t="s">
        <v>215</v>
      </c>
      <c r="M980" t="s">
        <v>5258</v>
      </c>
      <c r="N980" t="s">
        <v>646</v>
      </c>
      <c r="O980" t="s">
        <v>83</v>
      </c>
      <c r="P980" t="s">
        <v>5259</v>
      </c>
      <c r="Q980" t="s">
        <v>48</v>
      </c>
      <c r="R980" s="23" t="s">
        <v>5212</v>
      </c>
      <c r="S980" s="23">
        <v>46167</v>
      </c>
      <c r="T980">
        <v>22.97</v>
      </c>
      <c r="U980">
        <v>9248</v>
      </c>
      <c r="V980">
        <v>959.88</v>
      </c>
      <c r="W980">
        <v>10207.879999999999</v>
      </c>
    </row>
    <row r="981" spans="1:23" hidden="1" x14ac:dyDescent="0.25">
      <c r="A981">
        <v>15741</v>
      </c>
      <c r="B981">
        <v>455268799</v>
      </c>
      <c r="C981" t="s">
        <v>5260</v>
      </c>
      <c r="D981" s="8" t="s">
        <v>5261</v>
      </c>
      <c r="E981" t="s">
        <v>644</v>
      </c>
      <c r="G981" t="s">
        <v>62</v>
      </c>
      <c r="H981" t="s">
        <v>63</v>
      </c>
      <c r="I981" t="s">
        <v>30</v>
      </c>
      <c r="J981" t="s">
        <v>64</v>
      </c>
      <c r="K981" t="s">
        <v>27</v>
      </c>
      <c r="L981" t="s">
        <v>65</v>
      </c>
      <c r="M981" t="s">
        <v>5262</v>
      </c>
      <c r="N981" t="s">
        <v>646</v>
      </c>
      <c r="O981" t="s">
        <v>83</v>
      </c>
      <c r="P981" t="s">
        <v>5263</v>
      </c>
      <c r="Q981" t="s">
        <v>51</v>
      </c>
      <c r="R981" s="23" t="s">
        <v>5212</v>
      </c>
      <c r="S981" s="23">
        <v>46167</v>
      </c>
      <c r="T981">
        <v>6.53</v>
      </c>
      <c r="U981">
        <v>5465</v>
      </c>
      <c r="V981">
        <v>0</v>
      </c>
      <c r="W981">
        <v>5465</v>
      </c>
    </row>
    <row r="982" spans="1:23" hidden="1" x14ac:dyDescent="0.25">
      <c r="A982">
        <v>15741</v>
      </c>
      <c r="B982">
        <v>455268797</v>
      </c>
      <c r="C982" t="s">
        <v>5264</v>
      </c>
      <c r="D982" s="8" t="s">
        <v>5265</v>
      </c>
      <c r="E982" t="s">
        <v>644</v>
      </c>
      <c r="G982" t="s">
        <v>62</v>
      </c>
      <c r="H982" t="s">
        <v>63</v>
      </c>
      <c r="I982" t="s">
        <v>30</v>
      </c>
      <c r="J982" t="s">
        <v>64</v>
      </c>
      <c r="K982" t="s">
        <v>27</v>
      </c>
      <c r="L982" t="s">
        <v>65</v>
      </c>
      <c r="M982" t="s">
        <v>5266</v>
      </c>
      <c r="N982" t="s">
        <v>646</v>
      </c>
      <c r="O982" t="s">
        <v>83</v>
      </c>
      <c r="P982" t="s">
        <v>5267</v>
      </c>
      <c r="Q982" t="s">
        <v>43</v>
      </c>
      <c r="R982" s="23" t="s">
        <v>5212</v>
      </c>
      <c r="S982" s="23">
        <v>46167</v>
      </c>
      <c r="T982">
        <v>11.45</v>
      </c>
      <c r="U982">
        <v>5943</v>
      </c>
      <c r="V982">
        <v>899.94</v>
      </c>
      <c r="W982">
        <v>6842.9400000000005</v>
      </c>
    </row>
    <row r="983" spans="1:23" hidden="1" x14ac:dyDescent="0.25">
      <c r="A983">
        <v>15741</v>
      </c>
      <c r="B983">
        <v>455268793</v>
      </c>
      <c r="C983" t="s">
        <v>5268</v>
      </c>
      <c r="D983" s="8" t="s">
        <v>5269</v>
      </c>
      <c r="E983" t="s">
        <v>644</v>
      </c>
      <c r="G983" t="s">
        <v>62</v>
      </c>
      <c r="H983" t="s">
        <v>63</v>
      </c>
      <c r="I983" t="s">
        <v>30</v>
      </c>
      <c r="J983" t="s">
        <v>64</v>
      </c>
      <c r="K983" t="s">
        <v>27</v>
      </c>
      <c r="L983" t="s">
        <v>65</v>
      </c>
      <c r="M983" t="s">
        <v>5270</v>
      </c>
      <c r="N983" t="s">
        <v>646</v>
      </c>
      <c r="O983" t="s">
        <v>83</v>
      </c>
      <c r="P983" t="s">
        <v>5271</v>
      </c>
      <c r="Q983" t="s">
        <v>107</v>
      </c>
      <c r="R983" s="23" t="s">
        <v>5212</v>
      </c>
      <c r="S983" s="23">
        <v>46167</v>
      </c>
      <c r="T983">
        <v>12.72</v>
      </c>
      <c r="U983">
        <v>11161</v>
      </c>
      <c r="V983">
        <v>899.94</v>
      </c>
      <c r="W983">
        <v>12060.94</v>
      </c>
    </row>
    <row r="984" spans="1:23" hidden="1" x14ac:dyDescent="0.25">
      <c r="A984">
        <v>15741</v>
      </c>
      <c r="B984">
        <v>455268792</v>
      </c>
      <c r="C984" t="s">
        <v>5272</v>
      </c>
      <c r="D984" s="8" t="s">
        <v>5273</v>
      </c>
      <c r="E984" t="s">
        <v>644</v>
      </c>
      <c r="G984" t="s">
        <v>62</v>
      </c>
      <c r="H984" t="s">
        <v>63</v>
      </c>
      <c r="I984" t="s">
        <v>30</v>
      </c>
      <c r="J984" t="s">
        <v>64</v>
      </c>
      <c r="K984" t="s">
        <v>27</v>
      </c>
      <c r="L984" t="s">
        <v>65</v>
      </c>
      <c r="M984" t="s">
        <v>5274</v>
      </c>
      <c r="N984" t="s">
        <v>646</v>
      </c>
      <c r="O984" t="s">
        <v>83</v>
      </c>
      <c r="P984" t="s">
        <v>5275</v>
      </c>
      <c r="Q984" t="s">
        <v>81</v>
      </c>
      <c r="R984" s="23" t="s">
        <v>5212</v>
      </c>
      <c r="S984" s="23">
        <v>46167</v>
      </c>
      <c r="T984">
        <v>21.06</v>
      </c>
      <c r="U984">
        <v>8777</v>
      </c>
      <c r="V984">
        <v>1619.94</v>
      </c>
      <c r="W984">
        <v>10396.94</v>
      </c>
    </row>
    <row r="985" spans="1:23" hidden="1" x14ac:dyDescent="0.25">
      <c r="A985">
        <v>15741</v>
      </c>
      <c r="B985">
        <v>455268789</v>
      </c>
      <c r="C985" t="s">
        <v>5276</v>
      </c>
      <c r="D985" s="8" t="s">
        <v>5277</v>
      </c>
      <c r="E985" t="s">
        <v>644</v>
      </c>
      <c r="G985" t="s">
        <v>62</v>
      </c>
      <c r="H985" t="s">
        <v>63</v>
      </c>
      <c r="I985" t="s">
        <v>30</v>
      </c>
      <c r="J985" t="s">
        <v>64</v>
      </c>
      <c r="K985" t="s">
        <v>27</v>
      </c>
      <c r="L985" t="s">
        <v>65</v>
      </c>
      <c r="M985" t="s">
        <v>5278</v>
      </c>
      <c r="N985" t="s">
        <v>646</v>
      </c>
      <c r="O985" t="s">
        <v>83</v>
      </c>
      <c r="P985" t="s">
        <v>5279</v>
      </c>
      <c r="Q985" t="s">
        <v>49</v>
      </c>
      <c r="R985" s="23" t="s">
        <v>5212</v>
      </c>
      <c r="S985" s="23">
        <v>46167</v>
      </c>
      <c r="T985">
        <v>16.3</v>
      </c>
      <c r="U985">
        <v>6414</v>
      </c>
      <c r="V985">
        <v>899.94</v>
      </c>
      <c r="W985">
        <v>7313.9400000000005</v>
      </c>
    </row>
    <row r="986" spans="1:23" hidden="1" x14ac:dyDescent="0.25">
      <c r="A986">
        <v>15741</v>
      </c>
      <c r="B986">
        <v>455268786</v>
      </c>
      <c r="C986" t="s">
        <v>5280</v>
      </c>
      <c r="D986" s="8" t="s">
        <v>5281</v>
      </c>
      <c r="E986" t="s">
        <v>644</v>
      </c>
      <c r="G986" t="s">
        <v>62</v>
      </c>
      <c r="H986" t="s">
        <v>63</v>
      </c>
      <c r="I986" t="s">
        <v>30</v>
      </c>
      <c r="J986" t="s">
        <v>64</v>
      </c>
      <c r="K986" t="s">
        <v>27</v>
      </c>
      <c r="L986" t="s">
        <v>65</v>
      </c>
      <c r="M986" t="s">
        <v>5282</v>
      </c>
      <c r="N986" t="s">
        <v>646</v>
      </c>
      <c r="O986" t="s">
        <v>83</v>
      </c>
      <c r="P986" t="s">
        <v>5283</v>
      </c>
      <c r="Q986" t="s">
        <v>81</v>
      </c>
      <c r="R986" s="23" t="s">
        <v>5212</v>
      </c>
      <c r="S986" s="23">
        <v>46167</v>
      </c>
      <c r="T986">
        <v>9.3000000000000007</v>
      </c>
      <c r="U986">
        <v>5465</v>
      </c>
      <c r="V986">
        <v>0</v>
      </c>
      <c r="W986">
        <v>5465</v>
      </c>
    </row>
    <row r="987" spans="1:23" hidden="1" x14ac:dyDescent="0.25">
      <c r="A987">
        <v>15741</v>
      </c>
      <c r="B987">
        <v>455268788</v>
      </c>
      <c r="C987" t="s">
        <v>5284</v>
      </c>
      <c r="D987" s="8" t="s">
        <v>5285</v>
      </c>
      <c r="E987" t="s">
        <v>644</v>
      </c>
      <c r="G987" t="s">
        <v>62</v>
      </c>
      <c r="H987" t="s">
        <v>63</v>
      </c>
      <c r="I987" t="s">
        <v>30</v>
      </c>
      <c r="J987" t="s">
        <v>64</v>
      </c>
      <c r="K987" t="s">
        <v>27</v>
      </c>
      <c r="L987" t="s">
        <v>65</v>
      </c>
      <c r="M987" t="s">
        <v>5286</v>
      </c>
      <c r="N987" t="s">
        <v>646</v>
      </c>
      <c r="O987" t="s">
        <v>83</v>
      </c>
      <c r="P987" t="s">
        <v>5287</v>
      </c>
      <c r="Q987" t="s">
        <v>213</v>
      </c>
      <c r="R987" s="23" t="s">
        <v>5212</v>
      </c>
      <c r="S987" s="23">
        <v>46167</v>
      </c>
      <c r="T987">
        <v>9.6999999999999993</v>
      </c>
      <c r="U987">
        <v>5465</v>
      </c>
      <c r="V987">
        <v>0</v>
      </c>
      <c r="W987">
        <v>5465</v>
      </c>
    </row>
    <row r="988" spans="1:23" hidden="1" x14ac:dyDescent="0.25">
      <c r="A988">
        <v>15741</v>
      </c>
      <c r="B988">
        <v>455268785</v>
      </c>
      <c r="C988" t="s">
        <v>5288</v>
      </c>
      <c r="D988" s="8" t="s">
        <v>5289</v>
      </c>
      <c r="E988" t="s">
        <v>644</v>
      </c>
      <c r="G988" t="s">
        <v>62</v>
      </c>
      <c r="H988" t="s">
        <v>63</v>
      </c>
      <c r="I988" t="s">
        <v>30</v>
      </c>
      <c r="J988" t="s">
        <v>64</v>
      </c>
      <c r="K988" t="s">
        <v>27</v>
      </c>
      <c r="L988" t="s">
        <v>65</v>
      </c>
      <c r="M988" t="s">
        <v>5290</v>
      </c>
      <c r="N988" t="s">
        <v>646</v>
      </c>
      <c r="O988" t="s">
        <v>83</v>
      </c>
      <c r="P988" t="s">
        <v>5291</v>
      </c>
      <c r="Q988" t="s">
        <v>51</v>
      </c>
      <c r="R988" s="23" t="s">
        <v>5212</v>
      </c>
      <c r="S988" s="23">
        <v>46167</v>
      </c>
      <c r="T988">
        <v>7.11</v>
      </c>
      <c r="U988">
        <v>5465</v>
      </c>
      <c r="V988">
        <v>0</v>
      </c>
      <c r="W988">
        <v>5465</v>
      </c>
    </row>
    <row r="989" spans="1:23" hidden="1" x14ac:dyDescent="0.25">
      <c r="A989">
        <v>15741</v>
      </c>
      <c r="B989">
        <v>455268783</v>
      </c>
      <c r="C989" t="s">
        <v>5292</v>
      </c>
      <c r="D989" s="8" t="s">
        <v>5293</v>
      </c>
      <c r="E989" t="s">
        <v>644</v>
      </c>
      <c r="G989" t="s">
        <v>62</v>
      </c>
      <c r="H989" t="s">
        <v>63</v>
      </c>
      <c r="I989" t="s">
        <v>30</v>
      </c>
      <c r="J989" t="s">
        <v>64</v>
      </c>
      <c r="K989" t="s">
        <v>27</v>
      </c>
      <c r="L989" t="s">
        <v>65</v>
      </c>
      <c r="M989" t="s">
        <v>5294</v>
      </c>
      <c r="N989" t="s">
        <v>646</v>
      </c>
      <c r="O989" t="s">
        <v>83</v>
      </c>
      <c r="P989" t="s">
        <v>5295</v>
      </c>
      <c r="Q989" t="s">
        <v>44</v>
      </c>
      <c r="R989" s="23" t="s">
        <v>5296</v>
      </c>
      <c r="S989" s="23">
        <v>46167</v>
      </c>
      <c r="T989">
        <v>11.94</v>
      </c>
      <c r="U989">
        <v>5943</v>
      </c>
      <c r="V989">
        <v>899.94</v>
      </c>
      <c r="W989">
        <v>6842.9400000000005</v>
      </c>
    </row>
    <row r="990" spans="1:23" hidden="1" x14ac:dyDescent="0.25">
      <c r="A990">
        <v>15741</v>
      </c>
      <c r="B990">
        <v>455268780</v>
      </c>
      <c r="C990" t="s">
        <v>5297</v>
      </c>
      <c r="D990" s="8" t="s">
        <v>5298</v>
      </c>
      <c r="E990" t="s">
        <v>644</v>
      </c>
      <c r="G990" t="s">
        <v>62</v>
      </c>
      <c r="H990" t="s">
        <v>63</v>
      </c>
      <c r="I990" t="s">
        <v>30</v>
      </c>
      <c r="J990" t="s">
        <v>64</v>
      </c>
      <c r="K990" t="s">
        <v>27</v>
      </c>
      <c r="L990" t="s">
        <v>65</v>
      </c>
      <c r="M990" t="s">
        <v>5299</v>
      </c>
      <c r="N990" t="s">
        <v>646</v>
      </c>
      <c r="O990" t="s">
        <v>83</v>
      </c>
      <c r="P990" t="s">
        <v>5300</v>
      </c>
      <c r="Q990" t="s">
        <v>89</v>
      </c>
      <c r="R990" s="23" t="s">
        <v>5296</v>
      </c>
      <c r="S990" s="23">
        <v>46167</v>
      </c>
      <c r="T990">
        <v>7.24</v>
      </c>
      <c r="U990">
        <v>5465</v>
      </c>
      <c r="V990">
        <v>0</v>
      </c>
      <c r="W990">
        <v>5465</v>
      </c>
    </row>
    <row r="991" spans="1:23" hidden="1" x14ac:dyDescent="0.25">
      <c r="A991">
        <v>15741</v>
      </c>
      <c r="B991">
        <v>455268779</v>
      </c>
      <c r="C991" t="s">
        <v>5301</v>
      </c>
      <c r="D991" s="8" t="s">
        <v>5302</v>
      </c>
      <c r="E991" t="s">
        <v>644</v>
      </c>
      <c r="G991" t="s">
        <v>62</v>
      </c>
      <c r="H991" t="s">
        <v>63</v>
      </c>
      <c r="I991" t="s">
        <v>30</v>
      </c>
      <c r="J991" t="s">
        <v>64</v>
      </c>
      <c r="K991" t="s">
        <v>196</v>
      </c>
      <c r="L991" t="s">
        <v>300</v>
      </c>
      <c r="M991" t="s">
        <v>5303</v>
      </c>
      <c r="N991" t="s">
        <v>646</v>
      </c>
      <c r="O991" t="s">
        <v>83</v>
      </c>
      <c r="P991" t="s">
        <v>5304</v>
      </c>
      <c r="Q991" t="s">
        <v>45</v>
      </c>
      <c r="R991" s="23" t="s">
        <v>5296</v>
      </c>
      <c r="S991" s="23">
        <v>46167</v>
      </c>
      <c r="T991">
        <v>63.26</v>
      </c>
      <c r="U991">
        <v>27724</v>
      </c>
      <c r="V991">
        <v>2039.76</v>
      </c>
      <c r="W991">
        <v>29763.759999999998</v>
      </c>
    </row>
    <row r="992" spans="1:23" hidden="1" x14ac:dyDescent="0.25">
      <c r="A992">
        <v>15741</v>
      </c>
      <c r="B992">
        <v>455268778</v>
      </c>
      <c r="C992" t="s">
        <v>5305</v>
      </c>
      <c r="D992" s="8" t="s">
        <v>5306</v>
      </c>
      <c r="E992" t="s">
        <v>644</v>
      </c>
      <c r="G992" t="s">
        <v>62</v>
      </c>
      <c r="H992" t="s">
        <v>63</v>
      </c>
      <c r="I992" t="s">
        <v>30</v>
      </c>
      <c r="J992" t="s">
        <v>64</v>
      </c>
      <c r="K992" t="s">
        <v>27</v>
      </c>
      <c r="L992" t="s">
        <v>65</v>
      </c>
      <c r="M992" t="s">
        <v>5307</v>
      </c>
      <c r="N992" t="s">
        <v>646</v>
      </c>
      <c r="O992" t="s">
        <v>83</v>
      </c>
      <c r="P992" t="s">
        <v>5308</v>
      </c>
      <c r="Q992" t="s">
        <v>58</v>
      </c>
      <c r="R992" s="23" t="s">
        <v>5296</v>
      </c>
      <c r="S992" s="23">
        <v>46167</v>
      </c>
      <c r="T992">
        <v>6.71</v>
      </c>
      <c r="U992">
        <v>9209</v>
      </c>
      <c r="V992">
        <v>0</v>
      </c>
      <c r="W992">
        <v>9209</v>
      </c>
    </row>
    <row r="993" spans="1:23" hidden="1" x14ac:dyDescent="0.25">
      <c r="A993">
        <v>15741</v>
      </c>
      <c r="B993">
        <v>455268776</v>
      </c>
      <c r="C993" t="s">
        <v>5309</v>
      </c>
      <c r="D993" s="8" t="s">
        <v>5310</v>
      </c>
      <c r="E993" t="s">
        <v>644</v>
      </c>
      <c r="G993" t="s">
        <v>62</v>
      </c>
      <c r="H993" t="s">
        <v>63</v>
      </c>
      <c r="I993" t="s">
        <v>30</v>
      </c>
      <c r="J993" t="s">
        <v>64</v>
      </c>
      <c r="K993" t="s">
        <v>27</v>
      </c>
      <c r="L993" t="s">
        <v>215</v>
      </c>
      <c r="M993" t="s">
        <v>5311</v>
      </c>
      <c r="N993" t="s">
        <v>646</v>
      </c>
      <c r="O993" t="s">
        <v>83</v>
      </c>
      <c r="P993" t="s">
        <v>5312</v>
      </c>
      <c r="Q993" t="s">
        <v>88</v>
      </c>
      <c r="R993" s="23" t="s">
        <v>5296</v>
      </c>
      <c r="S993" s="23">
        <v>46167</v>
      </c>
      <c r="T993">
        <v>31.74</v>
      </c>
      <c r="U993">
        <v>25950</v>
      </c>
      <c r="V993">
        <v>1859.88</v>
      </c>
      <c r="W993">
        <v>27809.88</v>
      </c>
    </row>
    <row r="994" spans="1:23" hidden="1" x14ac:dyDescent="0.25">
      <c r="A994">
        <v>15741</v>
      </c>
      <c r="B994">
        <v>455268775</v>
      </c>
      <c r="C994" t="s">
        <v>5313</v>
      </c>
      <c r="D994" s="8" t="s">
        <v>5314</v>
      </c>
      <c r="E994" t="s">
        <v>644</v>
      </c>
      <c r="G994" t="s">
        <v>62</v>
      </c>
      <c r="H994" t="s">
        <v>63</v>
      </c>
      <c r="I994" t="s">
        <v>30</v>
      </c>
      <c r="J994" t="s">
        <v>64</v>
      </c>
      <c r="K994" t="s">
        <v>27</v>
      </c>
      <c r="L994" t="s">
        <v>65</v>
      </c>
      <c r="M994" t="s">
        <v>5315</v>
      </c>
      <c r="N994" t="s">
        <v>646</v>
      </c>
      <c r="O994" t="s">
        <v>83</v>
      </c>
      <c r="P994" t="s">
        <v>5316</v>
      </c>
      <c r="Q994" t="s">
        <v>78</v>
      </c>
      <c r="R994" s="23" t="s">
        <v>5296</v>
      </c>
      <c r="S994" s="23">
        <v>46167</v>
      </c>
      <c r="T994">
        <v>20.399999999999999</v>
      </c>
      <c r="U994">
        <v>8303</v>
      </c>
      <c r="V994">
        <v>1619.94</v>
      </c>
      <c r="W994">
        <v>9922.94</v>
      </c>
    </row>
    <row r="995" spans="1:23" hidden="1" x14ac:dyDescent="0.25">
      <c r="A995">
        <v>15741</v>
      </c>
      <c r="B995">
        <v>455268773</v>
      </c>
      <c r="C995" t="s">
        <v>5317</v>
      </c>
      <c r="D995" s="8" t="s">
        <v>5318</v>
      </c>
      <c r="E995" t="s">
        <v>644</v>
      </c>
      <c r="G995" t="s">
        <v>62</v>
      </c>
      <c r="H995" t="s">
        <v>63</v>
      </c>
      <c r="I995" t="s">
        <v>30</v>
      </c>
      <c r="J995" t="s">
        <v>64</v>
      </c>
      <c r="K995" t="s">
        <v>27</v>
      </c>
      <c r="L995" t="s">
        <v>65</v>
      </c>
      <c r="M995" t="s">
        <v>5319</v>
      </c>
      <c r="N995" t="s">
        <v>646</v>
      </c>
      <c r="O995" t="s">
        <v>83</v>
      </c>
      <c r="P995" t="s">
        <v>5320</v>
      </c>
      <c r="Q995" t="s">
        <v>66</v>
      </c>
      <c r="R995" s="23" t="s">
        <v>5296</v>
      </c>
      <c r="S995" s="23">
        <v>46167</v>
      </c>
      <c r="T995">
        <v>11.21</v>
      </c>
      <c r="U995">
        <v>5943</v>
      </c>
      <c r="V995">
        <v>899.94</v>
      </c>
      <c r="W995">
        <v>6842.9400000000005</v>
      </c>
    </row>
    <row r="996" spans="1:23" hidden="1" x14ac:dyDescent="0.25">
      <c r="A996">
        <v>15741</v>
      </c>
      <c r="B996">
        <v>455268772</v>
      </c>
      <c r="C996" t="s">
        <v>5321</v>
      </c>
      <c r="D996" s="8" t="s">
        <v>5322</v>
      </c>
      <c r="E996" t="s">
        <v>644</v>
      </c>
      <c r="G996" t="s">
        <v>62</v>
      </c>
      <c r="H996" t="s">
        <v>63</v>
      </c>
      <c r="I996" t="s">
        <v>30</v>
      </c>
      <c r="J996" t="s">
        <v>64</v>
      </c>
      <c r="K996" t="s">
        <v>27</v>
      </c>
      <c r="L996" t="s">
        <v>65</v>
      </c>
      <c r="M996" t="s">
        <v>5323</v>
      </c>
      <c r="N996" t="s">
        <v>646</v>
      </c>
      <c r="O996" t="s">
        <v>83</v>
      </c>
      <c r="P996" t="s">
        <v>5324</v>
      </c>
      <c r="Q996" t="s">
        <v>50</v>
      </c>
      <c r="R996" s="23" t="s">
        <v>5296</v>
      </c>
      <c r="S996" s="23">
        <v>46167</v>
      </c>
      <c r="T996">
        <v>15.47</v>
      </c>
      <c r="U996">
        <v>5943</v>
      </c>
      <c r="V996">
        <v>959.94</v>
      </c>
      <c r="W996">
        <v>6902.9400000000005</v>
      </c>
    </row>
    <row r="997" spans="1:23" hidden="1" x14ac:dyDescent="0.25">
      <c r="A997">
        <v>15741</v>
      </c>
      <c r="B997">
        <v>455268771</v>
      </c>
      <c r="C997" t="s">
        <v>5325</v>
      </c>
      <c r="D997" s="8" t="s">
        <v>5326</v>
      </c>
      <c r="E997" t="s">
        <v>644</v>
      </c>
      <c r="G997" t="s">
        <v>62</v>
      </c>
      <c r="H997" t="s">
        <v>63</v>
      </c>
      <c r="I997" t="s">
        <v>30</v>
      </c>
      <c r="J997" t="s">
        <v>64</v>
      </c>
      <c r="K997" t="s">
        <v>27</v>
      </c>
      <c r="L997" t="s">
        <v>65</v>
      </c>
      <c r="M997" t="s">
        <v>5327</v>
      </c>
      <c r="N997" t="s">
        <v>646</v>
      </c>
      <c r="O997" t="s">
        <v>83</v>
      </c>
      <c r="P997" t="s">
        <v>5328</v>
      </c>
      <c r="Q997" t="s">
        <v>45</v>
      </c>
      <c r="R997" s="23" t="s">
        <v>5296</v>
      </c>
      <c r="S997" s="23">
        <v>46167</v>
      </c>
      <c r="T997">
        <v>14.67</v>
      </c>
      <c r="U997">
        <v>5943</v>
      </c>
      <c r="V997">
        <v>959.94</v>
      </c>
      <c r="W997">
        <v>6902.9400000000005</v>
      </c>
    </row>
    <row r="998" spans="1:23" hidden="1" x14ac:dyDescent="0.25">
      <c r="A998">
        <v>15741</v>
      </c>
      <c r="B998">
        <v>455268770</v>
      </c>
      <c r="C998" t="s">
        <v>5329</v>
      </c>
      <c r="D998" s="8" t="s">
        <v>5330</v>
      </c>
      <c r="E998" t="s">
        <v>644</v>
      </c>
      <c r="G998" t="s">
        <v>62</v>
      </c>
      <c r="H998" t="s">
        <v>63</v>
      </c>
      <c r="I998" t="s">
        <v>30</v>
      </c>
      <c r="J998" t="s">
        <v>64</v>
      </c>
      <c r="K998" t="s">
        <v>196</v>
      </c>
      <c r="L998" t="s">
        <v>217</v>
      </c>
      <c r="M998" t="s">
        <v>5331</v>
      </c>
      <c r="N998" t="s">
        <v>646</v>
      </c>
      <c r="O998" t="s">
        <v>83</v>
      </c>
      <c r="P998" t="s">
        <v>5332</v>
      </c>
      <c r="Q998" t="s">
        <v>86</v>
      </c>
      <c r="R998" s="23" t="s">
        <v>5296</v>
      </c>
      <c r="S998" s="23">
        <v>46167</v>
      </c>
      <c r="T998">
        <v>22.68</v>
      </c>
      <c r="U998">
        <v>9248</v>
      </c>
      <c r="V998">
        <v>959.88</v>
      </c>
      <c r="W998">
        <v>10207.879999999999</v>
      </c>
    </row>
    <row r="999" spans="1:23" hidden="1" x14ac:dyDescent="0.25">
      <c r="A999">
        <v>15741</v>
      </c>
      <c r="B999">
        <v>455268768</v>
      </c>
      <c r="C999" t="s">
        <v>5333</v>
      </c>
      <c r="D999" s="8" t="s">
        <v>5334</v>
      </c>
      <c r="E999" t="s">
        <v>644</v>
      </c>
      <c r="G999" t="s">
        <v>62</v>
      </c>
      <c r="H999" t="s">
        <v>63</v>
      </c>
      <c r="I999" t="s">
        <v>30</v>
      </c>
      <c r="J999" t="s">
        <v>64</v>
      </c>
      <c r="K999" t="s">
        <v>27</v>
      </c>
      <c r="L999" t="s">
        <v>65</v>
      </c>
      <c r="M999" t="s">
        <v>5335</v>
      </c>
      <c r="N999" t="s">
        <v>646</v>
      </c>
      <c r="O999" t="s">
        <v>83</v>
      </c>
      <c r="P999" t="s">
        <v>5336</v>
      </c>
      <c r="Q999" t="s">
        <v>87</v>
      </c>
      <c r="R999" s="23" t="s">
        <v>5296</v>
      </c>
      <c r="S999" s="23">
        <v>46167</v>
      </c>
      <c r="T999">
        <v>14.46</v>
      </c>
      <c r="U999">
        <v>5943</v>
      </c>
      <c r="V999">
        <v>959.94</v>
      </c>
      <c r="W999">
        <v>6902.9400000000005</v>
      </c>
    </row>
    <row r="1000" spans="1:23" hidden="1" x14ac:dyDescent="0.25">
      <c r="A1000">
        <v>15741</v>
      </c>
      <c r="B1000">
        <v>455268767</v>
      </c>
      <c r="C1000" t="s">
        <v>5337</v>
      </c>
      <c r="D1000" s="8" t="s">
        <v>5338</v>
      </c>
      <c r="E1000" t="s">
        <v>644</v>
      </c>
      <c r="G1000" t="s">
        <v>62</v>
      </c>
      <c r="H1000" t="s">
        <v>63</v>
      </c>
      <c r="I1000" t="s">
        <v>30</v>
      </c>
      <c r="J1000" t="s">
        <v>64</v>
      </c>
      <c r="K1000" t="s">
        <v>27</v>
      </c>
      <c r="L1000" t="s">
        <v>65</v>
      </c>
      <c r="M1000" t="s">
        <v>5339</v>
      </c>
      <c r="N1000" t="s">
        <v>646</v>
      </c>
      <c r="O1000" t="s">
        <v>83</v>
      </c>
      <c r="P1000" t="s">
        <v>5340</v>
      </c>
      <c r="Q1000" t="s">
        <v>47</v>
      </c>
      <c r="R1000" s="23" t="s">
        <v>5296</v>
      </c>
      <c r="S1000" s="23">
        <v>46167</v>
      </c>
      <c r="T1000">
        <v>12.08</v>
      </c>
      <c r="U1000">
        <v>5943</v>
      </c>
      <c r="V1000">
        <v>599.94000000000005</v>
      </c>
      <c r="W1000">
        <v>6542.9400000000005</v>
      </c>
    </row>
    <row r="1001" spans="1:23" hidden="1" x14ac:dyDescent="0.25">
      <c r="A1001">
        <v>15741</v>
      </c>
      <c r="B1001">
        <v>455268765</v>
      </c>
      <c r="C1001" t="s">
        <v>5341</v>
      </c>
      <c r="D1001" s="8" t="s">
        <v>5342</v>
      </c>
      <c r="E1001" t="s">
        <v>644</v>
      </c>
      <c r="G1001" t="s">
        <v>62</v>
      </c>
      <c r="H1001" t="s">
        <v>63</v>
      </c>
      <c r="I1001" t="s">
        <v>30</v>
      </c>
      <c r="J1001" t="s">
        <v>64</v>
      </c>
      <c r="K1001" t="s">
        <v>27</v>
      </c>
      <c r="L1001" t="s">
        <v>65</v>
      </c>
      <c r="M1001" t="s">
        <v>5343</v>
      </c>
      <c r="N1001" t="s">
        <v>646</v>
      </c>
      <c r="O1001" t="s">
        <v>83</v>
      </c>
      <c r="P1001" t="s">
        <v>5344</v>
      </c>
      <c r="Q1001" t="s">
        <v>140</v>
      </c>
      <c r="R1001" s="23" t="s">
        <v>5296</v>
      </c>
      <c r="S1001" s="23">
        <v>46167</v>
      </c>
      <c r="T1001">
        <v>20.91</v>
      </c>
      <c r="U1001">
        <v>13306</v>
      </c>
      <c r="V1001">
        <v>1619.94</v>
      </c>
      <c r="W1001">
        <v>14925.94</v>
      </c>
    </row>
    <row r="1002" spans="1:23" hidden="1" x14ac:dyDescent="0.25">
      <c r="A1002">
        <v>15741</v>
      </c>
      <c r="B1002">
        <v>455268762</v>
      </c>
      <c r="C1002" t="s">
        <v>5345</v>
      </c>
      <c r="D1002" s="8" t="s">
        <v>5346</v>
      </c>
      <c r="E1002" t="s">
        <v>644</v>
      </c>
      <c r="G1002" t="s">
        <v>62</v>
      </c>
      <c r="H1002" t="s">
        <v>63</v>
      </c>
      <c r="I1002" t="s">
        <v>30</v>
      </c>
      <c r="J1002" t="s">
        <v>64</v>
      </c>
      <c r="K1002" t="s">
        <v>27</v>
      </c>
      <c r="L1002" t="s">
        <v>65</v>
      </c>
      <c r="M1002" t="s">
        <v>5347</v>
      </c>
      <c r="N1002" t="s">
        <v>646</v>
      </c>
      <c r="O1002" t="s">
        <v>83</v>
      </c>
      <c r="P1002" t="s">
        <v>5348</v>
      </c>
      <c r="Q1002" t="s">
        <v>43</v>
      </c>
      <c r="R1002" s="23" t="s">
        <v>5296</v>
      </c>
      <c r="S1002" s="23">
        <v>46167</v>
      </c>
      <c r="T1002">
        <v>11.09</v>
      </c>
      <c r="U1002">
        <v>5943</v>
      </c>
      <c r="V1002">
        <v>899.94</v>
      </c>
      <c r="W1002">
        <v>6842.9400000000005</v>
      </c>
    </row>
    <row r="1003" spans="1:23" hidden="1" x14ac:dyDescent="0.25">
      <c r="A1003">
        <v>15741</v>
      </c>
      <c r="B1003">
        <v>455268760</v>
      </c>
      <c r="C1003" t="s">
        <v>5349</v>
      </c>
      <c r="D1003" s="8" t="s">
        <v>5350</v>
      </c>
      <c r="E1003" t="s">
        <v>644</v>
      </c>
      <c r="G1003" t="s">
        <v>62</v>
      </c>
      <c r="H1003" t="s">
        <v>63</v>
      </c>
      <c r="I1003" t="s">
        <v>30</v>
      </c>
      <c r="J1003" t="s">
        <v>64</v>
      </c>
      <c r="K1003" t="s">
        <v>27</v>
      </c>
      <c r="L1003" t="s">
        <v>65</v>
      </c>
      <c r="M1003" t="s">
        <v>5351</v>
      </c>
      <c r="N1003" t="s">
        <v>646</v>
      </c>
      <c r="O1003" t="s">
        <v>83</v>
      </c>
      <c r="P1003" t="s">
        <v>5352</v>
      </c>
      <c r="Q1003" t="s">
        <v>44</v>
      </c>
      <c r="R1003" s="23" t="s">
        <v>5296</v>
      </c>
      <c r="S1003" s="23">
        <v>46167</v>
      </c>
      <c r="T1003">
        <v>11.99</v>
      </c>
      <c r="U1003">
        <v>5943</v>
      </c>
      <c r="V1003">
        <v>899.94</v>
      </c>
      <c r="W1003">
        <v>6842.9400000000005</v>
      </c>
    </row>
    <row r="1004" spans="1:23" hidden="1" x14ac:dyDescent="0.25">
      <c r="A1004">
        <v>15741</v>
      </c>
      <c r="B1004">
        <v>455268758</v>
      </c>
      <c r="C1004" t="s">
        <v>5353</v>
      </c>
      <c r="D1004" s="8" t="s">
        <v>5354</v>
      </c>
      <c r="E1004" t="s">
        <v>644</v>
      </c>
      <c r="G1004" t="s">
        <v>62</v>
      </c>
      <c r="H1004" t="s">
        <v>63</v>
      </c>
      <c r="I1004" t="s">
        <v>30</v>
      </c>
      <c r="J1004" t="s">
        <v>64</v>
      </c>
      <c r="K1004" t="s">
        <v>27</v>
      </c>
      <c r="L1004" t="s">
        <v>65</v>
      </c>
      <c r="M1004" t="s">
        <v>5355</v>
      </c>
      <c r="N1004" t="s">
        <v>646</v>
      </c>
      <c r="O1004" t="s">
        <v>83</v>
      </c>
      <c r="P1004" t="s">
        <v>5356</v>
      </c>
      <c r="Q1004" t="s">
        <v>45</v>
      </c>
      <c r="R1004" s="23" t="s">
        <v>5296</v>
      </c>
      <c r="S1004" s="23">
        <v>46167</v>
      </c>
      <c r="T1004">
        <v>11.17</v>
      </c>
      <c r="U1004">
        <v>5943</v>
      </c>
      <c r="V1004">
        <v>899.94</v>
      </c>
      <c r="W1004">
        <v>6842.9400000000005</v>
      </c>
    </row>
    <row r="1005" spans="1:23" hidden="1" x14ac:dyDescent="0.25">
      <c r="A1005">
        <v>15741</v>
      </c>
      <c r="B1005">
        <v>455268757</v>
      </c>
      <c r="C1005" t="s">
        <v>5357</v>
      </c>
      <c r="D1005" s="8" t="s">
        <v>5358</v>
      </c>
      <c r="E1005" t="s">
        <v>644</v>
      </c>
      <c r="G1005" t="s">
        <v>62</v>
      </c>
      <c r="H1005" t="s">
        <v>63</v>
      </c>
      <c r="I1005" t="s">
        <v>30</v>
      </c>
      <c r="J1005" t="s">
        <v>64</v>
      </c>
      <c r="K1005" t="s">
        <v>27</v>
      </c>
      <c r="L1005" t="s">
        <v>65</v>
      </c>
      <c r="M1005" t="s">
        <v>5359</v>
      </c>
      <c r="N1005" t="s">
        <v>646</v>
      </c>
      <c r="O1005" t="s">
        <v>83</v>
      </c>
      <c r="P1005" t="s">
        <v>5360</v>
      </c>
      <c r="Q1005" t="s">
        <v>43</v>
      </c>
      <c r="R1005" s="23" t="s">
        <v>5296</v>
      </c>
      <c r="S1005" s="23">
        <v>46167</v>
      </c>
      <c r="T1005">
        <v>11.35</v>
      </c>
      <c r="U1005">
        <v>5943</v>
      </c>
      <c r="V1005">
        <v>899.94</v>
      </c>
      <c r="W1005">
        <v>6842.9400000000005</v>
      </c>
    </row>
    <row r="1006" spans="1:23" hidden="1" x14ac:dyDescent="0.25">
      <c r="A1006">
        <v>15741</v>
      </c>
      <c r="B1006">
        <v>455268756</v>
      </c>
      <c r="C1006" t="s">
        <v>5361</v>
      </c>
      <c r="D1006" s="8" t="s">
        <v>5362</v>
      </c>
      <c r="E1006" t="s">
        <v>644</v>
      </c>
      <c r="G1006" t="s">
        <v>62</v>
      </c>
      <c r="H1006" t="s">
        <v>63</v>
      </c>
      <c r="I1006" t="s">
        <v>30</v>
      </c>
      <c r="J1006" t="s">
        <v>64</v>
      </c>
      <c r="K1006" t="s">
        <v>27</v>
      </c>
      <c r="L1006" t="s">
        <v>65</v>
      </c>
      <c r="M1006" t="s">
        <v>5363</v>
      </c>
      <c r="N1006" t="s">
        <v>646</v>
      </c>
      <c r="O1006" t="s">
        <v>83</v>
      </c>
      <c r="P1006" t="s">
        <v>5364</v>
      </c>
      <c r="Q1006" t="s">
        <v>78</v>
      </c>
      <c r="R1006" s="23" t="s">
        <v>5296</v>
      </c>
      <c r="S1006" s="23">
        <v>46167</v>
      </c>
      <c r="T1006">
        <v>11.1</v>
      </c>
      <c r="U1006">
        <v>5943</v>
      </c>
      <c r="V1006">
        <v>959.94</v>
      </c>
      <c r="W1006">
        <v>6902.9400000000005</v>
      </c>
    </row>
    <row r="1007" spans="1:23" hidden="1" x14ac:dyDescent="0.25">
      <c r="A1007">
        <v>15741</v>
      </c>
      <c r="B1007">
        <v>455268638</v>
      </c>
      <c r="C1007" t="s">
        <v>5365</v>
      </c>
      <c r="D1007" s="8" t="s">
        <v>5366</v>
      </c>
      <c r="E1007" t="s">
        <v>644</v>
      </c>
      <c r="G1007" t="s">
        <v>62</v>
      </c>
      <c r="H1007" t="s">
        <v>63</v>
      </c>
      <c r="I1007" t="s">
        <v>30</v>
      </c>
      <c r="J1007" t="s">
        <v>64</v>
      </c>
      <c r="K1007" t="s">
        <v>27</v>
      </c>
      <c r="L1007" t="s">
        <v>65</v>
      </c>
      <c r="M1007" t="s">
        <v>5367</v>
      </c>
      <c r="N1007" t="s">
        <v>646</v>
      </c>
      <c r="O1007" t="s">
        <v>83</v>
      </c>
      <c r="P1007" t="s">
        <v>5368</v>
      </c>
      <c r="Q1007" t="s">
        <v>143</v>
      </c>
      <c r="R1007" s="23" t="s">
        <v>5369</v>
      </c>
      <c r="S1007" s="23">
        <v>46167</v>
      </c>
      <c r="T1007">
        <v>14.37</v>
      </c>
      <c r="U1007">
        <v>5943</v>
      </c>
      <c r="V1007">
        <v>959.94</v>
      </c>
      <c r="W1007">
        <v>6902.9400000000005</v>
      </c>
    </row>
    <row r="1008" spans="1:23" hidden="1" x14ac:dyDescent="0.25">
      <c r="A1008">
        <v>15741</v>
      </c>
      <c r="B1008">
        <v>455268636</v>
      </c>
      <c r="C1008" t="s">
        <v>5370</v>
      </c>
      <c r="D1008" s="8" t="s">
        <v>5371</v>
      </c>
      <c r="E1008" t="s">
        <v>644</v>
      </c>
      <c r="G1008" t="s">
        <v>62</v>
      </c>
      <c r="H1008" t="s">
        <v>63</v>
      </c>
      <c r="I1008" t="s">
        <v>30</v>
      </c>
      <c r="J1008" t="s">
        <v>64</v>
      </c>
      <c r="K1008" t="s">
        <v>27</v>
      </c>
      <c r="L1008" t="s">
        <v>65</v>
      </c>
      <c r="M1008" t="s">
        <v>5372</v>
      </c>
      <c r="N1008" t="s">
        <v>646</v>
      </c>
      <c r="O1008" t="s">
        <v>83</v>
      </c>
      <c r="P1008" t="s">
        <v>5373</v>
      </c>
      <c r="Q1008" t="s">
        <v>44</v>
      </c>
      <c r="R1008" s="23" t="s">
        <v>5369</v>
      </c>
      <c r="S1008" s="23">
        <v>46167</v>
      </c>
      <c r="T1008">
        <v>11.29</v>
      </c>
      <c r="U1008">
        <v>5943</v>
      </c>
      <c r="V1008">
        <v>899.94</v>
      </c>
      <c r="W1008">
        <v>6842.9400000000005</v>
      </c>
    </row>
    <row r="1009" spans="1:23" hidden="1" x14ac:dyDescent="0.25">
      <c r="A1009">
        <v>15741</v>
      </c>
      <c r="B1009">
        <v>455268635</v>
      </c>
      <c r="C1009" t="s">
        <v>5374</v>
      </c>
      <c r="D1009" s="8" t="s">
        <v>5375</v>
      </c>
      <c r="E1009" t="s">
        <v>644</v>
      </c>
      <c r="G1009" t="s">
        <v>62</v>
      </c>
      <c r="H1009" t="s">
        <v>63</v>
      </c>
      <c r="I1009" t="s">
        <v>30</v>
      </c>
      <c r="J1009" t="s">
        <v>64</v>
      </c>
      <c r="K1009" t="s">
        <v>27</v>
      </c>
      <c r="L1009" t="s">
        <v>65</v>
      </c>
      <c r="M1009" t="s">
        <v>5376</v>
      </c>
      <c r="N1009" t="s">
        <v>646</v>
      </c>
      <c r="O1009" t="s">
        <v>83</v>
      </c>
      <c r="P1009" t="s">
        <v>5377</v>
      </c>
      <c r="Q1009" t="s">
        <v>45</v>
      </c>
      <c r="R1009" s="23" t="s">
        <v>5369</v>
      </c>
      <c r="S1009" s="23">
        <v>46167</v>
      </c>
      <c r="T1009">
        <v>7.21</v>
      </c>
      <c r="U1009">
        <v>5465</v>
      </c>
      <c r="V1009">
        <v>0</v>
      </c>
      <c r="W1009">
        <v>5465</v>
      </c>
    </row>
    <row r="1010" spans="1:23" hidden="1" x14ac:dyDescent="0.25">
      <c r="A1010">
        <v>15741</v>
      </c>
      <c r="B1010">
        <v>455268267</v>
      </c>
      <c r="C1010" t="s">
        <v>5378</v>
      </c>
      <c r="D1010" s="8" t="s">
        <v>5379</v>
      </c>
      <c r="E1010" t="s">
        <v>644</v>
      </c>
      <c r="G1010" t="s">
        <v>62</v>
      </c>
      <c r="H1010" t="s">
        <v>63</v>
      </c>
      <c r="I1010" t="s">
        <v>30</v>
      </c>
      <c r="J1010" t="s">
        <v>64</v>
      </c>
      <c r="K1010" t="s">
        <v>27</v>
      </c>
      <c r="L1010" t="s">
        <v>65</v>
      </c>
      <c r="M1010" t="s">
        <v>5380</v>
      </c>
      <c r="N1010" t="s">
        <v>646</v>
      </c>
      <c r="O1010" t="s">
        <v>83</v>
      </c>
      <c r="P1010" t="s">
        <v>5381</v>
      </c>
      <c r="Q1010" t="s">
        <v>48</v>
      </c>
      <c r="R1010" s="23" t="s">
        <v>5382</v>
      </c>
      <c r="S1010" s="23">
        <v>46167</v>
      </c>
      <c r="T1010">
        <v>11.15</v>
      </c>
      <c r="U1010">
        <v>5943</v>
      </c>
      <c r="V1010">
        <v>899.94</v>
      </c>
      <c r="W1010">
        <v>6842.9400000000005</v>
      </c>
    </row>
    <row r="1011" spans="1:23" hidden="1" x14ac:dyDescent="0.25">
      <c r="A1011">
        <v>15741</v>
      </c>
      <c r="B1011">
        <v>455311953</v>
      </c>
      <c r="C1011" t="s">
        <v>5383</v>
      </c>
      <c r="D1011" s="8" t="s">
        <v>5384</v>
      </c>
      <c r="E1011" t="s">
        <v>644</v>
      </c>
      <c r="G1011" t="s">
        <v>62</v>
      </c>
      <c r="H1011" t="s">
        <v>63</v>
      </c>
      <c r="I1011" t="s">
        <v>30</v>
      </c>
      <c r="J1011" t="s">
        <v>64</v>
      </c>
      <c r="K1011" t="s">
        <v>27</v>
      </c>
      <c r="L1011" t="s">
        <v>65</v>
      </c>
      <c r="M1011" t="s">
        <v>5385</v>
      </c>
      <c r="N1011" t="s">
        <v>646</v>
      </c>
      <c r="O1011" t="s">
        <v>83</v>
      </c>
      <c r="P1011" t="s">
        <v>5386</v>
      </c>
      <c r="Q1011" t="s">
        <v>97</v>
      </c>
      <c r="R1011" s="23" t="s">
        <v>5387</v>
      </c>
      <c r="S1011" s="23">
        <v>46168</v>
      </c>
      <c r="T1011">
        <v>20.34</v>
      </c>
      <c r="U1011">
        <v>15903</v>
      </c>
      <c r="V1011">
        <v>1979.94</v>
      </c>
      <c r="W1011">
        <v>17882.939999999999</v>
      </c>
    </row>
    <row r="1012" spans="1:23" hidden="1" x14ac:dyDescent="0.25">
      <c r="A1012">
        <v>15741</v>
      </c>
      <c r="B1012">
        <v>455260514</v>
      </c>
      <c r="C1012" t="s">
        <v>5388</v>
      </c>
      <c r="D1012" s="8" t="s">
        <v>5389</v>
      </c>
      <c r="E1012" t="s">
        <v>644</v>
      </c>
      <c r="G1012" t="s">
        <v>62</v>
      </c>
      <c r="H1012" t="s">
        <v>63</v>
      </c>
      <c r="I1012" t="s">
        <v>30</v>
      </c>
      <c r="J1012" t="s">
        <v>64</v>
      </c>
      <c r="K1012" t="s">
        <v>27</v>
      </c>
      <c r="L1012" t="s">
        <v>65</v>
      </c>
      <c r="M1012" t="s">
        <v>5390</v>
      </c>
      <c r="N1012" t="s">
        <v>646</v>
      </c>
      <c r="O1012" t="s">
        <v>83</v>
      </c>
      <c r="P1012" t="s">
        <v>5391</v>
      </c>
      <c r="Q1012" t="s">
        <v>44</v>
      </c>
      <c r="R1012" s="23" t="s">
        <v>5392</v>
      </c>
      <c r="S1012" s="23">
        <v>46167</v>
      </c>
      <c r="T1012">
        <v>20.39</v>
      </c>
      <c r="U1012">
        <v>8303</v>
      </c>
      <c r="V1012">
        <v>1619.94</v>
      </c>
      <c r="W1012">
        <v>9922.94</v>
      </c>
    </row>
    <row r="1013" spans="1:23" hidden="1" x14ac:dyDescent="0.25">
      <c r="A1013">
        <v>15741</v>
      </c>
      <c r="B1013">
        <v>455260414</v>
      </c>
      <c r="C1013" t="s">
        <v>5393</v>
      </c>
      <c r="D1013" s="8" t="s">
        <v>5394</v>
      </c>
      <c r="E1013" t="s">
        <v>644</v>
      </c>
      <c r="G1013" t="s">
        <v>62</v>
      </c>
      <c r="H1013" t="s">
        <v>63</v>
      </c>
      <c r="I1013" t="s">
        <v>30</v>
      </c>
      <c r="J1013" t="s">
        <v>64</v>
      </c>
      <c r="K1013" t="s">
        <v>27</v>
      </c>
      <c r="L1013" t="s">
        <v>65</v>
      </c>
      <c r="M1013" t="s">
        <v>5395</v>
      </c>
      <c r="N1013" t="s">
        <v>646</v>
      </c>
      <c r="O1013" t="s">
        <v>83</v>
      </c>
      <c r="P1013" t="s">
        <v>5396</v>
      </c>
      <c r="Q1013" t="s">
        <v>69</v>
      </c>
      <c r="R1013" s="23" t="s">
        <v>5397</v>
      </c>
      <c r="S1013" s="23">
        <v>46167</v>
      </c>
      <c r="T1013">
        <v>6.19</v>
      </c>
      <c r="U1013">
        <v>5465</v>
      </c>
      <c r="V1013">
        <v>0</v>
      </c>
      <c r="W1013">
        <v>5465</v>
      </c>
    </row>
    <row r="1014" spans="1:23" hidden="1" x14ac:dyDescent="0.25">
      <c r="A1014">
        <v>15741</v>
      </c>
      <c r="B1014">
        <v>455260297</v>
      </c>
      <c r="C1014" t="s">
        <v>5398</v>
      </c>
      <c r="D1014" s="8" t="s">
        <v>5399</v>
      </c>
      <c r="E1014" t="s">
        <v>644</v>
      </c>
      <c r="G1014" t="s">
        <v>62</v>
      </c>
      <c r="H1014" t="s">
        <v>63</v>
      </c>
      <c r="I1014" t="s">
        <v>30</v>
      </c>
      <c r="J1014" t="s">
        <v>64</v>
      </c>
      <c r="K1014" t="s">
        <v>27</v>
      </c>
      <c r="L1014" t="s">
        <v>65</v>
      </c>
      <c r="M1014" t="s">
        <v>5400</v>
      </c>
      <c r="N1014" t="s">
        <v>646</v>
      </c>
      <c r="O1014" t="s">
        <v>83</v>
      </c>
      <c r="P1014" t="s">
        <v>5401</v>
      </c>
      <c r="Q1014" t="s">
        <v>68</v>
      </c>
      <c r="R1014" s="23" t="s">
        <v>5402</v>
      </c>
      <c r="S1014" s="23">
        <v>46167</v>
      </c>
      <c r="T1014">
        <v>12.68</v>
      </c>
      <c r="U1014">
        <v>5943</v>
      </c>
      <c r="V1014">
        <v>899.94</v>
      </c>
      <c r="W1014">
        <v>6842.9400000000005</v>
      </c>
    </row>
    <row r="1015" spans="1:23" hidden="1" x14ac:dyDescent="0.25">
      <c r="A1015">
        <v>15741</v>
      </c>
      <c r="B1015">
        <v>455260197</v>
      </c>
      <c r="C1015" t="s">
        <v>5403</v>
      </c>
      <c r="D1015" s="8" t="s">
        <v>5404</v>
      </c>
      <c r="E1015" t="s">
        <v>644</v>
      </c>
      <c r="G1015" t="s">
        <v>62</v>
      </c>
      <c r="H1015" t="s">
        <v>63</v>
      </c>
      <c r="I1015" t="s">
        <v>30</v>
      </c>
      <c r="J1015" t="s">
        <v>64</v>
      </c>
      <c r="K1015" t="s">
        <v>27</v>
      </c>
      <c r="L1015" t="s">
        <v>65</v>
      </c>
      <c r="M1015" t="s">
        <v>3572</v>
      </c>
      <c r="N1015" t="s">
        <v>646</v>
      </c>
      <c r="O1015" t="s">
        <v>83</v>
      </c>
      <c r="P1015" t="s">
        <v>3573</v>
      </c>
      <c r="Q1015" t="s">
        <v>58</v>
      </c>
      <c r="R1015" s="23" t="s">
        <v>430</v>
      </c>
      <c r="S1015" s="23">
        <v>46167</v>
      </c>
      <c r="T1015">
        <v>11.93</v>
      </c>
      <c r="U1015">
        <v>10408</v>
      </c>
      <c r="V1015">
        <v>899.94</v>
      </c>
      <c r="W1015">
        <v>11307.94</v>
      </c>
    </row>
    <row r="1016" spans="1:23" hidden="1" x14ac:dyDescent="0.25">
      <c r="A1016">
        <v>15741</v>
      </c>
      <c r="B1016">
        <v>455260132</v>
      </c>
      <c r="C1016" t="s">
        <v>5405</v>
      </c>
      <c r="D1016" s="8" t="s">
        <v>5406</v>
      </c>
      <c r="E1016" t="s">
        <v>644</v>
      </c>
      <c r="G1016" t="s">
        <v>62</v>
      </c>
      <c r="H1016" t="s">
        <v>63</v>
      </c>
      <c r="I1016" t="s">
        <v>30</v>
      </c>
      <c r="J1016" t="s">
        <v>64</v>
      </c>
      <c r="K1016" t="s">
        <v>27</v>
      </c>
      <c r="L1016" t="s">
        <v>65</v>
      </c>
      <c r="M1016" t="s">
        <v>5407</v>
      </c>
      <c r="N1016" t="s">
        <v>646</v>
      </c>
      <c r="O1016" t="s">
        <v>83</v>
      </c>
      <c r="P1016" t="s">
        <v>5408</v>
      </c>
      <c r="Q1016" t="s">
        <v>43</v>
      </c>
      <c r="R1016" s="23" t="s">
        <v>5409</v>
      </c>
      <c r="S1016" s="23">
        <v>46167</v>
      </c>
      <c r="T1016">
        <v>11.6</v>
      </c>
      <c r="U1016">
        <v>5943</v>
      </c>
      <c r="V1016">
        <v>899.94</v>
      </c>
      <c r="W1016">
        <v>6842.9400000000005</v>
      </c>
    </row>
    <row r="1017" spans="1:23" hidden="1" x14ac:dyDescent="0.25">
      <c r="A1017">
        <v>15741</v>
      </c>
      <c r="B1017">
        <v>455260105</v>
      </c>
      <c r="C1017" t="s">
        <v>5410</v>
      </c>
      <c r="D1017" s="8" t="s">
        <v>5411</v>
      </c>
      <c r="E1017" t="s">
        <v>644</v>
      </c>
      <c r="G1017" t="s">
        <v>62</v>
      </c>
      <c r="H1017" t="s">
        <v>63</v>
      </c>
      <c r="I1017" t="s">
        <v>30</v>
      </c>
      <c r="J1017" t="s">
        <v>64</v>
      </c>
      <c r="K1017" t="s">
        <v>27</v>
      </c>
      <c r="L1017" t="s">
        <v>65</v>
      </c>
      <c r="M1017" t="s">
        <v>5412</v>
      </c>
      <c r="N1017" t="s">
        <v>646</v>
      </c>
      <c r="O1017" t="s">
        <v>83</v>
      </c>
      <c r="P1017" t="s">
        <v>5413</v>
      </c>
      <c r="Q1017" t="s">
        <v>96</v>
      </c>
      <c r="R1017" s="23" t="s">
        <v>429</v>
      </c>
      <c r="S1017" s="23">
        <v>46167</v>
      </c>
      <c r="T1017">
        <v>20.190000000000001</v>
      </c>
      <c r="U1017">
        <v>8303</v>
      </c>
      <c r="V1017">
        <v>1619.94</v>
      </c>
      <c r="W1017">
        <v>9922.94</v>
      </c>
    </row>
    <row r="1018" spans="1:23" hidden="1" x14ac:dyDescent="0.25">
      <c r="A1018">
        <v>15741</v>
      </c>
      <c r="B1018">
        <v>455260060</v>
      </c>
      <c r="C1018" t="s">
        <v>5414</v>
      </c>
      <c r="D1018" s="8" t="s">
        <v>5415</v>
      </c>
      <c r="E1018" t="s">
        <v>644</v>
      </c>
      <c r="G1018" t="s">
        <v>62</v>
      </c>
      <c r="H1018" t="s">
        <v>63</v>
      </c>
      <c r="I1018" t="s">
        <v>30</v>
      </c>
      <c r="J1018" t="s">
        <v>64</v>
      </c>
      <c r="K1018" t="s">
        <v>27</v>
      </c>
      <c r="L1018" t="s">
        <v>65</v>
      </c>
      <c r="M1018" t="s">
        <v>5416</v>
      </c>
      <c r="N1018" t="s">
        <v>646</v>
      </c>
      <c r="O1018" t="s">
        <v>83</v>
      </c>
      <c r="P1018" t="s">
        <v>5417</v>
      </c>
      <c r="Q1018" t="s">
        <v>78</v>
      </c>
      <c r="R1018" s="23" t="s">
        <v>5418</v>
      </c>
      <c r="S1018" s="23">
        <v>46167</v>
      </c>
      <c r="T1018">
        <v>5.86</v>
      </c>
      <c r="U1018">
        <v>4718</v>
      </c>
      <c r="V1018">
        <v>0</v>
      </c>
      <c r="W1018">
        <v>4718</v>
      </c>
    </row>
    <row r="1019" spans="1:23" hidden="1" x14ac:dyDescent="0.25">
      <c r="A1019">
        <v>15741</v>
      </c>
      <c r="B1019">
        <v>455260012</v>
      </c>
      <c r="C1019" t="s">
        <v>5419</v>
      </c>
      <c r="D1019" s="8" t="s">
        <v>5420</v>
      </c>
      <c r="E1019" t="s">
        <v>644</v>
      </c>
      <c r="G1019" t="s">
        <v>62</v>
      </c>
      <c r="H1019" t="s">
        <v>63</v>
      </c>
      <c r="I1019" t="s">
        <v>30</v>
      </c>
      <c r="J1019" t="s">
        <v>64</v>
      </c>
      <c r="K1019" t="s">
        <v>27</v>
      </c>
      <c r="L1019" t="s">
        <v>65</v>
      </c>
      <c r="M1019" t="s">
        <v>5421</v>
      </c>
      <c r="N1019" t="s">
        <v>646</v>
      </c>
      <c r="O1019" t="s">
        <v>83</v>
      </c>
      <c r="P1019" t="s">
        <v>5422</v>
      </c>
      <c r="Q1019" t="s">
        <v>47</v>
      </c>
      <c r="R1019" s="23" t="s">
        <v>5423</v>
      </c>
      <c r="S1019" s="23">
        <v>46167</v>
      </c>
      <c r="T1019">
        <v>12.37</v>
      </c>
      <c r="U1019">
        <v>5943</v>
      </c>
      <c r="V1019">
        <v>899.94</v>
      </c>
      <c r="W1019">
        <v>6842.9400000000005</v>
      </c>
    </row>
    <row r="1020" spans="1:23" hidden="1" x14ac:dyDescent="0.25">
      <c r="A1020">
        <v>15741</v>
      </c>
      <c r="B1020">
        <v>455259919</v>
      </c>
      <c r="C1020" t="s">
        <v>5424</v>
      </c>
      <c r="D1020" s="8" t="s">
        <v>5425</v>
      </c>
      <c r="E1020" t="s">
        <v>644</v>
      </c>
      <c r="G1020" t="s">
        <v>62</v>
      </c>
      <c r="H1020" t="s">
        <v>63</v>
      </c>
      <c r="I1020" t="s">
        <v>30</v>
      </c>
      <c r="J1020" t="s">
        <v>64</v>
      </c>
      <c r="K1020" t="s">
        <v>196</v>
      </c>
      <c r="L1020" t="s">
        <v>217</v>
      </c>
      <c r="M1020" t="s">
        <v>5426</v>
      </c>
      <c r="N1020" t="s">
        <v>646</v>
      </c>
      <c r="O1020" t="s">
        <v>83</v>
      </c>
      <c r="P1020" t="s">
        <v>5427</v>
      </c>
      <c r="Q1020" t="s">
        <v>94</v>
      </c>
      <c r="R1020" s="23" t="s">
        <v>5428</v>
      </c>
      <c r="S1020" s="23">
        <v>46167</v>
      </c>
      <c r="T1020">
        <v>32.57</v>
      </c>
      <c r="U1020">
        <v>26744</v>
      </c>
      <c r="V1020">
        <v>2099.88</v>
      </c>
      <c r="W1020">
        <v>28843.88</v>
      </c>
    </row>
    <row r="1021" spans="1:23" hidden="1" x14ac:dyDescent="0.25">
      <c r="A1021">
        <v>15741</v>
      </c>
      <c r="B1021">
        <v>455259795</v>
      </c>
      <c r="C1021" t="s">
        <v>5429</v>
      </c>
      <c r="D1021" s="8" t="s">
        <v>5430</v>
      </c>
      <c r="E1021" t="s">
        <v>644</v>
      </c>
      <c r="G1021" t="s">
        <v>62</v>
      </c>
      <c r="H1021" t="s">
        <v>63</v>
      </c>
      <c r="I1021" t="s">
        <v>30</v>
      </c>
      <c r="J1021" t="s">
        <v>64</v>
      </c>
      <c r="K1021" t="s">
        <v>27</v>
      </c>
      <c r="L1021" t="s">
        <v>65</v>
      </c>
      <c r="M1021" t="s">
        <v>5431</v>
      </c>
      <c r="N1021" t="s">
        <v>646</v>
      </c>
      <c r="O1021" t="s">
        <v>83</v>
      </c>
      <c r="P1021" t="s">
        <v>5432</v>
      </c>
      <c r="Q1021" t="s">
        <v>44</v>
      </c>
      <c r="R1021" s="23" t="s">
        <v>5433</v>
      </c>
      <c r="S1021" s="23">
        <v>46167</v>
      </c>
      <c r="T1021">
        <v>15.94</v>
      </c>
      <c r="U1021">
        <v>5943</v>
      </c>
      <c r="V1021">
        <v>959.94</v>
      </c>
      <c r="W1021">
        <v>6902.9400000000005</v>
      </c>
    </row>
    <row r="1022" spans="1:23" hidden="1" x14ac:dyDescent="0.25">
      <c r="A1022">
        <v>15741</v>
      </c>
      <c r="B1022">
        <v>455259672</v>
      </c>
      <c r="C1022" t="s">
        <v>5434</v>
      </c>
      <c r="D1022" s="8" t="s">
        <v>5435</v>
      </c>
      <c r="E1022" t="s">
        <v>644</v>
      </c>
      <c r="G1022" t="s">
        <v>62</v>
      </c>
      <c r="H1022" t="s">
        <v>63</v>
      </c>
      <c r="I1022" t="s">
        <v>30</v>
      </c>
      <c r="J1022" t="s">
        <v>64</v>
      </c>
      <c r="K1022" t="s">
        <v>27</v>
      </c>
      <c r="L1022" t="s">
        <v>65</v>
      </c>
      <c r="M1022" t="s">
        <v>5436</v>
      </c>
      <c r="N1022" t="s">
        <v>646</v>
      </c>
      <c r="O1022" t="s">
        <v>83</v>
      </c>
      <c r="P1022" t="s">
        <v>5437</v>
      </c>
      <c r="Q1022" t="s">
        <v>45</v>
      </c>
      <c r="R1022" s="23" t="s">
        <v>297</v>
      </c>
      <c r="S1022" s="23">
        <v>46167</v>
      </c>
      <c r="T1022">
        <v>6.17</v>
      </c>
      <c r="U1022">
        <v>5465</v>
      </c>
      <c r="V1022">
        <v>0</v>
      </c>
      <c r="W1022">
        <v>5465</v>
      </c>
    </row>
    <row r="1023" spans="1:23" hidden="1" x14ac:dyDescent="0.25">
      <c r="A1023">
        <v>15741</v>
      </c>
      <c r="B1023">
        <v>455259629</v>
      </c>
      <c r="C1023" t="s">
        <v>5438</v>
      </c>
      <c r="D1023" s="8" t="s">
        <v>5439</v>
      </c>
      <c r="E1023" t="s">
        <v>644</v>
      </c>
      <c r="G1023" t="s">
        <v>62</v>
      </c>
      <c r="H1023" t="s">
        <v>63</v>
      </c>
      <c r="I1023" t="s">
        <v>30</v>
      </c>
      <c r="J1023" t="s">
        <v>64</v>
      </c>
      <c r="K1023" t="s">
        <v>27</v>
      </c>
      <c r="L1023" t="s">
        <v>65</v>
      </c>
      <c r="M1023" t="s">
        <v>5440</v>
      </c>
      <c r="N1023" t="s">
        <v>646</v>
      </c>
      <c r="O1023" t="s">
        <v>83</v>
      </c>
      <c r="P1023" t="s">
        <v>5441</v>
      </c>
      <c r="Q1023" t="s">
        <v>119</v>
      </c>
      <c r="R1023" s="23" t="s">
        <v>5442</v>
      </c>
      <c r="S1023" s="23">
        <v>46167</v>
      </c>
      <c r="T1023">
        <v>9.76</v>
      </c>
      <c r="U1023">
        <v>9380</v>
      </c>
      <c r="V1023">
        <v>0</v>
      </c>
      <c r="W1023">
        <v>9380</v>
      </c>
    </row>
    <row r="1024" spans="1:23" hidden="1" x14ac:dyDescent="0.25">
      <c r="A1024">
        <v>15741</v>
      </c>
      <c r="B1024">
        <v>455259519</v>
      </c>
      <c r="C1024" t="s">
        <v>5443</v>
      </c>
      <c r="D1024" s="8" t="s">
        <v>5444</v>
      </c>
      <c r="E1024" t="s">
        <v>644</v>
      </c>
      <c r="G1024" t="s">
        <v>62</v>
      </c>
      <c r="H1024" t="s">
        <v>63</v>
      </c>
      <c r="I1024" t="s">
        <v>30</v>
      </c>
      <c r="J1024" t="s">
        <v>64</v>
      </c>
      <c r="K1024" t="s">
        <v>27</v>
      </c>
      <c r="L1024" t="s">
        <v>65</v>
      </c>
      <c r="M1024" t="s">
        <v>5445</v>
      </c>
      <c r="N1024" t="s">
        <v>646</v>
      </c>
      <c r="O1024" t="s">
        <v>83</v>
      </c>
      <c r="P1024" t="s">
        <v>5446</v>
      </c>
      <c r="Q1024" t="s">
        <v>43</v>
      </c>
      <c r="R1024" s="23" t="s">
        <v>326</v>
      </c>
      <c r="S1024" s="23">
        <v>46167</v>
      </c>
      <c r="T1024">
        <v>11.21</v>
      </c>
      <c r="U1024">
        <v>5943</v>
      </c>
      <c r="V1024">
        <v>899.94</v>
      </c>
      <c r="W1024">
        <v>6842.9400000000005</v>
      </c>
    </row>
    <row r="1025" spans="1:23" hidden="1" x14ac:dyDescent="0.25">
      <c r="A1025">
        <v>15741</v>
      </c>
      <c r="B1025">
        <v>455259393</v>
      </c>
      <c r="C1025" t="s">
        <v>5447</v>
      </c>
      <c r="D1025" s="8" t="s">
        <v>5448</v>
      </c>
      <c r="E1025" t="s">
        <v>644</v>
      </c>
      <c r="G1025" t="s">
        <v>62</v>
      </c>
      <c r="H1025" t="s">
        <v>63</v>
      </c>
      <c r="I1025" t="s">
        <v>30</v>
      </c>
      <c r="J1025" t="s">
        <v>64</v>
      </c>
      <c r="K1025" t="s">
        <v>27</v>
      </c>
      <c r="L1025" t="s">
        <v>65</v>
      </c>
      <c r="M1025" t="s">
        <v>5449</v>
      </c>
      <c r="N1025" t="s">
        <v>646</v>
      </c>
      <c r="O1025" t="s">
        <v>83</v>
      </c>
      <c r="P1025" t="s">
        <v>5450</v>
      </c>
      <c r="Q1025" t="s">
        <v>114</v>
      </c>
      <c r="R1025" s="23" t="s">
        <v>5451</v>
      </c>
      <c r="S1025" s="23">
        <v>46167</v>
      </c>
      <c r="T1025">
        <v>15.54</v>
      </c>
      <c r="U1025">
        <v>10217</v>
      </c>
      <c r="V1025">
        <v>959.94</v>
      </c>
      <c r="W1025">
        <v>11176.94</v>
      </c>
    </row>
    <row r="1026" spans="1:23" hidden="1" x14ac:dyDescent="0.25">
      <c r="A1026">
        <v>15741</v>
      </c>
      <c r="B1026">
        <v>455256808</v>
      </c>
      <c r="C1026" t="s">
        <v>5452</v>
      </c>
      <c r="D1026" s="8" t="s">
        <v>5453</v>
      </c>
      <c r="E1026" t="s">
        <v>644</v>
      </c>
      <c r="G1026" t="s">
        <v>62</v>
      </c>
      <c r="H1026" t="s">
        <v>63</v>
      </c>
      <c r="I1026" t="s">
        <v>30</v>
      </c>
      <c r="J1026" t="s">
        <v>64</v>
      </c>
      <c r="K1026" t="s">
        <v>27</v>
      </c>
      <c r="L1026" t="s">
        <v>65</v>
      </c>
      <c r="M1026" t="s">
        <v>5454</v>
      </c>
      <c r="N1026" t="s">
        <v>646</v>
      </c>
      <c r="O1026" t="s">
        <v>83</v>
      </c>
      <c r="P1026" t="s">
        <v>5455</v>
      </c>
      <c r="Q1026" t="s">
        <v>101</v>
      </c>
      <c r="R1026" s="23" t="s">
        <v>5456</v>
      </c>
      <c r="S1026" s="23">
        <v>46167</v>
      </c>
      <c r="T1026">
        <v>7.25</v>
      </c>
      <c r="U1026">
        <v>10346</v>
      </c>
      <c r="V1026">
        <v>0</v>
      </c>
      <c r="W1026">
        <v>10346</v>
      </c>
    </row>
    <row r="1027" spans="1:23" hidden="1" x14ac:dyDescent="0.25">
      <c r="A1027">
        <v>15741</v>
      </c>
      <c r="B1027">
        <v>455256721</v>
      </c>
      <c r="C1027" t="s">
        <v>5457</v>
      </c>
      <c r="D1027" s="8" t="s">
        <v>5458</v>
      </c>
      <c r="E1027" t="s">
        <v>644</v>
      </c>
      <c r="G1027" t="s">
        <v>62</v>
      </c>
      <c r="H1027" t="s">
        <v>63</v>
      </c>
      <c r="I1027" t="s">
        <v>30</v>
      </c>
      <c r="J1027" t="s">
        <v>64</v>
      </c>
      <c r="K1027" t="s">
        <v>27</v>
      </c>
      <c r="L1027" t="s">
        <v>65</v>
      </c>
      <c r="M1027" t="s">
        <v>5459</v>
      </c>
      <c r="N1027" t="s">
        <v>646</v>
      </c>
      <c r="O1027" t="s">
        <v>83</v>
      </c>
      <c r="P1027" t="s">
        <v>5460</v>
      </c>
      <c r="Q1027" t="s">
        <v>43</v>
      </c>
      <c r="R1027" s="23" t="s">
        <v>561</v>
      </c>
      <c r="S1027" s="23">
        <v>46167</v>
      </c>
      <c r="T1027">
        <v>12.53</v>
      </c>
      <c r="U1027">
        <v>5943</v>
      </c>
      <c r="V1027">
        <v>959.94</v>
      </c>
      <c r="W1027">
        <v>6902.9400000000005</v>
      </c>
    </row>
    <row r="1028" spans="1:23" hidden="1" x14ac:dyDescent="0.25">
      <c r="A1028">
        <v>15741</v>
      </c>
      <c r="B1028">
        <v>455256500</v>
      </c>
      <c r="C1028" t="s">
        <v>5461</v>
      </c>
      <c r="D1028" s="8" t="s">
        <v>5462</v>
      </c>
      <c r="E1028" t="s">
        <v>644</v>
      </c>
      <c r="G1028" t="s">
        <v>62</v>
      </c>
      <c r="H1028" t="s">
        <v>63</v>
      </c>
      <c r="I1028" t="s">
        <v>30</v>
      </c>
      <c r="J1028" t="s">
        <v>64</v>
      </c>
      <c r="K1028" t="s">
        <v>27</v>
      </c>
      <c r="L1028" t="s">
        <v>65</v>
      </c>
      <c r="M1028" t="s">
        <v>5463</v>
      </c>
      <c r="N1028" t="s">
        <v>646</v>
      </c>
      <c r="O1028" t="s">
        <v>83</v>
      </c>
      <c r="P1028" t="s">
        <v>5464</v>
      </c>
      <c r="Q1028" t="s">
        <v>119</v>
      </c>
      <c r="R1028" s="23" t="s">
        <v>5465</v>
      </c>
      <c r="S1028" s="23">
        <v>46167</v>
      </c>
      <c r="T1028">
        <v>13.74</v>
      </c>
      <c r="U1028">
        <v>11273</v>
      </c>
      <c r="V1028">
        <v>1619.94</v>
      </c>
      <c r="W1028">
        <v>12892.94</v>
      </c>
    </row>
    <row r="1029" spans="1:23" hidden="1" x14ac:dyDescent="0.25">
      <c r="A1029">
        <v>15741</v>
      </c>
      <c r="B1029">
        <v>455256384</v>
      </c>
      <c r="C1029" t="s">
        <v>5466</v>
      </c>
      <c r="D1029" s="8" t="s">
        <v>5467</v>
      </c>
      <c r="E1029" t="s">
        <v>644</v>
      </c>
      <c r="G1029" t="s">
        <v>62</v>
      </c>
      <c r="H1029" t="s">
        <v>63</v>
      </c>
      <c r="I1029" t="s">
        <v>30</v>
      </c>
      <c r="J1029" t="s">
        <v>64</v>
      </c>
      <c r="K1029" t="s">
        <v>27</v>
      </c>
      <c r="L1029" t="s">
        <v>65</v>
      </c>
      <c r="M1029" t="s">
        <v>5468</v>
      </c>
      <c r="N1029" t="s">
        <v>646</v>
      </c>
      <c r="O1029" t="s">
        <v>83</v>
      </c>
      <c r="P1029" t="s">
        <v>5469</v>
      </c>
      <c r="Q1029" t="s">
        <v>187</v>
      </c>
      <c r="R1029" s="23" t="s">
        <v>589</v>
      </c>
      <c r="S1029" s="23">
        <v>46167</v>
      </c>
      <c r="T1029">
        <v>7.54</v>
      </c>
      <c r="U1029">
        <v>5465</v>
      </c>
      <c r="V1029">
        <v>0</v>
      </c>
      <c r="W1029">
        <v>5465</v>
      </c>
    </row>
    <row r="1030" spans="1:23" hidden="1" x14ac:dyDescent="0.25">
      <c r="A1030">
        <v>15741</v>
      </c>
      <c r="B1030">
        <v>455256156</v>
      </c>
      <c r="C1030" t="s">
        <v>5470</v>
      </c>
      <c r="D1030" s="8" t="s">
        <v>5471</v>
      </c>
      <c r="E1030" t="s">
        <v>644</v>
      </c>
      <c r="G1030" t="s">
        <v>62</v>
      </c>
      <c r="H1030" t="s">
        <v>63</v>
      </c>
      <c r="I1030" t="s">
        <v>30</v>
      </c>
      <c r="J1030" t="s">
        <v>64</v>
      </c>
      <c r="K1030" t="s">
        <v>27</v>
      </c>
      <c r="L1030" t="s">
        <v>65</v>
      </c>
      <c r="M1030" t="s">
        <v>5472</v>
      </c>
      <c r="N1030" t="s">
        <v>646</v>
      </c>
      <c r="O1030" t="s">
        <v>83</v>
      </c>
      <c r="P1030" t="s">
        <v>5473</v>
      </c>
      <c r="Q1030" t="s">
        <v>143</v>
      </c>
      <c r="R1030" s="23" t="s">
        <v>5474</v>
      </c>
      <c r="S1030" s="23">
        <v>46167</v>
      </c>
      <c r="T1030">
        <v>20.57</v>
      </c>
      <c r="U1030">
        <v>8303</v>
      </c>
      <c r="V1030">
        <v>1619.94</v>
      </c>
      <c r="W1030">
        <v>9922.94</v>
      </c>
    </row>
    <row r="1031" spans="1:23" hidden="1" x14ac:dyDescent="0.25">
      <c r="A1031">
        <v>15741</v>
      </c>
      <c r="B1031">
        <v>455256091</v>
      </c>
      <c r="C1031" t="s">
        <v>5475</v>
      </c>
      <c r="D1031" s="8" t="s">
        <v>5476</v>
      </c>
      <c r="E1031" t="s">
        <v>644</v>
      </c>
      <c r="G1031" t="s">
        <v>62</v>
      </c>
      <c r="H1031" t="s">
        <v>63</v>
      </c>
      <c r="I1031" t="s">
        <v>30</v>
      </c>
      <c r="J1031" t="s">
        <v>64</v>
      </c>
      <c r="K1031" t="s">
        <v>27</v>
      </c>
      <c r="L1031" t="s">
        <v>65</v>
      </c>
      <c r="M1031" t="s">
        <v>535</v>
      </c>
      <c r="N1031" t="s">
        <v>646</v>
      </c>
      <c r="O1031" t="s">
        <v>83</v>
      </c>
      <c r="P1031" t="s">
        <v>5477</v>
      </c>
      <c r="Q1031" t="s">
        <v>68</v>
      </c>
      <c r="R1031" s="23" t="s">
        <v>5478</v>
      </c>
      <c r="S1031" s="23">
        <v>46167</v>
      </c>
      <c r="T1031">
        <v>5.95</v>
      </c>
      <c r="U1031">
        <v>4718</v>
      </c>
      <c r="V1031">
        <v>0</v>
      </c>
      <c r="W1031">
        <v>4718</v>
      </c>
    </row>
    <row r="1032" spans="1:23" hidden="1" x14ac:dyDescent="0.25">
      <c r="A1032">
        <v>15741</v>
      </c>
      <c r="B1032">
        <v>455256014</v>
      </c>
      <c r="C1032" t="s">
        <v>5479</v>
      </c>
      <c r="D1032" s="8" t="s">
        <v>5480</v>
      </c>
      <c r="E1032" t="s">
        <v>644</v>
      </c>
      <c r="G1032" t="s">
        <v>62</v>
      </c>
      <c r="H1032" t="s">
        <v>63</v>
      </c>
      <c r="I1032" t="s">
        <v>30</v>
      </c>
      <c r="J1032" t="s">
        <v>64</v>
      </c>
      <c r="K1032" t="s">
        <v>27</v>
      </c>
      <c r="L1032" t="s">
        <v>65</v>
      </c>
      <c r="M1032" t="s">
        <v>389</v>
      </c>
      <c r="N1032" t="s">
        <v>646</v>
      </c>
      <c r="O1032" t="s">
        <v>83</v>
      </c>
      <c r="P1032" t="s">
        <v>5481</v>
      </c>
      <c r="Q1032" t="s">
        <v>86</v>
      </c>
      <c r="R1032" s="23" t="s">
        <v>5482</v>
      </c>
      <c r="S1032" s="23">
        <v>46167</v>
      </c>
      <c r="T1032">
        <v>11.81</v>
      </c>
      <c r="U1032">
        <v>5943</v>
      </c>
      <c r="V1032">
        <v>959.94</v>
      </c>
      <c r="W1032">
        <v>6902.9400000000005</v>
      </c>
    </row>
    <row r="1033" spans="1:23" hidden="1" x14ac:dyDescent="0.25">
      <c r="A1033">
        <v>15741</v>
      </c>
      <c r="B1033">
        <v>455255929</v>
      </c>
      <c r="C1033" t="s">
        <v>5483</v>
      </c>
      <c r="D1033" s="8" t="s">
        <v>5484</v>
      </c>
      <c r="E1033" t="s">
        <v>644</v>
      </c>
      <c r="G1033" t="s">
        <v>62</v>
      </c>
      <c r="H1033" t="s">
        <v>63</v>
      </c>
      <c r="I1033" t="s">
        <v>30</v>
      </c>
      <c r="J1033" t="s">
        <v>64</v>
      </c>
      <c r="K1033" t="s">
        <v>27</v>
      </c>
      <c r="L1033" t="s">
        <v>65</v>
      </c>
      <c r="M1033" t="s">
        <v>5485</v>
      </c>
      <c r="N1033" t="s">
        <v>646</v>
      </c>
      <c r="O1033" t="s">
        <v>83</v>
      </c>
      <c r="P1033" t="s">
        <v>5486</v>
      </c>
      <c r="Q1033" t="s">
        <v>424</v>
      </c>
      <c r="R1033" s="23" t="s">
        <v>5487</v>
      </c>
      <c r="S1033" s="23">
        <v>46167</v>
      </c>
      <c r="T1033">
        <v>11.76</v>
      </c>
      <c r="U1033">
        <v>11161</v>
      </c>
      <c r="V1033">
        <v>959.94</v>
      </c>
      <c r="W1033">
        <v>12120.94</v>
      </c>
    </row>
    <row r="1034" spans="1:23" hidden="1" x14ac:dyDescent="0.25">
      <c r="A1034">
        <v>15741</v>
      </c>
      <c r="B1034">
        <v>455255864</v>
      </c>
      <c r="C1034" t="s">
        <v>5488</v>
      </c>
      <c r="D1034" s="8" t="s">
        <v>5489</v>
      </c>
      <c r="E1034" t="s">
        <v>644</v>
      </c>
      <c r="G1034" t="s">
        <v>62</v>
      </c>
      <c r="H1034" t="s">
        <v>63</v>
      </c>
      <c r="I1034" t="s">
        <v>30</v>
      </c>
      <c r="J1034" t="s">
        <v>64</v>
      </c>
      <c r="K1034" t="s">
        <v>27</v>
      </c>
      <c r="L1034" t="s">
        <v>65</v>
      </c>
      <c r="M1034" t="s">
        <v>5490</v>
      </c>
      <c r="N1034" t="s">
        <v>646</v>
      </c>
      <c r="O1034" t="s">
        <v>83</v>
      </c>
      <c r="P1034" t="s">
        <v>5491</v>
      </c>
      <c r="Q1034" t="s">
        <v>45</v>
      </c>
      <c r="R1034" s="23" t="s">
        <v>318</v>
      </c>
      <c r="S1034" s="23">
        <v>46167</v>
      </c>
      <c r="T1034">
        <v>12.56</v>
      </c>
      <c r="U1034">
        <v>5943</v>
      </c>
      <c r="V1034">
        <v>899.94</v>
      </c>
      <c r="W1034">
        <v>6842.9400000000005</v>
      </c>
    </row>
    <row r="1035" spans="1:23" hidden="1" x14ac:dyDescent="0.25">
      <c r="A1035">
        <v>15741</v>
      </c>
      <c r="B1035">
        <v>455255819</v>
      </c>
      <c r="C1035" t="s">
        <v>5492</v>
      </c>
      <c r="D1035" s="8" t="s">
        <v>5493</v>
      </c>
      <c r="E1035" t="s">
        <v>644</v>
      </c>
      <c r="G1035" t="s">
        <v>62</v>
      </c>
      <c r="H1035" t="s">
        <v>63</v>
      </c>
      <c r="I1035" t="s">
        <v>30</v>
      </c>
      <c r="J1035" t="s">
        <v>64</v>
      </c>
      <c r="K1035" t="s">
        <v>27</v>
      </c>
      <c r="L1035" t="s">
        <v>65</v>
      </c>
      <c r="M1035" t="s">
        <v>5494</v>
      </c>
      <c r="N1035" t="s">
        <v>646</v>
      </c>
      <c r="O1035" t="s">
        <v>83</v>
      </c>
      <c r="P1035" t="s">
        <v>5495</v>
      </c>
      <c r="Q1035" t="s">
        <v>44</v>
      </c>
      <c r="R1035" s="23" t="s">
        <v>431</v>
      </c>
      <c r="S1035" s="23">
        <v>46167</v>
      </c>
      <c r="T1035">
        <v>11.28</v>
      </c>
      <c r="U1035">
        <v>5943</v>
      </c>
      <c r="V1035">
        <v>899.94</v>
      </c>
      <c r="W1035">
        <v>6842.9400000000005</v>
      </c>
    </row>
    <row r="1036" spans="1:23" hidden="1" x14ac:dyDescent="0.25">
      <c r="A1036">
        <v>15741</v>
      </c>
      <c r="B1036">
        <v>455255742</v>
      </c>
      <c r="C1036" t="s">
        <v>5496</v>
      </c>
      <c r="D1036" s="8" t="s">
        <v>5497</v>
      </c>
      <c r="E1036" t="s">
        <v>644</v>
      </c>
      <c r="G1036" t="s">
        <v>62</v>
      </c>
      <c r="H1036" t="s">
        <v>63</v>
      </c>
      <c r="I1036" t="s">
        <v>30</v>
      </c>
      <c r="J1036" t="s">
        <v>64</v>
      </c>
      <c r="K1036" t="s">
        <v>27</v>
      </c>
      <c r="L1036" t="s">
        <v>65</v>
      </c>
      <c r="M1036" t="s">
        <v>5498</v>
      </c>
      <c r="N1036" t="s">
        <v>646</v>
      </c>
      <c r="O1036" t="s">
        <v>83</v>
      </c>
      <c r="P1036" t="s">
        <v>5499</v>
      </c>
      <c r="Q1036" t="s">
        <v>78</v>
      </c>
      <c r="R1036" s="23" t="s">
        <v>594</v>
      </c>
      <c r="S1036" s="23">
        <v>46167</v>
      </c>
      <c r="T1036">
        <v>11.19</v>
      </c>
      <c r="U1036">
        <v>5943</v>
      </c>
      <c r="V1036">
        <v>599.94000000000005</v>
      </c>
      <c r="W1036">
        <v>6542.9400000000005</v>
      </c>
    </row>
    <row r="1037" spans="1:23" hidden="1" x14ac:dyDescent="0.25">
      <c r="A1037">
        <v>15741</v>
      </c>
      <c r="B1037">
        <v>455255701</v>
      </c>
      <c r="C1037" t="s">
        <v>5500</v>
      </c>
      <c r="D1037" s="8" t="s">
        <v>5501</v>
      </c>
      <c r="E1037" t="s">
        <v>644</v>
      </c>
      <c r="G1037" t="s">
        <v>62</v>
      </c>
      <c r="H1037" t="s">
        <v>63</v>
      </c>
      <c r="I1037" t="s">
        <v>30</v>
      </c>
      <c r="J1037" t="s">
        <v>64</v>
      </c>
      <c r="K1037" t="s">
        <v>27</v>
      </c>
      <c r="L1037" t="s">
        <v>65</v>
      </c>
      <c r="M1037" t="s">
        <v>5502</v>
      </c>
      <c r="N1037" t="s">
        <v>646</v>
      </c>
      <c r="O1037" t="s">
        <v>83</v>
      </c>
      <c r="P1037" t="s">
        <v>5503</v>
      </c>
      <c r="Q1037" t="s">
        <v>114</v>
      </c>
      <c r="R1037" s="23" t="s">
        <v>639</v>
      </c>
      <c r="S1037" s="23">
        <v>46167</v>
      </c>
      <c r="T1037">
        <v>6.75</v>
      </c>
      <c r="U1037">
        <v>9041</v>
      </c>
      <c r="V1037">
        <v>0</v>
      </c>
      <c r="W1037">
        <v>9041</v>
      </c>
    </row>
    <row r="1038" spans="1:23" hidden="1" x14ac:dyDescent="0.25">
      <c r="A1038">
        <v>15741</v>
      </c>
      <c r="B1038">
        <v>455255465</v>
      </c>
      <c r="C1038" t="s">
        <v>5504</v>
      </c>
      <c r="D1038" s="8" t="s">
        <v>5505</v>
      </c>
      <c r="E1038" t="s">
        <v>644</v>
      </c>
      <c r="G1038" t="s">
        <v>62</v>
      </c>
      <c r="H1038" t="s">
        <v>63</v>
      </c>
      <c r="I1038" t="s">
        <v>30</v>
      </c>
      <c r="J1038" t="s">
        <v>64</v>
      </c>
      <c r="K1038" t="s">
        <v>27</v>
      </c>
      <c r="L1038" t="s">
        <v>65</v>
      </c>
      <c r="M1038" t="s">
        <v>5506</v>
      </c>
      <c r="N1038" t="s">
        <v>646</v>
      </c>
      <c r="O1038" t="s">
        <v>83</v>
      </c>
      <c r="P1038" t="s">
        <v>5507</v>
      </c>
      <c r="Q1038" t="s">
        <v>58</v>
      </c>
      <c r="R1038" s="23" t="s">
        <v>5508</v>
      </c>
      <c r="S1038" s="23">
        <v>46167</v>
      </c>
      <c r="T1038">
        <v>9.64</v>
      </c>
      <c r="U1038">
        <v>9209</v>
      </c>
      <c r="V1038">
        <v>0</v>
      </c>
      <c r="W1038">
        <v>9209</v>
      </c>
    </row>
    <row r="1039" spans="1:23" hidden="1" x14ac:dyDescent="0.25">
      <c r="A1039">
        <v>15741</v>
      </c>
      <c r="B1039">
        <v>455255387</v>
      </c>
      <c r="C1039" t="s">
        <v>5509</v>
      </c>
      <c r="D1039" s="8" t="s">
        <v>5510</v>
      </c>
      <c r="E1039" t="s">
        <v>644</v>
      </c>
      <c r="G1039" t="s">
        <v>62</v>
      </c>
      <c r="H1039" t="s">
        <v>63</v>
      </c>
      <c r="I1039" t="s">
        <v>30</v>
      </c>
      <c r="J1039" t="s">
        <v>64</v>
      </c>
      <c r="K1039" t="s">
        <v>27</v>
      </c>
      <c r="L1039" t="s">
        <v>65</v>
      </c>
      <c r="M1039" t="s">
        <v>5511</v>
      </c>
      <c r="N1039" t="s">
        <v>646</v>
      </c>
      <c r="O1039" t="s">
        <v>83</v>
      </c>
      <c r="P1039" t="s">
        <v>5512</v>
      </c>
      <c r="Q1039" t="s">
        <v>44</v>
      </c>
      <c r="R1039" s="23" t="s">
        <v>5513</v>
      </c>
      <c r="S1039" s="23">
        <v>46167</v>
      </c>
      <c r="T1039">
        <v>14.52</v>
      </c>
      <c r="U1039">
        <v>5943</v>
      </c>
      <c r="V1039">
        <v>959.94</v>
      </c>
      <c r="W1039">
        <v>6902.9400000000005</v>
      </c>
    </row>
    <row r="1040" spans="1:23" hidden="1" x14ac:dyDescent="0.25">
      <c r="A1040">
        <v>15741</v>
      </c>
      <c r="B1040">
        <v>455255244</v>
      </c>
      <c r="C1040" t="s">
        <v>5514</v>
      </c>
      <c r="D1040" s="8" t="s">
        <v>5515</v>
      </c>
      <c r="E1040" t="s">
        <v>644</v>
      </c>
      <c r="G1040" t="s">
        <v>62</v>
      </c>
      <c r="H1040" t="s">
        <v>63</v>
      </c>
      <c r="I1040" t="s">
        <v>30</v>
      </c>
      <c r="J1040" t="s">
        <v>64</v>
      </c>
      <c r="K1040" t="s">
        <v>27</v>
      </c>
      <c r="L1040" t="s">
        <v>65</v>
      </c>
      <c r="M1040" t="s">
        <v>5516</v>
      </c>
      <c r="N1040" t="s">
        <v>646</v>
      </c>
      <c r="O1040" t="s">
        <v>83</v>
      </c>
      <c r="P1040" t="s">
        <v>5517</v>
      </c>
      <c r="Q1040" t="s">
        <v>93</v>
      </c>
      <c r="R1040" s="23" t="s">
        <v>5518</v>
      </c>
      <c r="S1040" s="23">
        <v>46167</v>
      </c>
      <c r="T1040">
        <v>12.6</v>
      </c>
      <c r="U1040">
        <v>10408</v>
      </c>
      <c r="V1040">
        <v>899.94</v>
      </c>
      <c r="W1040">
        <v>11307.94</v>
      </c>
    </row>
    <row r="1041" spans="1:23" hidden="1" x14ac:dyDescent="0.25">
      <c r="A1041">
        <v>15741</v>
      </c>
      <c r="B1041">
        <v>455254810</v>
      </c>
      <c r="C1041" t="s">
        <v>5519</v>
      </c>
      <c r="D1041" s="8" t="s">
        <v>5520</v>
      </c>
      <c r="E1041" t="s">
        <v>644</v>
      </c>
      <c r="G1041" t="s">
        <v>62</v>
      </c>
      <c r="H1041" t="s">
        <v>63</v>
      </c>
      <c r="I1041" t="s">
        <v>30</v>
      </c>
      <c r="J1041" t="s">
        <v>64</v>
      </c>
      <c r="K1041" t="s">
        <v>27</v>
      </c>
      <c r="L1041" t="s">
        <v>65</v>
      </c>
      <c r="M1041" t="s">
        <v>5521</v>
      </c>
      <c r="N1041" t="s">
        <v>646</v>
      </c>
      <c r="O1041" t="s">
        <v>83</v>
      </c>
      <c r="P1041" t="s">
        <v>5522</v>
      </c>
      <c r="Q1041" t="s">
        <v>61</v>
      </c>
      <c r="R1041" s="23" t="s">
        <v>562</v>
      </c>
      <c r="S1041" s="23">
        <v>46167</v>
      </c>
      <c r="T1041">
        <v>20.71</v>
      </c>
      <c r="U1041">
        <v>13306</v>
      </c>
      <c r="V1041">
        <v>1619.94</v>
      </c>
      <c r="W1041">
        <v>14925.94</v>
      </c>
    </row>
    <row r="1042" spans="1:23" hidden="1" x14ac:dyDescent="0.25">
      <c r="A1042">
        <v>15741</v>
      </c>
      <c r="B1042">
        <v>455254666</v>
      </c>
      <c r="C1042" t="s">
        <v>5523</v>
      </c>
      <c r="D1042" s="8" t="s">
        <v>5524</v>
      </c>
      <c r="E1042" t="s">
        <v>644</v>
      </c>
      <c r="G1042" t="s">
        <v>62</v>
      </c>
      <c r="H1042" t="s">
        <v>63</v>
      </c>
      <c r="I1042" t="s">
        <v>30</v>
      </c>
      <c r="J1042" t="s">
        <v>64</v>
      </c>
      <c r="K1042" t="s">
        <v>27</v>
      </c>
      <c r="L1042" t="s">
        <v>215</v>
      </c>
      <c r="M1042" t="s">
        <v>5525</v>
      </c>
      <c r="N1042" t="s">
        <v>646</v>
      </c>
      <c r="O1042" t="s">
        <v>83</v>
      </c>
      <c r="P1042" t="s">
        <v>5526</v>
      </c>
      <c r="Q1042" t="s">
        <v>81</v>
      </c>
      <c r="R1042" s="23" t="s">
        <v>5527</v>
      </c>
      <c r="S1042" s="23">
        <v>46167</v>
      </c>
      <c r="T1042">
        <v>18.89</v>
      </c>
      <c r="U1042">
        <v>7358</v>
      </c>
      <c r="V1042">
        <v>959.88</v>
      </c>
      <c r="W1042">
        <v>8317.8799999999992</v>
      </c>
    </row>
    <row r="1043" spans="1:23" hidden="1" x14ac:dyDescent="0.25">
      <c r="A1043">
        <v>15741</v>
      </c>
      <c r="B1043">
        <v>455254581</v>
      </c>
      <c r="C1043" t="s">
        <v>5528</v>
      </c>
      <c r="D1043" s="8" t="s">
        <v>5529</v>
      </c>
      <c r="E1043" t="s">
        <v>644</v>
      </c>
      <c r="G1043" t="s">
        <v>62</v>
      </c>
      <c r="H1043" t="s">
        <v>63</v>
      </c>
      <c r="I1043" t="s">
        <v>30</v>
      </c>
      <c r="J1043" t="s">
        <v>64</v>
      </c>
      <c r="K1043" t="s">
        <v>27</v>
      </c>
      <c r="L1043" t="s">
        <v>65</v>
      </c>
      <c r="M1043" t="s">
        <v>5530</v>
      </c>
      <c r="N1043" t="s">
        <v>646</v>
      </c>
      <c r="O1043" t="s">
        <v>83</v>
      </c>
      <c r="P1043" t="s">
        <v>5531</v>
      </c>
      <c r="Q1043" t="s">
        <v>57</v>
      </c>
      <c r="R1043" s="23" t="s">
        <v>5532</v>
      </c>
      <c r="S1043" s="23">
        <v>46167</v>
      </c>
      <c r="T1043">
        <v>20.65</v>
      </c>
      <c r="U1043">
        <v>13306</v>
      </c>
      <c r="V1043">
        <v>1619.94</v>
      </c>
      <c r="W1043">
        <v>14925.94</v>
      </c>
    </row>
    <row r="1044" spans="1:23" hidden="1" x14ac:dyDescent="0.25">
      <c r="A1044">
        <v>15741</v>
      </c>
      <c r="B1044">
        <v>455270415</v>
      </c>
      <c r="C1044" t="s">
        <v>5533</v>
      </c>
      <c r="D1044" s="8" t="s">
        <v>5534</v>
      </c>
      <c r="E1044" t="s">
        <v>644</v>
      </c>
      <c r="G1044" t="s">
        <v>62</v>
      </c>
      <c r="H1044" t="s">
        <v>63</v>
      </c>
      <c r="I1044" t="s">
        <v>30</v>
      </c>
      <c r="J1044" t="s">
        <v>64</v>
      </c>
      <c r="K1044" t="s">
        <v>27</v>
      </c>
      <c r="L1044" t="s">
        <v>65</v>
      </c>
      <c r="M1044" t="s">
        <v>5535</v>
      </c>
      <c r="N1044" t="s">
        <v>646</v>
      </c>
      <c r="O1044" t="s">
        <v>83</v>
      </c>
      <c r="P1044" t="s">
        <v>5536</v>
      </c>
      <c r="Q1044" t="s">
        <v>44</v>
      </c>
      <c r="R1044" s="23" t="s">
        <v>5537</v>
      </c>
      <c r="S1044" s="23">
        <v>46167</v>
      </c>
      <c r="T1044">
        <v>15.65</v>
      </c>
      <c r="U1044">
        <v>5943</v>
      </c>
      <c r="V1044">
        <v>2099.94</v>
      </c>
      <c r="W1044">
        <v>8042.9400000000005</v>
      </c>
    </row>
    <row r="1045" spans="1:23" hidden="1" x14ac:dyDescent="0.25">
      <c r="A1045">
        <v>15741</v>
      </c>
      <c r="B1045">
        <v>455270339</v>
      </c>
      <c r="C1045" t="s">
        <v>5538</v>
      </c>
      <c r="D1045" s="8" t="s">
        <v>5539</v>
      </c>
      <c r="E1045" t="s">
        <v>644</v>
      </c>
      <c r="G1045" t="s">
        <v>62</v>
      </c>
      <c r="H1045" t="s">
        <v>63</v>
      </c>
      <c r="I1045" t="s">
        <v>30</v>
      </c>
      <c r="J1045" t="s">
        <v>64</v>
      </c>
      <c r="K1045" t="s">
        <v>27</v>
      </c>
      <c r="L1045" t="s">
        <v>65</v>
      </c>
      <c r="M1045" t="s">
        <v>5540</v>
      </c>
      <c r="N1045" t="s">
        <v>646</v>
      </c>
      <c r="O1045" t="s">
        <v>83</v>
      </c>
      <c r="P1045" t="s">
        <v>5541</v>
      </c>
      <c r="Q1045" t="s">
        <v>61</v>
      </c>
      <c r="R1045" s="23" t="s">
        <v>5542</v>
      </c>
      <c r="S1045" s="23">
        <v>46167</v>
      </c>
      <c r="T1045">
        <v>20.54</v>
      </c>
      <c r="U1045">
        <v>13306</v>
      </c>
      <c r="V1045">
        <v>2099.94</v>
      </c>
      <c r="W1045">
        <v>15405.94</v>
      </c>
    </row>
    <row r="1046" spans="1:23" hidden="1" x14ac:dyDescent="0.25">
      <c r="A1046">
        <v>15741</v>
      </c>
      <c r="B1046">
        <v>455270307</v>
      </c>
      <c r="C1046" t="s">
        <v>5543</v>
      </c>
      <c r="D1046" s="8" t="s">
        <v>5544</v>
      </c>
      <c r="E1046" t="s">
        <v>644</v>
      </c>
      <c r="G1046" t="s">
        <v>62</v>
      </c>
      <c r="H1046" t="s">
        <v>63</v>
      </c>
      <c r="I1046" t="s">
        <v>30</v>
      </c>
      <c r="J1046" t="s">
        <v>64</v>
      </c>
      <c r="K1046" t="s">
        <v>27</v>
      </c>
      <c r="L1046" t="s">
        <v>65</v>
      </c>
      <c r="M1046" t="s">
        <v>5545</v>
      </c>
      <c r="N1046" t="s">
        <v>646</v>
      </c>
      <c r="O1046" t="s">
        <v>83</v>
      </c>
      <c r="P1046" t="s">
        <v>5546</v>
      </c>
      <c r="Q1046" t="s">
        <v>81</v>
      </c>
      <c r="R1046" s="23" t="s">
        <v>5547</v>
      </c>
      <c r="S1046" s="23">
        <v>46167</v>
      </c>
      <c r="T1046">
        <v>20.51</v>
      </c>
      <c r="U1046">
        <v>8303</v>
      </c>
      <c r="V1046">
        <v>2099.94</v>
      </c>
      <c r="W1046">
        <v>10402.94</v>
      </c>
    </row>
    <row r="1047" spans="1:23" hidden="1" x14ac:dyDescent="0.25">
      <c r="A1047">
        <v>15741</v>
      </c>
      <c r="B1047">
        <v>455270285</v>
      </c>
      <c r="C1047" t="s">
        <v>5548</v>
      </c>
      <c r="D1047" s="8" t="s">
        <v>5549</v>
      </c>
      <c r="E1047" t="s">
        <v>644</v>
      </c>
      <c r="G1047" t="s">
        <v>62</v>
      </c>
      <c r="H1047" t="s">
        <v>63</v>
      </c>
      <c r="I1047" t="s">
        <v>30</v>
      </c>
      <c r="J1047" t="s">
        <v>64</v>
      </c>
      <c r="K1047" t="s">
        <v>27</v>
      </c>
      <c r="L1047" t="s">
        <v>65</v>
      </c>
      <c r="M1047" t="s">
        <v>5550</v>
      </c>
      <c r="N1047" t="s">
        <v>646</v>
      </c>
      <c r="O1047" t="s">
        <v>83</v>
      </c>
      <c r="P1047" t="s">
        <v>5551</v>
      </c>
      <c r="Q1047" t="s">
        <v>57</v>
      </c>
      <c r="R1047" s="23" t="s">
        <v>5552</v>
      </c>
      <c r="S1047" s="23">
        <v>46167</v>
      </c>
      <c r="T1047">
        <v>20.69</v>
      </c>
      <c r="U1047">
        <v>13306</v>
      </c>
      <c r="V1047">
        <v>0</v>
      </c>
      <c r="W1047">
        <v>13306</v>
      </c>
    </row>
    <row r="1048" spans="1:23" hidden="1" x14ac:dyDescent="0.25">
      <c r="A1048">
        <v>15741</v>
      </c>
      <c r="B1048">
        <v>455270074</v>
      </c>
      <c r="C1048" t="s">
        <v>5553</v>
      </c>
      <c r="D1048" s="8" t="s">
        <v>5554</v>
      </c>
      <c r="E1048" t="s">
        <v>644</v>
      </c>
      <c r="G1048" t="s">
        <v>62</v>
      </c>
      <c r="H1048" t="s">
        <v>63</v>
      </c>
      <c r="I1048" t="s">
        <v>30</v>
      </c>
      <c r="J1048" t="s">
        <v>64</v>
      </c>
      <c r="K1048" t="s">
        <v>27</v>
      </c>
      <c r="L1048" t="s">
        <v>65</v>
      </c>
      <c r="M1048" t="s">
        <v>5555</v>
      </c>
      <c r="N1048" t="s">
        <v>646</v>
      </c>
      <c r="O1048" t="s">
        <v>83</v>
      </c>
      <c r="P1048" t="s">
        <v>5556</v>
      </c>
      <c r="Q1048" t="s">
        <v>43</v>
      </c>
      <c r="R1048" s="23" t="s">
        <v>5557</v>
      </c>
      <c r="S1048" s="23">
        <v>46167</v>
      </c>
      <c r="T1048">
        <v>1.85</v>
      </c>
      <c r="U1048">
        <v>4335</v>
      </c>
      <c r="V1048">
        <v>0</v>
      </c>
      <c r="W1048">
        <v>4335</v>
      </c>
    </row>
    <row r="1049" spans="1:23" hidden="1" x14ac:dyDescent="0.25">
      <c r="A1049">
        <v>15741</v>
      </c>
      <c r="B1049">
        <v>455270041</v>
      </c>
      <c r="C1049" t="s">
        <v>5558</v>
      </c>
      <c r="D1049" s="8" t="s">
        <v>5559</v>
      </c>
      <c r="E1049" t="s">
        <v>644</v>
      </c>
      <c r="G1049" t="s">
        <v>62</v>
      </c>
      <c r="H1049" t="s">
        <v>63</v>
      </c>
      <c r="I1049" t="s">
        <v>30</v>
      </c>
      <c r="J1049" t="s">
        <v>64</v>
      </c>
      <c r="K1049" t="s">
        <v>27</v>
      </c>
      <c r="L1049" t="s">
        <v>65</v>
      </c>
      <c r="M1049" t="s">
        <v>5560</v>
      </c>
      <c r="N1049" t="s">
        <v>646</v>
      </c>
      <c r="O1049" t="s">
        <v>83</v>
      </c>
      <c r="P1049" t="s">
        <v>5561</v>
      </c>
      <c r="Q1049" t="s">
        <v>83</v>
      </c>
      <c r="R1049" s="23" t="s">
        <v>5562</v>
      </c>
      <c r="S1049" s="23">
        <v>46167</v>
      </c>
      <c r="T1049">
        <v>1.73</v>
      </c>
      <c r="U1049">
        <v>4335</v>
      </c>
      <c r="V1049">
        <v>0</v>
      </c>
      <c r="W1049">
        <v>4335</v>
      </c>
    </row>
    <row r="1050" spans="1:23" hidden="1" x14ac:dyDescent="0.25">
      <c r="A1050">
        <v>15741</v>
      </c>
      <c r="B1050">
        <v>455270018</v>
      </c>
      <c r="C1050" t="s">
        <v>5563</v>
      </c>
      <c r="D1050" s="8" t="s">
        <v>5564</v>
      </c>
      <c r="E1050" t="s">
        <v>644</v>
      </c>
      <c r="G1050" t="s">
        <v>62</v>
      </c>
      <c r="H1050" t="s">
        <v>63</v>
      </c>
      <c r="I1050" t="s">
        <v>30</v>
      </c>
      <c r="J1050" t="s">
        <v>64</v>
      </c>
      <c r="K1050" t="s">
        <v>27</v>
      </c>
      <c r="L1050" t="s">
        <v>65</v>
      </c>
      <c r="M1050" t="s">
        <v>5565</v>
      </c>
      <c r="N1050" t="s">
        <v>646</v>
      </c>
      <c r="O1050" t="s">
        <v>83</v>
      </c>
      <c r="P1050" t="s">
        <v>5566</v>
      </c>
      <c r="Q1050" t="s">
        <v>43</v>
      </c>
      <c r="R1050" s="23" t="s">
        <v>5562</v>
      </c>
      <c r="S1050" s="23">
        <v>46167</v>
      </c>
      <c r="T1050">
        <v>1.8</v>
      </c>
      <c r="U1050">
        <v>4335</v>
      </c>
      <c r="V1050">
        <v>0</v>
      </c>
      <c r="W1050">
        <v>4335</v>
      </c>
    </row>
    <row r="1051" spans="1:23" hidden="1" x14ac:dyDescent="0.25">
      <c r="A1051">
        <v>15741</v>
      </c>
      <c r="B1051">
        <v>455269978</v>
      </c>
      <c r="C1051" t="s">
        <v>5567</v>
      </c>
      <c r="D1051" s="8" t="s">
        <v>5568</v>
      </c>
      <c r="E1051" t="s">
        <v>644</v>
      </c>
      <c r="G1051" t="s">
        <v>62</v>
      </c>
      <c r="H1051" t="s">
        <v>63</v>
      </c>
      <c r="I1051" t="s">
        <v>30</v>
      </c>
      <c r="J1051" t="s">
        <v>64</v>
      </c>
      <c r="K1051" t="s">
        <v>27</v>
      </c>
      <c r="L1051" t="s">
        <v>65</v>
      </c>
      <c r="M1051" t="s">
        <v>5569</v>
      </c>
      <c r="N1051" t="s">
        <v>646</v>
      </c>
      <c r="O1051" t="s">
        <v>83</v>
      </c>
      <c r="P1051" t="s">
        <v>5570</v>
      </c>
      <c r="Q1051" t="s">
        <v>49</v>
      </c>
      <c r="R1051" s="23" t="s">
        <v>5571</v>
      </c>
      <c r="S1051" s="23">
        <v>46167</v>
      </c>
      <c r="T1051">
        <v>1.77</v>
      </c>
      <c r="U1051">
        <v>4335</v>
      </c>
      <c r="V1051">
        <v>0</v>
      </c>
      <c r="W1051">
        <v>4335</v>
      </c>
    </row>
    <row r="1052" spans="1:23" hidden="1" x14ac:dyDescent="0.25">
      <c r="A1052">
        <v>15741</v>
      </c>
      <c r="B1052">
        <v>455269943</v>
      </c>
      <c r="C1052" t="s">
        <v>5572</v>
      </c>
      <c r="D1052" s="8" t="s">
        <v>5573</v>
      </c>
      <c r="E1052" t="s">
        <v>644</v>
      </c>
      <c r="G1052" t="s">
        <v>62</v>
      </c>
      <c r="H1052" t="s">
        <v>63</v>
      </c>
      <c r="I1052" t="s">
        <v>30</v>
      </c>
      <c r="J1052" t="s">
        <v>64</v>
      </c>
      <c r="K1052" t="s">
        <v>27</v>
      </c>
      <c r="L1052" t="s">
        <v>65</v>
      </c>
      <c r="M1052" t="s">
        <v>5574</v>
      </c>
      <c r="N1052" t="s">
        <v>646</v>
      </c>
      <c r="O1052" t="s">
        <v>83</v>
      </c>
      <c r="P1052" t="s">
        <v>5575</v>
      </c>
      <c r="Q1052" t="s">
        <v>67</v>
      </c>
      <c r="R1052" s="23" t="s">
        <v>5576</v>
      </c>
      <c r="S1052" s="23">
        <v>46167</v>
      </c>
      <c r="T1052">
        <v>1.78</v>
      </c>
      <c r="U1052">
        <v>7296</v>
      </c>
      <c r="V1052">
        <v>0</v>
      </c>
      <c r="W1052">
        <v>7296</v>
      </c>
    </row>
    <row r="1053" spans="1:23" hidden="1" x14ac:dyDescent="0.25">
      <c r="A1053">
        <v>15741</v>
      </c>
      <c r="B1053">
        <v>455269914</v>
      </c>
      <c r="C1053" t="s">
        <v>5577</v>
      </c>
      <c r="D1053" s="8" t="s">
        <v>5578</v>
      </c>
      <c r="E1053" t="s">
        <v>644</v>
      </c>
      <c r="G1053" t="s">
        <v>62</v>
      </c>
      <c r="H1053" t="s">
        <v>63</v>
      </c>
      <c r="I1053" t="s">
        <v>30</v>
      </c>
      <c r="J1053" t="s">
        <v>64</v>
      </c>
      <c r="K1053" t="s">
        <v>27</v>
      </c>
      <c r="L1053" t="s">
        <v>65</v>
      </c>
      <c r="M1053" t="s">
        <v>5579</v>
      </c>
      <c r="N1053" t="s">
        <v>646</v>
      </c>
      <c r="O1053" t="s">
        <v>83</v>
      </c>
      <c r="P1053" t="s">
        <v>5580</v>
      </c>
      <c r="Q1053" t="s">
        <v>86</v>
      </c>
      <c r="R1053" s="23" t="s">
        <v>5576</v>
      </c>
      <c r="S1053" s="23">
        <v>46167</v>
      </c>
      <c r="T1053">
        <v>1.81</v>
      </c>
      <c r="U1053">
        <v>4335</v>
      </c>
      <c r="V1053">
        <v>0</v>
      </c>
      <c r="W1053">
        <v>4335</v>
      </c>
    </row>
    <row r="1054" spans="1:23" hidden="1" x14ac:dyDescent="0.25">
      <c r="A1054">
        <v>15741</v>
      </c>
      <c r="B1054">
        <v>455269890</v>
      </c>
      <c r="C1054" t="s">
        <v>5581</v>
      </c>
      <c r="D1054" s="8" t="s">
        <v>5582</v>
      </c>
      <c r="E1054" t="s">
        <v>644</v>
      </c>
      <c r="G1054" t="s">
        <v>62</v>
      </c>
      <c r="H1054" t="s">
        <v>63</v>
      </c>
      <c r="I1054" t="s">
        <v>30</v>
      </c>
      <c r="J1054" t="s">
        <v>64</v>
      </c>
      <c r="K1054" t="s">
        <v>27</v>
      </c>
      <c r="L1054" t="s">
        <v>65</v>
      </c>
      <c r="M1054" t="s">
        <v>5583</v>
      </c>
      <c r="N1054" t="s">
        <v>646</v>
      </c>
      <c r="O1054" t="s">
        <v>83</v>
      </c>
      <c r="P1054" t="s">
        <v>5584</v>
      </c>
      <c r="Q1054" t="s">
        <v>48</v>
      </c>
      <c r="R1054" s="23" t="s">
        <v>5585</v>
      </c>
      <c r="S1054" s="23">
        <v>46167</v>
      </c>
      <c r="T1054">
        <v>1.77</v>
      </c>
      <c r="U1054">
        <v>4335</v>
      </c>
      <c r="V1054">
        <v>0</v>
      </c>
      <c r="W1054">
        <v>4335</v>
      </c>
    </row>
    <row r="1055" spans="1:23" hidden="1" x14ac:dyDescent="0.25">
      <c r="A1055">
        <v>15741</v>
      </c>
      <c r="B1055">
        <v>455269879</v>
      </c>
      <c r="C1055" t="s">
        <v>5586</v>
      </c>
      <c r="D1055" s="8" t="s">
        <v>5587</v>
      </c>
      <c r="E1055" t="s">
        <v>644</v>
      </c>
      <c r="G1055" t="s">
        <v>62</v>
      </c>
      <c r="H1055" t="s">
        <v>63</v>
      </c>
      <c r="I1055" t="s">
        <v>30</v>
      </c>
      <c r="J1055" t="s">
        <v>64</v>
      </c>
      <c r="K1055" t="s">
        <v>27</v>
      </c>
      <c r="L1055" t="s">
        <v>65</v>
      </c>
      <c r="M1055" t="s">
        <v>5588</v>
      </c>
      <c r="N1055" t="s">
        <v>646</v>
      </c>
      <c r="O1055" t="s">
        <v>83</v>
      </c>
      <c r="P1055" t="s">
        <v>5589</v>
      </c>
      <c r="Q1055" t="s">
        <v>47</v>
      </c>
      <c r="R1055" s="23" t="s">
        <v>5585</v>
      </c>
      <c r="S1055" s="23">
        <v>46167</v>
      </c>
      <c r="T1055">
        <v>1.81</v>
      </c>
      <c r="U1055">
        <v>4335</v>
      </c>
      <c r="V1055">
        <v>0</v>
      </c>
      <c r="W1055">
        <v>4335</v>
      </c>
    </row>
    <row r="1056" spans="1:23" hidden="1" x14ac:dyDescent="0.25">
      <c r="A1056">
        <v>15741</v>
      </c>
      <c r="B1056">
        <v>455269860</v>
      </c>
      <c r="C1056" t="s">
        <v>5590</v>
      </c>
      <c r="D1056" s="8" t="s">
        <v>5591</v>
      </c>
      <c r="E1056" t="s">
        <v>644</v>
      </c>
      <c r="G1056" t="s">
        <v>62</v>
      </c>
      <c r="H1056" t="s">
        <v>63</v>
      </c>
      <c r="I1056" t="s">
        <v>30</v>
      </c>
      <c r="J1056" t="s">
        <v>64</v>
      </c>
      <c r="K1056" t="s">
        <v>27</v>
      </c>
      <c r="L1056" t="s">
        <v>65</v>
      </c>
      <c r="M1056" t="s">
        <v>5592</v>
      </c>
      <c r="N1056" t="s">
        <v>646</v>
      </c>
      <c r="O1056" t="s">
        <v>83</v>
      </c>
      <c r="P1056" t="s">
        <v>5593</v>
      </c>
      <c r="Q1056" t="s">
        <v>51</v>
      </c>
      <c r="R1056" s="23" t="s">
        <v>5594</v>
      </c>
      <c r="S1056" s="23">
        <v>46167</v>
      </c>
      <c r="T1056">
        <v>1.85</v>
      </c>
      <c r="U1056">
        <v>4335</v>
      </c>
      <c r="V1056">
        <v>0</v>
      </c>
      <c r="W1056">
        <v>4335</v>
      </c>
    </row>
    <row r="1057" spans="1:23" hidden="1" x14ac:dyDescent="0.25">
      <c r="A1057">
        <v>15741</v>
      </c>
      <c r="B1057">
        <v>455269845</v>
      </c>
      <c r="C1057" t="s">
        <v>5595</v>
      </c>
      <c r="D1057" s="8" t="s">
        <v>5596</v>
      </c>
      <c r="E1057" t="s">
        <v>644</v>
      </c>
      <c r="G1057" t="s">
        <v>62</v>
      </c>
      <c r="H1057" t="s">
        <v>63</v>
      </c>
      <c r="I1057" t="s">
        <v>30</v>
      </c>
      <c r="J1057" t="s">
        <v>64</v>
      </c>
      <c r="K1057" t="s">
        <v>27</v>
      </c>
      <c r="L1057" t="s">
        <v>65</v>
      </c>
      <c r="M1057" t="s">
        <v>5597</v>
      </c>
      <c r="N1057" t="s">
        <v>646</v>
      </c>
      <c r="O1057" t="s">
        <v>83</v>
      </c>
      <c r="P1057" t="s">
        <v>5598</v>
      </c>
      <c r="Q1057" t="s">
        <v>45</v>
      </c>
      <c r="R1057" s="23" t="s">
        <v>5599</v>
      </c>
      <c r="S1057" s="23">
        <v>46167</v>
      </c>
      <c r="T1057">
        <v>1.84</v>
      </c>
      <c r="U1057">
        <v>4335</v>
      </c>
      <c r="V1057">
        <v>0</v>
      </c>
      <c r="W1057">
        <v>4335</v>
      </c>
    </row>
    <row r="1058" spans="1:23" hidden="1" x14ac:dyDescent="0.25">
      <c r="A1058">
        <v>15741</v>
      </c>
      <c r="B1058">
        <v>455269830</v>
      </c>
      <c r="C1058" t="s">
        <v>5600</v>
      </c>
      <c r="D1058" s="8" t="s">
        <v>5601</v>
      </c>
      <c r="E1058" t="s">
        <v>644</v>
      </c>
      <c r="G1058" t="s">
        <v>62</v>
      </c>
      <c r="H1058" t="s">
        <v>63</v>
      </c>
      <c r="I1058" t="s">
        <v>30</v>
      </c>
      <c r="J1058" t="s">
        <v>64</v>
      </c>
      <c r="K1058" t="s">
        <v>27</v>
      </c>
      <c r="L1058" t="s">
        <v>65</v>
      </c>
      <c r="M1058" t="s">
        <v>5602</v>
      </c>
      <c r="N1058" t="s">
        <v>646</v>
      </c>
      <c r="O1058" t="s">
        <v>83</v>
      </c>
      <c r="P1058" t="s">
        <v>5603</v>
      </c>
      <c r="Q1058" t="s">
        <v>148</v>
      </c>
      <c r="R1058" s="23" t="s">
        <v>5599</v>
      </c>
      <c r="S1058" s="23">
        <v>46167</v>
      </c>
      <c r="T1058">
        <v>1.84</v>
      </c>
      <c r="U1058">
        <v>4335</v>
      </c>
      <c r="V1058">
        <v>0</v>
      </c>
      <c r="W1058">
        <v>4335</v>
      </c>
    </row>
    <row r="1059" spans="1:23" hidden="1" x14ac:dyDescent="0.25">
      <c r="A1059">
        <v>15741</v>
      </c>
      <c r="B1059">
        <v>455269819</v>
      </c>
      <c r="C1059" t="s">
        <v>5604</v>
      </c>
      <c r="D1059" s="8" t="s">
        <v>5605</v>
      </c>
      <c r="E1059" t="s">
        <v>644</v>
      </c>
      <c r="G1059" t="s">
        <v>62</v>
      </c>
      <c r="H1059" t="s">
        <v>63</v>
      </c>
      <c r="I1059" t="s">
        <v>30</v>
      </c>
      <c r="J1059" t="s">
        <v>64</v>
      </c>
      <c r="K1059" t="s">
        <v>196</v>
      </c>
      <c r="L1059" t="s">
        <v>217</v>
      </c>
      <c r="M1059" t="s">
        <v>5606</v>
      </c>
      <c r="N1059" t="s">
        <v>646</v>
      </c>
      <c r="O1059" t="s">
        <v>83</v>
      </c>
      <c r="P1059" t="s">
        <v>5607</v>
      </c>
      <c r="Q1059" t="s">
        <v>44</v>
      </c>
      <c r="R1059" s="23" t="s">
        <v>5608</v>
      </c>
      <c r="S1059" s="23">
        <v>46167</v>
      </c>
      <c r="T1059">
        <v>15.02</v>
      </c>
      <c r="U1059">
        <v>5943</v>
      </c>
      <c r="V1059">
        <v>0</v>
      </c>
      <c r="W1059">
        <v>5943</v>
      </c>
    </row>
    <row r="1060" spans="1:23" hidden="1" x14ac:dyDescent="0.25">
      <c r="A1060">
        <v>15741</v>
      </c>
      <c r="B1060">
        <v>455269782</v>
      </c>
      <c r="C1060" t="s">
        <v>5609</v>
      </c>
      <c r="D1060" s="8" t="s">
        <v>5610</v>
      </c>
      <c r="E1060" t="s">
        <v>644</v>
      </c>
      <c r="G1060" t="s">
        <v>62</v>
      </c>
      <c r="H1060" t="s">
        <v>63</v>
      </c>
      <c r="I1060" t="s">
        <v>30</v>
      </c>
      <c r="J1060" t="s">
        <v>64</v>
      </c>
      <c r="K1060" t="s">
        <v>27</v>
      </c>
      <c r="L1060" t="s">
        <v>65</v>
      </c>
      <c r="M1060" t="s">
        <v>5611</v>
      </c>
      <c r="N1060" t="s">
        <v>646</v>
      </c>
      <c r="O1060" t="s">
        <v>83</v>
      </c>
      <c r="P1060" t="s">
        <v>5612</v>
      </c>
      <c r="Q1060" t="s">
        <v>144</v>
      </c>
      <c r="R1060" s="23" t="s">
        <v>5613</v>
      </c>
      <c r="S1060" s="23">
        <v>46167</v>
      </c>
      <c r="T1060">
        <v>1.82</v>
      </c>
      <c r="U1060">
        <v>4335</v>
      </c>
      <c r="V1060">
        <v>0</v>
      </c>
      <c r="W1060">
        <v>4335</v>
      </c>
    </row>
    <row r="1061" spans="1:23" hidden="1" x14ac:dyDescent="0.25">
      <c r="A1061">
        <v>15741</v>
      </c>
      <c r="B1061">
        <v>455269763</v>
      </c>
      <c r="C1061" t="s">
        <v>5614</v>
      </c>
      <c r="D1061" s="8" t="s">
        <v>5615</v>
      </c>
      <c r="E1061" t="s">
        <v>644</v>
      </c>
      <c r="G1061" t="s">
        <v>62</v>
      </c>
      <c r="H1061" t="s">
        <v>63</v>
      </c>
      <c r="I1061" t="s">
        <v>30</v>
      </c>
      <c r="J1061" t="s">
        <v>64</v>
      </c>
      <c r="K1061" t="s">
        <v>27</v>
      </c>
      <c r="L1061" t="s">
        <v>65</v>
      </c>
      <c r="M1061" t="s">
        <v>5616</v>
      </c>
      <c r="N1061" t="s">
        <v>646</v>
      </c>
      <c r="O1061" t="s">
        <v>83</v>
      </c>
      <c r="P1061" t="s">
        <v>5617</v>
      </c>
      <c r="Q1061" t="s">
        <v>43</v>
      </c>
      <c r="R1061" s="23" t="s">
        <v>5613</v>
      </c>
      <c r="S1061" s="23">
        <v>46167</v>
      </c>
      <c r="T1061">
        <v>1.85</v>
      </c>
      <c r="U1061">
        <v>4335</v>
      </c>
      <c r="V1061">
        <v>0</v>
      </c>
      <c r="W1061">
        <v>4335</v>
      </c>
    </row>
    <row r="1062" spans="1:23" hidden="1" x14ac:dyDescent="0.25">
      <c r="A1062">
        <v>15741</v>
      </c>
      <c r="B1062">
        <v>455269735</v>
      </c>
      <c r="C1062" t="s">
        <v>5618</v>
      </c>
      <c r="D1062" s="8" t="s">
        <v>5619</v>
      </c>
      <c r="E1062" t="s">
        <v>644</v>
      </c>
      <c r="G1062" t="s">
        <v>62</v>
      </c>
      <c r="H1062" t="s">
        <v>63</v>
      </c>
      <c r="I1062" t="s">
        <v>30</v>
      </c>
      <c r="J1062" t="s">
        <v>64</v>
      </c>
      <c r="K1062" t="s">
        <v>27</v>
      </c>
      <c r="L1062" t="s">
        <v>65</v>
      </c>
      <c r="M1062" t="s">
        <v>5620</v>
      </c>
      <c r="N1062" t="s">
        <v>646</v>
      </c>
      <c r="O1062" t="s">
        <v>83</v>
      </c>
      <c r="P1062" t="s">
        <v>5621</v>
      </c>
      <c r="Q1062" t="s">
        <v>48</v>
      </c>
      <c r="R1062" s="23" t="s">
        <v>5622</v>
      </c>
      <c r="S1062" s="23">
        <v>46167</v>
      </c>
      <c r="T1062">
        <v>1.82</v>
      </c>
      <c r="U1062">
        <v>4335</v>
      </c>
      <c r="V1062">
        <v>0</v>
      </c>
      <c r="W1062">
        <v>4335</v>
      </c>
    </row>
    <row r="1063" spans="1:23" hidden="1" x14ac:dyDescent="0.25">
      <c r="A1063">
        <v>15741</v>
      </c>
      <c r="B1063">
        <v>455269721</v>
      </c>
      <c r="C1063" t="s">
        <v>5623</v>
      </c>
      <c r="D1063" s="8" t="s">
        <v>5624</v>
      </c>
      <c r="E1063" t="s">
        <v>644</v>
      </c>
      <c r="G1063" t="s">
        <v>62</v>
      </c>
      <c r="H1063" t="s">
        <v>63</v>
      </c>
      <c r="I1063" t="s">
        <v>30</v>
      </c>
      <c r="J1063" t="s">
        <v>64</v>
      </c>
      <c r="K1063" t="s">
        <v>27</v>
      </c>
      <c r="L1063" t="s">
        <v>65</v>
      </c>
      <c r="M1063" t="s">
        <v>5625</v>
      </c>
      <c r="N1063" t="s">
        <v>646</v>
      </c>
      <c r="O1063" t="s">
        <v>83</v>
      </c>
      <c r="P1063" t="s">
        <v>5626</v>
      </c>
      <c r="Q1063" t="s">
        <v>48</v>
      </c>
      <c r="R1063" s="23" t="s">
        <v>5622</v>
      </c>
      <c r="S1063" s="23">
        <v>46167</v>
      </c>
      <c r="T1063">
        <v>1.74</v>
      </c>
      <c r="U1063">
        <v>4335</v>
      </c>
      <c r="V1063">
        <v>0</v>
      </c>
      <c r="W1063">
        <v>4335</v>
      </c>
    </row>
    <row r="1064" spans="1:23" hidden="1" x14ac:dyDescent="0.25">
      <c r="A1064">
        <v>15741</v>
      </c>
      <c r="B1064">
        <v>455269657</v>
      </c>
      <c r="C1064" t="s">
        <v>5627</v>
      </c>
      <c r="D1064" s="8" t="s">
        <v>5628</v>
      </c>
      <c r="E1064" t="s">
        <v>644</v>
      </c>
      <c r="G1064" t="s">
        <v>62</v>
      </c>
      <c r="H1064" t="s">
        <v>63</v>
      </c>
      <c r="I1064" t="s">
        <v>30</v>
      </c>
      <c r="J1064" t="s">
        <v>64</v>
      </c>
      <c r="K1064" t="s">
        <v>27</v>
      </c>
      <c r="L1064" t="s">
        <v>65</v>
      </c>
      <c r="M1064" t="s">
        <v>5629</v>
      </c>
      <c r="N1064" t="s">
        <v>646</v>
      </c>
      <c r="O1064" t="s">
        <v>83</v>
      </c>
      <c r="P1064" t="s">
        <v>5630</v>
      </c>
      <c r="Q1064" t="s">
        <v>86</v>
      </c>
      <c r="R1064" s="23" t="s">
        <v>5631</v>
      </c>
      <c r="S1064" s="23">
        <v>46167</v>
      </c>
      <c r="T1064">
        <v>1.73</v>
      </c>
      <c r="U1064">
        <v>4335</v>
      </c>
      <c r="V1064">
        <v>0</v>
      </c>
      <c r="W1064">
        <v>4335</v>
      </c>
    </row>
    <row r="1065" spans="1:23" hidden="1" x14ac:dyDescent="0.25">
      <c r="A1065">
        <v>15741</v>
      </c>
      <c r="B1065">
        <v>455269615</v>
      </c>
      <c r="C1065" t="s">
        <v>5632</v>
      </c>
      <c r="D1065" s="8" t="s">
        <v>5633</v>
      </c>
      <c r="E1065" t="s">
        <v>644</v>
      </c>
      <c r="G1065" t="s">
        <v>62</v>
      </c>
      <c r="H1065" t="s">
        <v>63</v>
      </c>
      <c r="I1065" t="s">
        <v>30</v>
      </c>
      <c r="J1065" t="s">
        <v>64</v>
      </c>
      <c r="K1065" t="s">
        <v>27</v>
      </c>
      <c r="L1065" t="s">
        <v>65</v>
      </c>
      <c r="M1065" t="s">
        <v>5634</v>
      </c>
      <c r="N1065" t="s">
        <v>646</v>
      </c>
      <c r="O1065" t="s">
        <v>83</v>
      </c>
      <c r="P1065" t="s">
        <v>5635</v>
      </c>
      <c r="Q1065" t="s">
        <v>78</v>
      </c>
      <c r="R1065" s="23" t="s">
        <v>5636</v>
      </c>
      <c r="S1065" s="23">
        <v>46167</v>
      </c>
      <c r="T1065">
        <v>1.82</v>
      </c>
      <c r="U1065">
        <v>4335</v>
      </c>
      <c r="V1065">
        <v>0</v>
      </c>
      <c r="W1065">
        <v>4335</v>
      </c>
    </row>
    <row r="1066" spans="1:23" hidden="1" x14ac:dyDescent="0.25">
      <c r="A1066">
        <v>15741</v>
      </c>
      <c r="B1066">
        <v>455269605</v>
      </c>
      <c r="C1066" t="s">
        <v>5637</v>
      </c>
      <c r="D1066" s="8" t="s">
        <v>5638</v>
      </c>
      <c r="E1066" t="s">
        <v>644</v>
      </c>
      <c r="G1066" t="s">
        <v>62</v>
      </c>
      <c r="H1066" t="s">
        <v>63</v>
      </c>
      <c r="I1066" t="s">
        <v>30</v>
      </c>
      <c r="J1066" t="s">
        <v>64</v>
      </c>
      <c r="K1066" t="s">
        <v>27</v>
      </c>
      <c r="L1066" t="s">
        <v>65</v>
      </c>
      <c r="M1066" t="s">
        <v>5639</v>
      </c>
      <c r="N1066" t="s">
        <v>646</v>
      </c>
      <c r="O1066" t="s">
        <v>83</v>
      </c>
      <c r="P1066" t="s">
        <v>5640</v>
      </c>
      <c r="Q1066" t="s">
        <v>143</v>
      </c>
      <c r="R1066" s="23" t="s">
        <v>5641</v>
      </c>
      <c r="S1066" s="23">
        <v>46167</v>
      </c>
      <c r="T1066">
        <v>1.76</v>
      </c>
      <c r="U1066">
        <v>4335</v>
      </c>
      <c r="V1066">
        <v>0</v>
      </c>
      <c r="W1066">
        <v>4335</v>
      </c>
    </row>
    <row r="1067" spans="1:23" hidden="1" x14ac:dyDescent="0.25">
      <c r="A1067">
        <v>15741</v>
      </c>
      <c r="B1067">
        <v>455269583</v>
      </c>
      <c r="C1067" t="s">
        <v>5642</v>
      </c>
      <c r="D1067" s="8" t="s">
        <v>5643</v>
      </c>
      <c r="E1067" t="s">
        <v>644</v>
      </c>
      <c r="G1067" t="s">
        <v>62</v>
      </c>
      <c r="H1067" t="s">
        <v>63</v>
      </c>
      <c r="I1067" t="s">
        <v>30</v>
      </c>
      <c r="J1067" t="s">
        <v>64</v>
      </c>
      <c r="K1067" t="s">
        <v>27</v>
      </c>
      <c r="L1067" t="s">
        <v>65</v>
      </c>
      <c r="M1067" t="s">
        <v>5644</v>
      </c>
      <c r="N1067" t="s">
        <v>646</v>
      </c>
      <c r="O1067" t="s">
        <v>83</v>
      </c>
      <c r="P1067" t="s">
        <v>5645</v>
      </c>
      <c r="Q1067" t="s">
        <v>48</v>
      </c>
      <c r="R1067" s="23" t="s">
        <v>5646</v>
      </c>
      <c r="S1067" s="23">
        <v>46167</v>
      </c>
      <c r="T1067">
        <v>1.81</v>
      </c>
      <c r="U1067">
        <v>4335</v>
      </c>
      <c r="V1067">
        <v>0</v>
      </c>
      <c r="W1067">
        <v>4335</v>
      </c>
    </row>
    <row r="1068" spans="1:23" hidden="1" x14ac:dyDescent="0.25">
      <c r="A1068">
        <v>15741</v>
      </c>
      <c r="B1068">
        <v>455269522</v>
      </c>
      <c r="C1068" t="s">
        <v>5647</v>
      </c>
      <c r="D1068" s="8" t="s">
        <v>5648</v>
      </c>
      <c r="E1068" t="s">
        <v>644</v>
      </c>
      <c r="G1068" t="s">
        <v>62</v>
      </c>
      <c r="H1068" t="s">
        <v>63</v>
      </c>
      <c r="I1068" t="s">
        <v>30</v>
      </c>
      <c r="J1068" t="s">
        <v>64</v>
      </c>
      <c r="K1068" t="s">
        <v>27</v>
      </c>
      <c r="L1068" t="s">
        <v>65</v>
      </c>
      <c r="M1068" t="s">
        <v>1107</v>
      </c>
      <c r="N1068" t="s">
        <v>646</v>
      </c>
      <c r="O1068" t="s">
        <v>83</v>
      </c>
      <c r="P1068" t="s">
        <v>5649</v>
      </c>
      <c r="Q1068" t="s">
        <v>45</v>
      </c>
      <c r="R1068" s="23" t="s">
        <v>5650</v>
      </c>
      <c r="S1068" s="23">
        <v>46167</v>
      </c>
      <c r="T1068">
        <v>1.8</v>
      </c>
      <c r="U1068">
        <v>4335</v>
      </c>
      <c r="V1068">
        <v>0</v>
      </c>
      <c r="W1068">
        <v>4335</v>
      </c>
    </row>
    <row r="1069" spans="1:23" hidden="1" x14ac:dyDescent="0.25">
      <c r="A1069">
        <v>15741</v>
      </c>
      <c r="B1069">
        <v>455269482</v>
      </c>
      <c r="C1069" t="s">
        <v>5651</v>
      </c>
      <c r="D1069" s="8" t="s">
        <v>5652</v>
      </c>
      <c r="E1069" t="s">
        <v>644</v>
      </c>
      <c r="G1069" t="s">
        <v>62</v>
      </c>
      <c r="H1069" t="s">
        <v>63</v>
      </c>
      <c r="I1069" t="s">
        <v>30</v>
      </c>
      <c r="J1069" t="s">
        <v>64</v>
      </c>
      <c r="K1069" t="s">
        <v>27</v>
      </c>
      <c r="L1069" t="s">
        <v>65</v>
      </c>
      <c r="M1069" t="s">
        <v>2300</v>
      </c>
      <c r="N1069" t="s">
        <v>646</v>
      </c>
      <c r="O1069" t="s">
        <v>83</v>
      </c>
      <c r="P1069" t="s">
        <v>5653</v>
      </c>
      <c r="Q1069" t="s">
        <v>43</v>
      </c>
      <c r="R1069" s="23" t="s">
        <v>5654</v>
      </c>
      <c r="S1069" s="23">
        <v>46167</v>
      </c>
      <c r="T1069">
        <v>1.77</v>
      </c>
      <c r="U1069">
        <v>4335</v>
      </c>
      <c r="V1069">
        <v>0</v>
      </c>
      <c r="W1069">
        <v>4335</v>
      </c>
    </row>
    <row r="1070" spans="1:23" hidden="1" x14ac:dyDescent="0.25">
      <c r="A1070">
        <v>15741</v>
      </c>
      <c r="B1070">
        <v>455269473</v>
      </c>
      <c r="C1070" t="s">
        <v>5655</v>
      </c>
      <c r="D1070" s="8" t="s">
        <v>5656</v>
      </c>
      <c r="E1070" t="s">
        <v>644</v>
      </c>
      <c r="G1070" t="s">
        <v>62</v>
      </c>
      <c r="H1070" t="s">
        <v>63</v>
      </c>
      <c r="I1070" t="s">
        <v>30</v>
      </c>
      <c r="J1070" t="s">
        <v>64</v>
      </c>
      <c r="K1070" t="s">
        <v>27</v>
      </c>
      <c r="L1070" t="s">
        <v>65</v>
      </c>
      <c r="M1070" t="s">
        <v>5657</v>
      </c>
      <c r="N1070" t="s">
        <v>646</v>
      </c>
      <c r="O1070" t="s">
        <v>83</v>
      </c>
      <c r="P1070" t="s">
        <v>5658</v>
      </c>
      <c r="Q1070" t="s">
        <v>47</v>
      </c>
      <c r="R1070" s="23" t="s">
        <v>5659</v>
      </c>
      <c r="S1070" s="23">
        <v>46167</v>
      </c>
      <c r="T1070">
        <v>1.8</v>
      </c>
      <c r="U1070">
        <v>4335</v>
      </c>
      <c r="V1070">
        <v>0</v>
      </c>
      <c r="W1070">
        <v>4335</v>
      </c>
    </row>
    <row r="1071" spans="1:23" hidden="1" x14ac:dyDescent="0.25">
      <c r="A1071">
        <v>15741</v>
      </c>
      <c r="B1071">
        <v>455269457</v>
      </c>
      <c r="C1071" t="s">
        <v>5660</v>
      </c>
      <c r="D1071" s="8" t="s">
        <v>5661</v>
      </c>
      <c r="E1071" t="s">
        <v>644</v>
      </c>
      <c r="G1071" t="s">
        <v>62</v>
      </c>
      <c r="H1071" t="s">
        <v>63</v>
      </c>
      <c r="I1071" t="s">
        <v>30</v>
      </c>
      <c r="J1071" t="s">
        <v>64</v>
      </c>
      <c r="K1071" t="s">
        <v>196</v>
      </c>
      <c r="L1071" t="s">
        <v>217</v>
      </c>
      <c r="M1071" t="s">
        <v>5662</v>
      </c>
      <c r="N1071" t="s">
        <v>646</v>
      </c>
      <c r="O1071" t="s">
        <v>83</v>
      </c>
      <c r="P1071" t="s">
        <v>5663</v>
      </c>
      <c r="Q1071" t="s">
        <v>44</v>
      </c>
      <c r="R1071" s="23" t="s">
        <v>5664</v>
      </c>
      <c r="S1071" s="23">
        <v>46167</v>
      </c>
      <c r="T1071">
        <v>14.53</v>
      </c>
      <c r="U1071">
        <v>5943</v>
      </c>
      <c r="V1071">
        <v>0</v>
      </c>
      <c r="W1071">
        <v>5943</v>
      </c>
    </row>
    <row r="1072" spans="1:23" hidden="1" x14ac:dyDescent="0.25">
      <c r="A1072">
        <v>15741</v>
      </c>
      <c r="B1072">
        <v>455269442</v>
      </c>
      <c r="C1072" t="s">
        <v>5665</v>
      </c>
      <c r="D1072" s="8" t="s">
        <v>5666</v>
      </c>
      <c r="E1072" t="s">
        <v>644</v>
      </c>
      <c r="G1072" t="s">
        <v>62</v>
      </c>
      <c r="H1072" t="s">
        <v>63</v>
      </c>
      <c r="I1072" t="s">
        <v>30</v>
      </c>
      <c r="J1072" t="s">
        <v>64</v>
      </c>
      <c r="K1072" t="s">
        <v>27</v>
      </c>
      <c r="L1072" t="s">
        <v>65</v>
      </c>
      <c r="M1072" t="s">
        <v>5667</v>
      </c>
      <c r="N1072" t="s">
        <v>646</v>
      </c>
      <c r="O1072" t="s">
        <v>83</v>
      </c>
      <c r="P1072" t="s">
        <v>5668</v>
      </c>
      <c r="Q1072" t="s">
        <v>43</v>
      </c>
      <c r="R1072" s="23" t="s">
        <v>5664</v>
      </c>
      <c r="S1072" s="23">
        <v>46167</v>
      </c>
      <c r="T1072">
        <v>1.73</v>
      </c>
      <c r="U1072">
        <v>4335</v>
      </c>
      <c r="V1072">
        <v>0</v>
      </c>
      <c r="W1072">
        <v>4335</v>
      </c>
    </row>
    <row r="1073" spans="1:23" hidden="1" x14ac:dyDescent="0.25">
      <c r="A1073">
        <v>15741</v>
      </c>
      <c r="B1073">
        <v>455254336</v>
      </c>
      <c r="C1073" t="s">
        <v>5669</v>
      </c>
      <c r="D1073" s="8" t="s">
        <v>5670</v>
      </c>
      <c r="E1073" t="s">
        <v>644</v>
      </c>
      <c r="G1073" t="s">
        <v>62</v>
      </c>
      <c r="H1073" t="s">
        <v>63</v>
      </c>
      <c r="I1073" t="s">
        <v>30</v>
      </c>
      <c r="J1073" t="s">
        <v>64</v>
      </c>
      <c r="K1073" t="s">
        <v>27</v>
      </c>
      <c r="L1073" t="s">
        <v>65</v>
      </c>
      <c r="M1073" t="s">
        <v>3654</v>
      </c>
      <c r="N1073" t="s">
        <v>646</v>
      </c>
      <c r="O1073" t="s">
        <v>83</v>
      </c>
      <c r="P1073" t="s">
        <v>3655</v>
      </c>
      <c r="Q1073" t="s">
        <v>43</v>
      </c>
      <c r="R1073" s="23" t="s">
        <v>5671</v>
      </c>
      <c r="S1073" s="23">
        <v>46167</v>
      </c>
      <c r="T1073">
        <v>15.24</v>
      </c>
      <c r="U1073">
        <v>5943</v>
      </c>
      <c r="V1073">
        <v>959.94</v>
      </c>
      <c r="W1073">
        <v>6902.9400000000005</v>
      </c>
    </row>
    <row r="1074" spans="1:23" hidden="1" x14ac:dyDescent="0.25">
      <c r="A1074">
        <v>15741</v>
      </c>
      <c r="B1074">
        <v>455254276</v>
      </c>
      <c r="C1074" t="s">
        <v>5672</v>
      </c>
      <c r="D1074" s="8" t="s">
        <v>5673</v>
      </c>
      <c r="E1074" t="s">
        <v>644</v>
      </c>
      <c r="G1074" t="s">
        <v>62</v>
      </c>
      <c r="H1074" t="s">
        <v>63</v>
      </c>
      <c r="I1074" t="s">
        <v>30</v>
      </c>
      <c r="J1074" t="s">
        <v>64</v>
      </c>
      <c r="K1074" t="s">
        <v>27</v>
      </c>
      <c r="L1074" t="s">
        <v>65</v>
      </c>
      <c r="M1074" t="s">
        <v>551</v>
      </c>
      <c r="N1074" t="s">
        <v>646</v>
      </c>
      <c r="O1074" t="s">
        <v>83</v>
      </c>
      <c r="P1074" t="s">
        <v>5674</v>
      </c>
      <c r="Q1074" t="s">
        <v>58</v>
      </c>
      <c r="R1074" s="23" t="s">
        <v>508</v>
      </c>
      <c r="S1074" s="23">
        <v>46167</v>
      </c>
      <c r="T1074">
        <v>12.34</v>
      </c>
      <c r="U1074">
        <v>10408</v>
      </c>
      <c r="V1074">
        <v>959.94</v>
      </c>
      <c r="W1074">
        <v>11367.94</v>
      </c>
    </row>
    <row r="1075" spans="1:23" hidden="1" x14ac:dyDescent="0.25">
      <c r="A1075">
        <v>15741</v>
      </c>
      <c r="B1075">
        <v>455254011</v>
      </c>
      <c r="C1075" t="s">
        <v>5675</v>
      </c>
      <c r="D1075" s="8" t="s">
        <v>5676</v>
      </c>
      <c r="E1075" t="s">
        <v>644</v>
      </c>
      <c r="G1075" t="s">
        <v>62</v>
      </c>
      <c r="H1075" t="s">
        <v>63</v>
      </c>
      <c r="I1075" t="s">
        <v>30</v>
      </c>
      <c r="J1075" t="s">
        <v>64</v>
      </c>
      <c r="K1075" t="s">
        <v>27</v>
      </c>
      <c r="L1075" t="s">
        <v>65</v>
      </c>
      <c r="M1075" t="s">
        <v>5677</v>
      </c>
      <c r="N1075" t="s">
        <v>646</v>
      </c>
      <c r="O1075" t="s">
        <v>83</v>
      </c>
      <c r="P1075" t="s">
        <v>5678</v>
      </c>
      <c r="Q1075" t="s">
        <v>50</v>
      </c>
      <c r="R1075" s="23" t="s">
        <v>610</v>
      </c>
      <c r="S1075" s="23">
        <v>46167</v>
      </c>
      <c r="T1075">
        <v>20.12</v>
      </c>
      <c r="U1075">
        <v>8303</v>
      </c>
      <c r="V1075">
        <v>1619.94</v>
      </c>
      <c r="W1075">
        <v>9922.94</v>
      </c>
    </row>
    <row r="1076" spans="1:23" hidden="1" x14ac:dyDescent="0.25">
      <c r="A1076">
        <v>15741</v>
      </c>
      <c r="B1076">
        <v>455253943</v>
      </c>
      <c r="C1076" t="s">
        <v>5679</v>
      </c>
      <c r="D1076" s="8" t="s">
        <v>5680</v>
      </c>
      <c r="E1076" t="s">
        <v>644</v>
      </c>
      <c r="G1076" t="s">
        <v>62</v>
      </c>
      <c r="H1076" t="s">
        <v>63</v>
      </c>
      <c r="I1076" t="s">
        <v>30</v>
      </c>
      <c r="J1076" t="s">
        <v>64</v>
      </c>
      <c r="K1076" t="s">
        <v>27</v>
      </c>
      <c r="L1076" t="s">
        <v>65</v>
      </c>
      <c r="M1076" t="s">
        <v>5681</v>
      </c>
      <c r="N1076" t="s">
        <v>646</v>
      </c>
      <c r="O1076" t="s">
        <v>83</v>
      </c>
      <c r="P1076" t="s">
        <v>5682</v>
      </c>
      <c r="Q1076" t="s">
        <v>43</v>
      </c>
      <c r="R1076" s="23" t="s">
        <v>5683</v>
      </c>
      <c r="S1076" s="23">
        <v>46167</v>
      </c>
      <c r="T1076">
        <v>15.93</v>
      </c>
      <c r="U1076">
        <v>5943</v>
      </c>
      <c r="V1076">
        <v>959.94</v>
      </c>
      <c r="W1076">
        <v>6902.9400000000005</v>
      </c>
    </row>
    <row r="1077" spans="1:23" hidden="1" x14ac:dyDescent="0.25">
      <c r="A1077">
        <v>15741</v>
      </c>
      <c r="B1077">
        <v>455253884</v>
      </c>
      <c r="C1077" t="s">
        <v>5684</v>
      </c>
      <c r="D1077" s="8" t="s">
        <v>5685</v>
      </c>
      <c r="E1077" t="s">
        <v>644</v>
      </c>
      <c r="G1077" t="s">
        <v>62</v>
      </c>
      <c r="H1077" t="s">
        <v>63</v>
      </c>
      <c r="I1077" t="s">
        <v>30</v>
      </c>
      <c r="J1077" t="s">
        <v>64</v>
      </c>
      <c r="K1077" t="s">
        <v>27</v>
      </c>
      <c r="L1077" t="s">
        <v>65</v>
      </c>
      <c r="M1077" t="s">
        <v>5686</v>
      </c>
      <c r="N1077" t="s">
        <v>646</v>
      </c>
      <c r="O1077" t="s">
        <v>83</v>
      </c>
      <c r="P1077" t="s">
        <v>5687</v>
      </c>
      <c r="Q1077" t="s">
        <v>47</v>
      </c>
      <c r="R1077" s="23" t="s">
        <v>5688</v>
      </c>
      <c r="S1077" s="23">
        <v>46167</v>
      </c>
      <c r="T1077">
        <v>15.2</v>
      </c>
      <c r="U1077">
        <v>5943</v>
      </c>
      <c r="V1077">
        <v>959.94</v>
      </c>
      <c r="W1077">
        <v>6902.9400000000005</v>
      </c>
    </row>
    <row r="1078" spans="1:23" hidden="1" x14ac:dyDescent="0.25">
      <c r="A1078">
        <v>15741</v>
      </c>
      <c r="B1078">
        <v>455253831</v>
      </c>
      <c r="C1078" t="s">
        <v>5689</v>
      </c>
      <c r="D1078" s="8" t="s">
        <v>5690</v>
      </c>
      <c r="E1078" t="s">
        <v>644</v>
      </c>
      <c r="G1078" t="s">
        <v>62</v>
      </c>
      <c r="H1078" t="s">
        <v>63</v>
      </c>
      <c r="I1078" t="s">
        <v>30</v>
      </c>
      <c r="J1078" t="s">
        <v>64</v>
      </c>
      <c r="K1078" t="s">
        <v>27</v>
      </c>
      <c r="L1078" t="s">
        <v>65</v>
      </c>
      <c r="M1078" t="s">
        <v>5691</v>
      </c>
      <c r="N1078" t="s">
        <v>646</v>
      </c>
      <c r="O1078" t="s">
        <v>83</v>
      </c>
      <c r="P1078" t="s">
        <v>5692</v>
      </c>
      <c r="Q1078" t="s">
        <v>44</v>
      </c>
      <c r="R1078" s="23" t="s">
        <v>515</v>
      </c>
      <c r="S1078" s="23">
        <v>46167</v>
      </c>
      <c r="T1078">
        <v>8.8699999999999992</v>
      </c>
      <c r="U1078">
        <v>5465</v>
      </c>
      <c r="V1078">
        <v>539.94000000000005</v>
      </c>
      <c r="W1078">
        <v>6004.9400000000005</v>
      </c>
    </row>
    <row r="1079" spans="1:23" hidden="1" x14ac:dyDescent="0.25">
      <c r="A1079">
        <v>15741</v>
      </c>
      <c r="B1079">
        <v>455253645</v>
      </c>
      <c r="C1079" t="s">
        <v>5693</v>
      </c>
      <c r="D1079" s="8" t="s">
        <v>5694</v>
      </c>
      <c r="E1079" t="s">
        <v>644</v>
      </c>
      <c r="G1079" t="s">
        <v>62</v>
      </c>
      <c r="H1079" t="s">
        <v>63</v>
      </c>
      <c r="I1079" t="s">
        <v>30</v>
      </c>
      <c r="J1079" t="s">
        <v>64</v>
      </c>
      <c r="K1079" t="s">
        <v>27</v>
      </c>
      <c r="L1079" t="s">
        <v>65</v>
      </c>
      <c r="M1079" t="s">
        <v>5695</v>
      </c>
      <c r="N1079" t="s">
        <v>646</v>
      </c>
      <c r="O1079" t="s">
        <v>83</v>
      </c>
      <c r="P1079" t="s">
        <v>5696</v>
      </c>
      <c r="Q1079" t="s">
        <v>48</v>
      </c>
      <c r="R1079" s="23" t="s">
        <v>509</v>
      </c>
      <c r="S1079" s="23">
        <v>46167</v>
      </c>
      <c r="T1079">
        <v>11.67</v>
      </c>
      <c r="U1079">
        <v>5943</v>
      </c>
      <c r="V1079">
        <v>599.94000000000005</v>
      </c>
      <c r="W1079">
        <v>6542.9400000000005</v>
      </c>
    </row>
    <row r="1080" spans="1:23" hidden="1" x14ac:dyDescent="0.25">
      <c r="A1080">
        <v>15741</v>
      </c>
      <c r="B1080">
        <v>455253574</v>
      </c>
      <c r="C1080" t="s">
        <v>5697</v>
      </c>
      <c r="D1080" s="8" t="s">
        <v>5698</v>
      </c>
      <c r="E1080" t="s">
        <v>644</v>
      </c>
      <c r="G1080" t="s">
        <v>62</v>
      </c>
      <c r="H1080" t="s">
        <v>63</v>
      </c>
      <c r="I1080" t="s">
        <v>30</v>
      </c>
      <c r="J1080" t="s">
        <v>64</v>
      </c>
      <c r="K1080" t="s">
        <v>27</v>
      </c>
      <c r="L1080" t="s">
        <v>65</v>
      </c>
      <c r="M1080" t="s">
        <v>268</v>
      </c>
      <c r="N1080" t="s">
        <v>646</v>
      </c>
      <c r="O1080" t="s">
        <v>83</v>
      </c>
      <c r="P1080" t="s">
        <v>5699</v>
      </c>
      <c r="Q1080" t="s">
        <v>50</v>
      </c>
      <c r="R1080" s="23" t="s">
        <v>5700</v>
      </c>
      <c r="S1080" s="23">
        <v>46167</v>
      </c>
      <c r="T1080">
        <v>15.9</v>
      </c>
      <c r="U1080">
        <v>5943</v>
      </c>
      <c r="V1080">
        <v>959.94</v>
      </c>
      <c r="W1080">
        <v>6902.9400000000005</v>
      </c>
    </row>
    <row r="1081" spans="1:23" hidden="1" x14ac:dyDescent="0.25">
      <c r="A1081">
        <v>15741</v>
      </c>
      <c r="B1081">
        <v>455253209</v>
      </c>
      <c r="C1081" t="s">
        <v>5701</v>
      </c>
      <c r="D1081" s="8" t="s">
        <v>5702</v>
      </c>
      <c r="E1081" t="s">
        <v>644</v>
      </c>
      <c r="G1081" t="s">
        <v>62</v>
      </c>
      <c r="H1081" t="s">
        <v>63</v>
      </c>
      <c r="I1081" t="s">
        <v>30</v>
      </c>
      <c r="J1081" t="s">
        <v>64</v>
      </c>
      <c r="K1081" t="s">
        <v>27</v>
      </c>
      <c r="L1081" t="s">
        <v>215</v>
      </c>
      <c r="M1081" t="s">
        <v>622</v>
      </c>
      <c r="N1081" t="s">
        <v>646</v>
      </c>
      <c r="O1081" t="s">
        <v>83</v>
      </c>
      <c r="P1081" t="s">
        <v>5703</v>
      </c>
      <c r="Q1081" t="s">
        <v>180</v>
      </c>
      <c r="R1081" s="23" t="s">
        <v>295</v>
      </c>
      <c r="S1081" s="23">
        <v>46167</v>
      </c>
      <c r="T1081">
        <v>42.88</v>
      </c>
      <c r="U1081">
        <v>28280</v>
      </c>
      <c r="V1081">
        <v>2219.7600000000002</v>
      </c>
      <c r="W1081">
        <v>30499.760000000002</v>
      </c>
    </row>
    <row r="1082" spans="1:23" hidden="1" x14ac:dyDescent="0.25">
      <c r="A1082">
        <v>15741</v>
      </c>
      <c r="B1082">
        <v>455253107</v>
      </c>
      <c r="C1082" t="s">
        <v>5704</v>
      </c>
      <c r="D1082" s="8" t="s">
        <v>5705</v>
      </c>
      <c r="E1082" t="s">
        <v>644</v>
      </c>
      <c r="G1082" t="s">
        <v>62</v>
      </c>
      <c r="H1082" t="s">
        <v>63</v>
      </c>
      <c r="I1082" t="s">
        <v>30</v>
      </c>
      <c r="J1082" t="s">
        <v>64</v>
      </c>
      <c r="K1082" t="s">
        <v>27</v>
      </c>
      <c r="L1082" t="s">
        <v>65</v>
      </c>
      <c r="M1082" t="s">
        <v>5706</v>
      </c>
      <c r="N1082" t="s">
        <v>646</v>
      </c>
      <c r="O1082" t="s">
        <v>83</v>
      </c>
      <c r="P1082" t="s">
        <v>5707</v>
      </c>
      <c r="Q1082" t="s">
        <v>59</v>
      </c>
      <c r="R1082" s="23" t="s">
        <v>5708</v>
      </c>
      <c r="S1082" s="23">
        <v>46167</v>
      </c>
      <c r="T1082">
        <v>9.91</v>
      </c>
      <c r="U1082">
        <v>9706</v>
      </c>
      <c r="V1082">
        <v>539.94000000000005</v>
      </c>
      <c r="W1082">
        <v>10245.94</v>
      </c>
    </row>
    <row r="1083" spans="1:23" hidden="1" x14ac:dyDescent="0.25">
      <c r="A1083">
        <v>15741</v>
      </c>
      <c r="B1083">
        <v>455253025</v>
      </c>
      <c r="C1083" t="s">
        <v>5709</v>
      </c>
      <c r="D1083" s="8" t="s">
        <v>5710</v>
      </c>
      <c r="E1083" t="s">
        <v>644</v>
      </c>
      <c r="G1083" t="s">
        <v>62</v>
      </c>
      <c r="H1083" t="s">
        <v>63</v>
      </c>
      <c r="I1083" t="s">
        <v>30</v>
      </c>
      <c r="J1083" t="s">
        <v>64</v>
      </c>
      <c r="K1083" t="s">
        <v>27</v>
      </c>
      <c r="L1083" t="s">
        <v>65</v>
      </c>
      <c r="M1083" t="s">
        <v>5711</v>
      </c>
      <c r="N1083" t="s">
        <v>646</v>
      </c>
      <c r="O1083" t="s">
        <v>83</v>
      </c>
      <c r="P1083" t="s">
        <v>5712</v>
      </c>
      <c r="Q1083" t="s">
        <v>45</v>
      </c>
      <c r="R1083" s="23" t="s">
        <v>451</v>
      </c>
      <c r="S1083" s="23">
        <v>46167</v>
      </c>
      <c r="T1083">
        <v>11.47</v>
      </c>
      <c r="U1083">
        <v>5943</v>
      </c>
      <c r="V1083">
        <v>959.94</v>
      </c>
      <c r="W1083">
        <v>6902.9400000000005</v>
      </c>
    </row>
    <row r="1084" spans="1:23" hidden="1" x14ac:dyDescent="0.25">
      <c r="A1084">
        <v>15741</v>
      </c>
      <c r="B1084">
        <v>455252903</v>
      </c>
      <c r="C1084" t="s">
        <v>5713</v>
      </c>
      <c r="D1084" s="8" t="s">
        <v>5714</v>
      </c>
      <c r="E1084" t="s">
        <v>644</v>
      </c>
      <c r="G1084" t="s">
        <v>62</v>
      </c>
      <c r="H1084" t="s">
        <v>63</v>
      </c>
      <c r="I1084" t="s">
        <v>30</v>
      </c>
      <c r="J1084" t="s">
        <v>64</v>
      </c>
      <c r="K1084" t="s">
        <v>27</v>
      </c>
      <c r="L1084" t="s">
        <v>65</v>
      </c>
      <c r="M1084" t="s">
        <v>5715</v>
      </c>
      <c r="N1084" t="s">
        <v>646</v>
      </c>
      <c r="O1084" t="s">
        <v>83</v>
      </c>
      <c r="P1084" t="s">
        <v>5716</v>
      </c>
      <c r="Q1084" t="s">
        <v>44</v>
      </c>
      <c r="R1084" s="23" t="s">
        <v>5717</v>
      </c>
      <c r="S1084" s="23">
        <v>46167</v>
      </c>
      <c r="T1084">
        <v>10.94</v>
      </c>
      <c r="U1084">
        <v>5943</v>
      </c>
      <c r="V1084">
        <v>599.94000000000005</v>
      </c>
      <c r="W1084">
        <v>6542.9400000000005</v>
      </c>
    </row>
    <row r="1085" spans="1:23" hidden="1" x14ac:dyDescent="0.25">
      <c r="A1085">
        <v>15741</v>
      </c>
      <c r="B1085">
        <v>455252805</v>
      </c>
      <c r="C1085" t="s">
        <v>5718</v>
      </c>
      <c r="D1085" s="8" t="s">
        <v>5719</v>
      </c>
      <c r="E1085" t="s">
        <v>644</v>
      </c>
      <c r="G1085" t="s">
        <v>62</v>
      </c>
      <c r="H1085" t="s">
        <v>63</v>
      </c>
      <c r="I1085" t="s">
        <v>30</v>
      </c>
      <c r="J1085" t="s">
        <v>64</v>
      </c>
      <c r="K1085" t="s">
        <v>27</v>
      </c>
      <c r="L1085" t="s">
        <v>65</v>
      </c>
      <c r="M1085" t="s">
        <v>479</v>
      </c>
      <c r="N1085" t="s">
        <v>646</v>
      </c>
      <c r="O1085" t="s">
        <v>83</v>
      </c>
      <c r="P1085" t="s">
        <v>5720</v>
      </c>
      <c r="Q1085" t="s">
        <v>68</v>
      </c>
      <c r="R1085" s="23" t="s">
        <v>345</v>
      </c>
      <c r="S1085" s="23">
        <v>46167</v>
      </c>
      <c r="T1085">
        <v>14.93</v>
      </c>
      <c r="U1085">
        <v>5943</v>
      </c>
      <c r="V1085">
        <v>959.94</v>
      </c>
      <c r="W1085">
        <v>6902.9400000000005</v>
      </c>
    </row>
    <row r="1086" spans="1:23" hidden="1" x14ac:dyDescent="0.25">
      <c r="A1086">
        <v>15741</v>
      </c>
      <c r="B1086">
        <v>455252692</v>
      </c>
      <c r="C1086" t="s">
        <v>5721</v>
      </c>
      <c r="D1086" s="8" t="s">
        <v>5722</v>
      </c>
      <c r="E1086" t="s">
        <v>644</v>
      </c>
      <c r="G1086" t="s">
        <v>62</v>
      </c>
      <c r="H1086" t="s">
        <v>63</v>
      </c>
      <c r="I1086" t="s">
        <v>30</v>
      </c>
      <c r="J1086" t="s">
        <v>64</v>
      </c>
      <c r="K1086" t="s">
        <v>27</v>
      </c>
      <c r="L1086" t="s">
        <v>215</v>
      </c>
      <c r="M1086" t="s">
        <v>5723</v>
      </c>
      <c r="N1086" t="s">
        <v>646</v>
      </c>
      <c r="O1086" t="s">
        <v>83</v>
      </c>
      <c r="P1086" t="s">
        <v>5724</v>
      </c>
      <c r="Q1086" t="s">
        <v>69</v>
      </c>
      <c r="R1086" s="23" t="s">
        <v>360</v>
      </c>
      <c r="S1086" s="23">
        <v>46167</v>
      </c>
      <c r="T1086">
        <v>21.18</v>
      </c>
      <c r="U1086">
        <v>8777</v>
      </c>
      <c r="V1086">
        <v>1019.88</v>
      </c>
      <c r="W1086">
        <v>9796.8799999999992</v>
      </c>
    </row>
    <row r="1087" spans="1:23" hidden="1" x14ac:dyDescent="0.25">
      <c r="A1087">
        <v>15741</v>
      </c>
      <c r="B1087">
        <v>455252609</v>
      </c>
      <c r="C1087" t="s">
        <v>5725</v>
      </c>
      <c r="D1087" s="8" t="s">
        <v>5726</v>
      </c>
      <c r="E1087" t="s">
        <v>644</v>
      </c>
      <c r="G1087" t="s">
        <v>62</v>
      </c>
      <c r="H1087" t="s">
        <v>63</v>
      </c>
      <c r="I1087" t="s">
        <v>30</v>
      </c>
      <c r="J1087" t="s">
        <v>64</v>
      </c>
      <c r="K1087" t="s">
        <v>27</v>
      </c>
      <c r="L1087" t="s">
        <v>65</v>
      </c>
      <c r="M1087" t="s">
        <v>5727</v>
      </c>
      <c r="N1087" t="s">
        <v>646</v>
      </c>
      <c r="O1087" t="s">
        <v>83</v>
      </c>
      <c r="P1087" t="s">
        <v>5728</v>
      </c>
      <c r="Q1087" t="s">
        <v>45</v>
      </c>
      <c r="R1087" s="23" t="s">
        <v>5729</v>
      </c>
      <c r="S1087" s="23">
        <v>46167</v>
      </c>
      <c r="T1087">
        <v>11.92</v>
      </c>
      <c r="U1087">
        <v>5943</v>
      </c>
      <c r="V1087">
        <v>599.94000000000005</v>
      </c>
      <c r="W1087">
        <v>6542.9400000000005</v>
      </c>
    </row>
    <row r="1088" spans="1:23" hidden="1" x14ac:dyDescent="0.25">
      <c r="A1088">
        <v>15741</v>
      </c>
      <c r="B1088">
        <v>455252354</v>
      </c>
      <c r="C1088" t="s">
        <v>5730</v>
      </c>
      <c r="D1088" s="8" t="s">
        <v>5731</v>
      </c>
      <c r="E1088" t="s">
        <v>644</v>
      </c>
      <c r="G1088" t="s">
        <v>62</v>
      </c>
      <c r="H1088" t="s">
        <v>63</v>
      </c>
      <c r="I1088" t="s">
        <v>30</v>
      </c>
      <c r="J1088" t="s">
        <v>64</v>
      </c>
      <c r="K1088" t="s">
        <v>27</v>
      </c>
      <c r="L1088" t="s">
        <v>65</v>
      </c>
      <c r="M1088" t="s">
        <v>5732</v>
      </c>
      <c r="N1088" t="s">
        <v>646</v>
      </c>
      <c r="O1088" t="s">
        <v>83</v>
      </c>
      <c r="P1088" t="s">
        <v>5733</v>
      </c>
      <c r="Q1088" t="s">
        <v>50</v>
      </c>
      <c r="R1088" s="23" t="s">
        <v>5734</v>
      </c>
      <c r="S1088" s="23">
        <v>46167</v>
      </c>
      <c r="T1088">
        <v>9.41</v>
      </c>
      <c r="U1088">
        <v>5465</v>
      </c>
      <c r="V1088">
        <v>0</v>
      </c>
      <c r="W1088">
        <v>5465</v>
      </c>
    </row>
    <row r="1089" spans="1:23" hidden="1" x14ac:dyDescent="0.25">
      <c r="A1089">
        <v>15741</v>
      </c>
      <c r="B1089">
        <v>455252100</v>
      </c>
      <c r="C1089" t="s">
        <v>5735</v>
      </c>
      <c r="D1089" s="8" t="s">
        <v>5736</v>
      </c>
      <c r="E1089" t="s">
        <v>644</v>
      </c>
      <c r="G1089" t="s">
        <v>62</v>
      </c>
      <c r="H1089" t="s">
        <v>63</v>
      </c>
      <c r="I1089" t="s">
        <v>30</v>
      </c>
      <c r="J1089" t="s">
        <v>64</v>
      </c>
      <c r="K1089" t="s">
        <v>27</v>
      </c>
      <c r="L1089" t="s">
        <v>65</v>
      </c>
      <c r="M1089" t="s">
        <v>5737</v>
      </c>
      <c r="N1089" t="s">
        <v>646</v>
      </c>
      <c r="O1089" t="s">
        <v>83</v>
      </c>
      <c r="P1089" t="s">
        <v>5738</v>
      </c>
      <c r="Q1089" t="s">
        <v>100</v>
      </c>
      <c r="R1089" s="23" t="s">
        <v>501</v>
      </c>
      <c r="S1089" s="23">
        <v>46167</v>
      </c>
      <c r="T1089">
        <v>10.32</v>
      </c>
      <c r="U1089">
        <v>5943</v>
      </c>
      <c r="V1089">
        <v>539.94000000000005</v>
      </c>
      <c r="W1089">
        <v>6482.9400000000005</v>
      </c>
    </row>
    <row r="1090" spans="1:23" hidden="1" x14ac:dyDescent="0.25">
      <c r="A1090">
        <v>15741</v>
      </c>
      <c r="B1090">
        <v>455252030</v>
      </c>
      <c r="C1090" t="s">
        <v>5739</v>
      </c>
      <c r="D1090" s="8" t="s">
        <v>5740</v>
      </c>
      <c r="E1090" t="s">
        <v>644</v>
      </c>
      <c r="G1090" t="s">
        <v>62</v>
      </c>
      <c r="H1090" t="s">
        <v>63</v>
      </c>
      <c r="I1090" t="s">
        <v>30</v>
      </c>
      <c r="J1090" t="s">
        <v>64</v>
      </c>
      <c r="K1090" t="s">
        <v>27</v>
      </c>
      <c r="L1090" t="s">
        <v>215</v>
      </c>
      <c r="M1090" t="s">
        <v>5741</v>
      </c>
      <c r="N1090" t="s">
        <v>646</v>
      </c>
      <c r="O1090" t="s">
        <v>83</v>
      </c>
      <c r="P1090" t="s">
        <v>5742</v>
      </c>
      <c r="Q1090" t="s">
        <v>140</v>
      </c>
      <c r="R1090" s="23" t="s">
        <v>549</v>
      </c>
      <c r="S1090" s="23">
        <v>46167</v>
      </c>
      <c r="T1090">
        <v>19.75</v>
      </c>
      <c r="U1090">
        <v>12726</v>
      </c>
      <c r="V1090">
        <v>959.88</v>
      </c>
      <c r="W1090">
        <v>13685.88</v>
      </c>
    </row>
    <row r="1091" spans="1:23" hidden="1" x14ac:dyDescent="0.25">
      <c r="A1091">
        <v>15741</v>
      </c>
      <c r="B1091">
        <v>455251976</v>
      </c>
      <c r="C1091" t="s">
        <v>5743</v>
      </c>
      <c r="D1091" s="8" t="s">
        <v>5744</v>
      </c>
      <c r="E1091" t="s">
        <v>644</v>
      </c>
      <c r="G1091" t="s">
        <v>62</v>
      </c>
      <c r="H1091" t="s">
        <v>63</v>
      </c>
      <c r="I1091" t="s">
        <v>30</v>
      </c>
      <c r="J1091" t="s">
        <v>64</v>
      </c>
      <c r="K1091" t="s">
        <v>27</v>
      </c>
      <c r="L1091" t="s">
        <v>65</v>
      </c>
      <c r="M1091" t="s">
        <v>5745</v>
      </c>
      <c r="N1091" t="s">
        <v>646</v>
      </c>
      <c r="O1091" t="s">
        <v>83</v>
      </c>
      <c r="P1091" t="s">
        <v>5746</v>
      </c>
      <c r="Q1091" t="s">
        <v>49</v>
      </c>
      <c r="R1091" s="23" t="s">
        <v>5747</v>
      </c>
      <c r="S1091" s="23">
        <v>46167</v>
      </c>
      <c r="T1091">
        <v>15.27</v>
      </c>
      <c r="U1091">
        <v>5943</v>
      </c>
      <c r="V1091">
        <v>959.94</v>
      </c>
      <c r="W1091">
        <v>6902.9400000000005</v>
      </c>
    </row>
    <row r="1092" spans="1:23" hidden="1" x14ac:dyDescent="0.25">
      <c r="A1092">
        <v>15741</v>
      </c>
      <c r="B1092">
        <v>455251864</v>
      </c>
      <c r="C1092" t="s">
        <v>5748</v>
      </c>
      <c r="D1092" s="8" t="s">
        <v>5749</v>
      </c>
      <c r="E1092" t="s">
        <v>644</v>
      </c>
      <c r="G1092" t="s">
        <v>62</v>
      </c>
      <c r="H1092" t="s">
        <v>63</v>
      </c>
      <c r="I1092" t="s">
        <v>30</v>
      </c>
      <c r="J1092" t="s">
        <v>64</v>
      </c>
      <c r="K1092" t="s">
        <v>27</v>
      </c>
      <c r="L1092" t="s">
        <v>65</v>
      </c>
      <c r="M1092" t="s">
        <v>5750</v>
      </c>
      <c r="N1092" t="s">
        <v>646</v>
      </c>
      <c r="O1092" t="s">
        <v>83</v>
      </c>
      <c r="P1092" t="s">
        <v>5751</v>
      </c>
      <c r="Q1092" t="s">
        <v>46</v>
      </c>
      <c r="R1092" s="23" t="s">
        <v>5752</v>
      </c>
      <c r="S1092" s="23">
        <v>46167</v>
      </c>
      <c r="T1092">
        <v>9.66</v>
      </c>
      <c r="U1092">
        <v>5465</v>
      </c>
      <c r="V1092">
        <v>539.94000000000005</v>
      </c>
      <c r="W1092">
        <v>6004.9400000000005</v>
      </c>
    </row>
    <row r="1093" spans="1:23" hidden="1" x14ac:dyDescent="0.25">
      <c r="A1093">
        <v>15741</v>
      </c>
      <c r="B1093">
        <v>455251766</v>
      </c>
      <c r="C1093" t="s">
        <v>5753</v>
      </c>
      <c r="D1093" s="8" t="s">
        <v>5754</v>
      </c>
      <c r="E1093" t="s">
        <v>644</v>
      </c>
      <c r="G1093" t="s">
        <v>62</v>
      </c>
      <c r="H1093" t="s">
        <v>63</v>
      </c>
      <c r="I1093" t="s">
        <v>30</v>
      </c>
      <c r="J1093" t="s">
        <v>64</v>
      </c>
      <c r="K1093" t="s">
        <v>27</v>
      </c>
      <c r="L1093" t="s">
        <v>65</v>
      </c>
      <c r="M1093" t="s">
        <v>5755</v>
      </c>
      <c r="N1093" t="s">
        <v>646</v>
      </c>
      <c r="O1093" t="s">
        <v>83</v>
      </c>
      <c r="P1093" t="s">
        <v>5756</v>
      </c>
      <c r="Q1093" t="s">
        <v>45</v>
      </c>
      <c r="R1093" s="23" t="s">
        <v>548</v>
      </c>
      <c r="S1093" s="23">
        <v>46167</v>
      </c>
      <c r="T1093">
        <v>15.71</v>
      </c>
      <c r="U1093">
        <v>5943</v>
      </c>
      <c r="V1093">
        <v>959.94</v>
      </c>
      <c r="W1093">
        <v>6902.9400000000005</v>
      </c>
    </row>
    <row r="1094" spans="1:23" hidden="1" x14ac:dyDescent="0.25">
      <c r="A1094">
        <v>15741</v>
      </c>
      <c r="B1094">
        <v>455251350</v>
      </c>
      <c r="C1094" t="s">
        <v>5757</v>
      </c>
      <c r="D1094" s="8" t="s">
        <v>5758</v>
      </c>
      <c r="E1094" t="s">
        <v>644</v>
      </c>
      <c r="G1094" t="s">
        <v>62</v>
      </c>
      <c r="H1094" t="s">
        <v>63</v>
      </c>
      <c r="I1094" t="s">
        <v>30</v>
      </c>
      <c r="J1094" t="s">
        <v>64</v>
      </c>
      <c r="K1094" t="s">
        <v>27</v>
      </c>
      <c r="L1094" t="s">
        <v>215</v>
      </c>
      <c r="M1094" t="s">
        <v>5759</v>
      </c>
      <c r="N1094" t="s">
        <v>646</v>
      </c>
      <c r="O1094" t="s">
        <v>83</v>
      </c>
      <c r="P1094" t="s">
        <v>5760</v>
      </c>
      <c r="Q1094" t="s">
        <v>43</v>
      </c>
      <c r="R1094" s="23" t="s">
        <v>547</v>
      </c>
      <c r="S1094" s="23">
        <v>46167</v>
      </c>
      <c r="T1094">
        <v>20.16</v>
      </c>
      <c r="U1094">
        <v>8303</v>
      </c>
      <c r="V1094">
        <v>1139.8800000000001</v>
      </c>
      <c r="W1094">
        <v>9442.880000000001</v>
      </c>
    </row>
    <row r="1095" spans="1:23" hidden="1" x14ac:dyDescent="0.25">
      <c r="A1095">
        <v>15741</v>
      </c>
      <c r="B1095">
        <v>455251095</v>
      </c>
      <c r="C1095" t="s">
        <v>5761</v>
      </c>
      <c r="D1095" s="8" t="s">
        <v>5762</v>
      </c>
      <c r="E1095" t="s">
        <v>644</v>
      </c>
      <c r="G1095" t="s">
        <v>62</v>
      </c>
      <c r="H1095" t="s">
        <v>63</v>
      </c>
      <c r="I1095" t="s">
        <v>30</v>
      </c>
      <c r="J1095" t="s">
        <v>64</v>
      </c>
      <c r="K1095" t="s">
        <v>27</v>
      </c>
      <c r="L1095" t="s">
        <v>65</v>
      </c>
      <c r="M1095" t="s">
        <v>5763</v>
      </c>
      <c r="N1095" t="s">
        <v>646</v>
      </c>
      <c r="O1095" t="s">
        <v>83</v>
      </c>
      <c r="P1095" t="s">
        <v>5764</v>
      </c>
      <c r="Q1095" t="s">
        <v>94</v>
      </c>
      <c r="R1095" s="23" t="s">
        <v>5765</v>
      </c>
      <c r="S1095" s="23">
        <v>46167</v>
      </c>
      <c r="T1095">
        <v>15.25</v>
      </c>
      <c r="U1095">
        <v>13253</v>
      </c>
      <c r="V1095">
        <v>959.94</v>
      </c>
      <c r="W1095">
        <v>14212.94</v>
      </c>
    </row>
    <row r="1096" spans="1:23" hidden="1" x14ac:dyDescent="0.25">
      <c r="A1096">
        <v>15741</v>
      </c>
      <c r="B1096">
        <v>455250939</v>
      </c>
      <c r="C1096" t="s">
        <v>5766</v>
      </c>
      <c r="D1096" s="8" t="s">
        <v>5767</v>
      </c>
      <c r="E1096" t="s">
        <v>644</v>
      </c>
      <c r="G1096" t="s">
        <v>62</v>
      </c>
      <c r="H1096" t="s">
        <v>63</v>
      </c>
      <c r="I1096" t="s">
        <v>30</v>
      </c>
      <c r="J1096" t="s">
        <v>64</v>
      </c>
      <c r="K1096" t="s">
        <v>196</v>
      </c>
      <c r="L1096" t="s">
        <v>217</v>
      </c>
      <c r="M1096" t="s">
        <v>5768</v>
      </c>
      <c r="N1096" t="s">
        <v>646</v>
      </c>
      <c r="O1096" t="s">
        <v>83</v>
      </c>
      <c r="P1096" t="s">
        <v>5769</v>
      </c>
      <c r="Q1096" t="s">
        <v>45</v>
      </c>
      <c r="R1096" s="23" t="s">
        <v>5770</v>
      </c>
      <c r="S1096" s="23">
        <v>46167</v>
      </c>
      <c r="T1096">
        <v>20.079999999999998</v>
      </c>
      <c r="U1096">
        <v>8303</v>
      </c>
      <c r="V1096">
        <v>1079.8800000000001</v>
      </c>
      <c r="W1096">
        <v>9382.880000000001</v>
      </c>
    </row>
    <row r="1097" spans="1:23" hidden="1" x14ac:dyDescent="0.25">
      <c r="A1097">
        <v>15741</v>
      </c>
      <c r="B1097">
        <v>455250172</v>
      </c>
      <c r="C1097" t="s">
        <v>5771</v>
      </c>
      <c r="D1097" s="8" t="s">
        <v>5772</v>
      </c>
      <c r="E1097" t="s">
        <v>644</v>
      </c>
      <c r="G1097" t="s">
        <v>62</v>
      </c>
      <c r="H1097" t="s">
        <v>63</v>
      </c>
      <c r="I1097" t="s">
        <v>30</v>
      </c>
      <c r="J1097" t="s">
        <v>64</v>
      </c>
      <c r="K1097" t="s">
        <v>27</v>
      </c>
      <c r="L1097" t="s">
        <v>65</v>
      </c>
      <c r="M1097" t="s">
        <v>5773</v>
      </c>
      <c r="N1097" t="s">
        <v>646</v>
      </c>
      <c r="O1097" t="s">
        <v>83</v>
      </c>
      <c r="P1097" t="s">
        <v>5774</v>
      </c>
      <c r="Q1097" t="s">
        <v>93</v>
      </c>
      <c r="R1097" s="23" t="s">
        <v>5775</v>
      </c>
      <c r="S1097" s="23">
        <v>46167</v>
      </c>
      <c r="T1097">
        <v>8.66</v>
      </c>
      <c r="U1097">
        <v>9209</v>
      </c>
      <c r="V1097">
        <v>539.94000000000005</v>
      </c>
      <c r="W1097">
        <v>9748.94</v>
      </c>
    </row>
    <row r="1098" spans="1:23" hidden="1" x14ac:dyDescent="0.25">
      <c r="A1098">
        <v>15741</v>
      </c>
      <c r="B1098">
        <v>455250101</v>
      </c>
      <c r="C1098" t="s">
        <v>5776</v>
      </c>
      <c r="D1098" s="8" t="s">
        <v>5777</v>
      </c>
      <c r="E1098" t="s">
        <v>644</v>
      </c>
      <c r="G1098" t="s">
        <v>62</v>
      </c>
      <c r="H1098" t="s">
        <v>63</v>
      </c>
      <c r="I1098" t="s">
        <v>30</v>
      </c>
      <c r="J1098" t="s">
        <v>64</v>
      </c>
      <c r="K1098" t="s">
        <v>27</v>
      </c>
      <c r="L1098" t="s">
        <v>65</v>
      </c>
      <c r="M1098" t="s">
        <v>5778</v>
      </c>
      <c r="N1098" t="s">
        <v>646</v>
      </c>
      <c r="O1098" t="s">
        <v>83</v>
      </c>
      <c r="P1098" t="s">
        <v>5779</v>
      </c>
      <c r="Q1098" t="s">
        <v>50</v>
      </c>
      <c r="R1098" s="23" t="s">
        <v>5780</v>
      </c>
      <c r="S1098" s="23">
        <v>46167</v>
      </c>
      <c r="T1098">
        <v>6.61</v>
      </c>
      <c r="U1098">
        <v>5465</v>
      </c>
      <c r="V1098">
        <v>0</v>
      </c>
      <c r="W1098">
        <v>5465</v>
      </c>
    </row>
    <row r="1099" spans="1:23" hidden="1" x14ac:dyDescent="0.25">
      <c r="A1099">
        <v>15741</v>
      </c>
      <c r="B1099">
        <v>455250021</v>
      </c>
      <c r="C1099" t="s">
        <v>5781</v>
      </c>
      <c r="D1099" s="8" t="s">
        <v>5782</v>
      </c>
      <c r="E1099" t="s">
        <v>644</v>
      </c>
      <c r="G1099" t="s">
        <v>62</v>
      </c>
      <c r="H1099" t="s">
        <v>63</v>
      </c>
      <c r="I1099" t="s">
        <v>30</v>
      </c>
      <c r="J1099" t="s">
        <v>64</v>
      </c>
      <c r="K1099" t="s">
        <v>27</v>
      </c>
      <c r="L1099" t="s">
        <v>65</v>
      </c>
      <c r="M1099" t="s">
        <v>5783</v>
      </c>
      <c r="N1099" t="s">
        <v>646</v>
      </c>
      <c r="O1099" t="s">
        <v>83</v>
      </c>
      <c r="P1099" t="s">
        <v>5784</v>
      </c>
      <c r="Q1099" t="s">
        <v>45</v>
      </c>
      <c r="R1099" s="23" t="s">
        <v>5785</v>
      </c>
      <c r="S1099" s="23">
        <v>46167</v>
      </c>
      <c r="T1099">
        <v>11.94</v>
      </c>
      <c r="U1099">
        <v>5943</v>
      </c>
      <c r="V1099">
        <v>899.94</v>
      </c>
      <c r="W1099">
        <v>6842.9400000000005</v>
      </c>
    </row>
    <row r="1100" spans="1:23" hidden="1" x14ac:dyDescent="0.25">
      <c r="A1100">
        <v>15741</v>
      </c>
      <c r="B1100">
        <v>455249919</v>
      </c>
      <c r="C1100" t="s">
        <v>5786</v>
      </c>
      <c r="D1100" s="8" t="s">
        <v>5787</v>
      </c>
      <c r="E1100" t="s">
        <v>644</v>
      </c>
      <c r="G1100" t="s">
        <v>62</v>
      </c>
      <c r="H1100" t="s">
        <v>63</v>
      </c>
      <c r="I1100" t="s">
        <v>30</v>
      </c>
      <c r="J1100" t="s">
        <v>64</v>
      </c>
      <c r="K1100" t="s">
        <v>27</v>
      </c>
      <c r="L1100" t="s">
        <v>65</v>
      </c>
      <c r="M1100" t="s">
        <v>5788</v>
      </c>
      <c r="N1100" t="s">
        <v>646</v>
      </c>
      <c r="O1100" t="s">
        <v>83</v>
      </c>
      <c r="P1100" t="s">
        <v>5789</v>
      </c>
      <c r="Q1100" t="s">
        <v>49</v>
      </c>
      <c r="R1100" s="23" t="s">
        <v>5790</v>
      </c>
      <c r="S1100" s="23">
        <v>46167</v>
      </c>
      <c r="T1100">
        <v>9.83</v>
      </c>
      <c r="U1100">
        <v>5465</v>
      </c>
      <c r="V1100">
        <v>0</v>
      </c>
      <c r="W1100">
        <v>5465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William Garrido</cp:lastModifiedBy>
  <cp:lastPrinted>2023-05-10T17:03:30Z</cp:lastPrinted>
  <dcterms:created xsi:type="dcterms:W3CDTF">2015-10-14T18:59:17Z</dcterms:created>
  <dcterms:modified xsi:type="dcterms:W3CDTF">2026-07-27T16:40:17Z</dcterms:modified>
</cp:coreProperties>
</file>